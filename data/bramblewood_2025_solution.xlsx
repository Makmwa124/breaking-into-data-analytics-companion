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store_id</t>
        </is>
      </c>
      <c r="D1" t="inlineStr">
        <is>
          <t>product_id</t>
        </is>
      </c>
      <c r="E1" t="inlineStr">
        <is>
          <t>units</t>
        </is>
      </c>
      <c r="F1" t="inlineStr">
        <is>
          <t>unit_price</t>
        </is>
      </c>
      <c r="G1" t="inlineStr">
        <is>
          <t>discount</t>
        </is>
      </c>
      <c r="H1" t="inlineStr">
        <is>
          <t>revenue</t>
        </is>
      </c>
      <c r="I1" t="inlineStr">
        <is>
          <t>category</t>
        </is>
      </c>
    </row>
    <row r="2">
      <c r="A2" t="n">
        <v>104321</v>
      </c>
      <c r="B2" s="1" t="n">
        <v>45658</v>
      </c>
      <c r="C2" t="inlineStr">
        <is>
          <t>S01</t>
        </is>
      </c>
      <c r="D2" t="inlineStr">
        <is>
          <t>P302</t>
        </is>
      </c>
      <c r="E2" t="n">
        <v>2</v>
      </c>
      <c r="F2" t="n">
        <v>24</v>
      </c>
      <c r="G2" t="n">
        <v>0</v>
      </c>
      <c r="H2">
        <f>E2*F2*(1-G2)</f>
        <v/>
      </c>
      <c r="I2">
        <f>XLOOKUP(D2,Products!$A$2:$A$15,Products!$B$2:$B$15,"Not found")</f>
        <v/>
      </c>
    </row>
    <row r="3">
      <c r="A3" t="n">
        <v>104322</v>
      </c>
      <c r="B3" s="1" t="n">
        <v>45658</v>
      </c>
      <c r="C3" t="inlineStr">
        <is>
          <t>S01</t>
        </is>
      </c>
      <c r="D3" t="inlineStr">
        <is>
          <t>P403</t>
        </is>
      </c>
      <c r="E3" t="n">
        <v>1</v>
      </c>
      <c r="F3" t="n">
        <v>89</v>
      </c>
      <c r="G3" t="n">
        <v>0</v>
      </c>
      <c r="H3">
        <f>E3*F3*(1-G3)</f>
        <v/>
      </c>
      <c r="I3">
        <f>XLOOKUP(D3,Products!$A$2:$A$15,Products!$B$2:$B$15,"Not found")</f>
        <v/>
      </c>
    </row>
    <row r="4">
      <c r="A4" t="n">
        <v>104323</v>
      </c>
      <c r="B4" s="1" t="n">
        <v>45658</v>
      </c>
      <c r="C4" t="inlineStr">
        <is>
          <t>S01</t>
        </is>
      </c>
      <c r="D4" t="inlineStr">
        <is>
          <t>P102</t>
        </is>
      </c>
      <c r="E4" t="n">
        <v>1</v>
      </c>
      <c r="F4" t="n">
        <v>14.5</v>
      </c>
      <c r="G4" t="n">
        <v>0</v>
      </c>
      <c r="H4">
        <f>E4*F4*(1-G4)</f>
        <v/>
      </c>
      <c r="I4">
        <f>XLOOKUP(D4,Products!$A$2:$A$15,Products!$B$2:$B$15,"Not found")</f>
        <v/>
      </c>
    </row>
    <row r="5">
      <c r="A5" t="n">
        <v>104324</v>
      </c>
      <c r="B5" s="1" t="n">
        <v>45658</v>
      </c>
      <c r="C5" t="inlineStr">
        <is>
          <t>S01</t>
        </is>
      </c>
      <c r="D5" t="inlineStr">
        <is>
          <t>P101</t>
        </is>
      </c>
      <c r="E5" t="n">
        <v>2</v>
      </c>
      <c r="F5" t="n">
        <v>39</v>
      </c>
      <c r="G5" t="n">
        <v>0.1</v>
      </c>
      <c r="H5">
        <f>E5*F5*(1-G5)</f>
        <v/>
      </c>
      <c r="I5">
        <f>XLOOKUP(D5,Products!$A$2:$A$15,Products!$B$2:$B$15,"Not found")</f>
        <v/>
      </c>
    </row>
    <row r="6">
      <c r="A6" t="n">
        <v>104325</v>
      </c>
      <c r="B6" s="1" t="n">
        <v>45658</v>
      </c>
      <c r="C6" t="inlineStr">
        <is>
          <t>S01</t>
        </is>
      </c>
      <c r="D6" t="inlineStr">
        <is>
          <t>P301</t>
        </is>
      </c>
      <c r="E6" t="n">
        <v>1</v>
      </c>
      <c r="F6" t="n">
        <v>119</v>
      </c>
      <c r="G6" t="n">
        <v>0.1</v>
      </c>
      <c r="H6">
        <f>E6*F6*(1-G6)</f>
        <v/>
      </c>
      <c r="I6">
        <f>XLOOKUP(D6,Products!$A$2:$A$15,Products!$B$2:$B$15,"Not found")</f>
        <v/>
      </c>
    </row>
    <row r="7">
      <c r="A7" t="n">
        <v>104326</v>
      </c>
      <c r="B7" s="1" t="n">
        <v>45658</v>
      </c>
      <c r="C7" t="inlineStr">
        <is>
          <t>S02</t>
        </is>
      </c>
      <c r="D7" t="inlineStr">
        <is>
          <t>P302</t>
        </is>
      </c>
      <c r="E7" t="n">
        <v>4</v>
      </c>
      <c r="F7" t="n">
        <v>24</v>
      </c>
      <c r="G7" t="n">
        <v>0</v>
      </c>
      <c r="H7">
        <f>E7*F7*(1-G7)</f>
        <v/>
      </c>
      <c r="I7">
        <f>XLOOKUP(D7,Products!$A$2:$A$15,Products!$B$2:$B$15,"Not found")</f>
        <v/>
      </c>
    </row>
    <row r="8">
      <c r="A8" t="n">
        <v>104327</v>
      </c>
      <c r="B8" s="1" t="n">
        <v>45658</v>
      </c>
      <c r="C8" t="inlineStr">
        <is>
          <t>S03</t>
        </is>
      </c>
      <c r="D8" t="inlineStr">
        <is>
          <t>P201</t>
        </is>
      </c>
      <c r="E8" t="n">
        <v>1</v>
      </c>
      <c r="F8" t="n">
        <v>149</v>
      </c>
      <c r="G8" t="n">
        <v>0</v>
      </c>
      <c r="H8">
        <f>E8*F8*(1-G8)</f>
        <v/>
      </c>
      <c r="I8">
        <f>XLOOKUP(D8,Products!$A$2:$A$15,Products!$B$2:$B$15,"Not found")</f>
        <v/>
      </c>
    </row>
    <row r="9">
      <c r="A9" t="n">
        <v>104328</v>
      </c>
      <c r="B9" s="1" t="n">
        <v>45658</v>
      </c>
      <c r="C9" t="inlineStr">
        <is>
          <t>S03</t>
        </is>
      </c>
      <c r="D9" t="inlineStr">
        <is>
          <t>P303</t>
        </is>
      </c>
      <c r="E9" t="n">
        <v>3</v>
      </c>
      <c r="F9" t="n">
        <v>12</v>
      </c>
      <c r="G9" t="n">
        <v>0</v>
      </c>
      <c r="H9">
        <f>E9*F9*(1-G9)</f>
        <v/>
      </c>
      <c r="I9">
        <f>XLOOKUP(D9,Products!$A$2:$A$15,Products!$B$2:$B$15,"Not found")</f>
        <v/>
      </c>
    </row>
    <row r="10">
      <c r="A10" t="n">
        <v>104329</v>
      </c>
      <c r="B10" s="1" t="n">
        <v>45658</v>
      </c>
      <c r="C10" t="inlineStr">
        <is>
          <t>S03</t>
        </is>
      </c>
      <c r="D10" t="inlineStr">
        <is>
          <t>P102</t>
        </is>
      </c>
      <c r="E10" t="n">
        <v>3</v>
      </c>
      <c r="F10" t="n">
        <v>14.5</v>
      </c>
      <c r="G10" t="n">
        <v>0</v>
      </c>
      <c r="H10">
        <f>E10*F10*(1-G10)</f>
        <v/>
      </c>
      <c r="I10">
        <f>XLOOKUP(D10,Products!$A$2:$A$15,Products!$B$2:$B$15,"Not found")</f>
        <v/>
      </c>
    </row>
    <row r="11">
      <c r="A11" t="n">
        <v>104330</v>
      </c>
      <c r="B11" s="1" t="n">
        <v>45658</v>
      </c>
      <c r="C11" t="inlineStr">
        <is>
          <t>S03</t>
        </is>
      </c>
      <c r="D11" t="inlineStr">
        <is>
          <t>P302</t>
        </is>
      </c>
      <c r="E11" t="n">
        <v>3</v>
      </c>
      <c r="F11" t="n">
        <v>24</v>
      </c>
      <c r="G11" t="n">
        <v>0</v>
      </c>
      <c r="H11">
        <f>E11*F11*(1-G11)</f>
        <v/>
      </c>
      <c r="I11">
        <f>XLOOKUP(D11,Products!$A$2:$A$15,Products!$B$2:$B$15,"Not found")</f>
        <v/>
      </c>
    </row>
    <row r="12">
      <c r="A12" t="n">
        <v>104331</v>
      </c>
      <c r="B12" s="1" t="n">
        <v>45658</v>
      </c>
      <c r="C12" t="inlineStr">
        <is>
          <t>S04</t>
        </is>
      </c>
      <c r="D12" t="inlineStr">
        <is>
          <t>P102</t>
        </is>
      </c>
      <c r="E12" t="n">
        <v>1</v>
      </c>
      <c r="F12" t="n">
        <v>14.5</v>
      </c>
      <c r="G12" t="n">
        <v>0</v>
      </c>
      <c r="H12">
        <f>E12*F12*(1-G12)</f>
        <v/>
      </c>
      <c r="I12">
        <f>XLOOKUP(D12,Products!$A$2:$A$15,Products!$B$2:$B$15,"Not found")</f>
        <v/>
      </c>
    </row>
    <row r="13">
      <c r="A13" t="n">
        <v>104332</v>
      </c>
      <c r="B13" s="1" t="n">
        <v>45658</v>
      </c>
      <c r="C13" t="inlineStr">
        <is>
          <t>S05</t>
        </is>
      </c>
      <c r="D13" t="inlineStr">
        <is>
          <t>P202</t>
        </is>
      </c>
      <c r="E13" t="n">
        <v>4</v>
      </c>
      <c r="F13" t="n">
        <v>79</v>
      </c>
      <c r="G13" t="n">
        <v>0</v>
      </c>
      <c r="H13">
        <f>E13*F13*(1-G13)</f>
        <v/>
      </c>
      <c r="I13">
        <f>XLOOKUP(D13,Products!$A$2:$A$15,Products!$B$2:$B$15,"Not found")</f>
        <v/>
      </c>
    </row>
    <row r="14">
      <c r="A14" t="n">
        <v>104333</v>
      </c>
      <c r="B14" s="1" t="n">
        <v>45658</v>
      </c>
      <c r="C14" t="inlineStr">
        <is>
          <t>S05</t>
        </is>
      </c>
      <c r="D14" t="inlineStr">
        <is>
          <t>P202</t>
        </is>
      </c>
      <c r="E14" t="n">
        <v>2</v>
      </c>
      <c r="F14" t="n">
        <v>79</v>
      </c>
      <c r="G14" t="n">
        <v>0.1</v>
      </c>
      <c r="H14">
        <f>E14*F14*(1-G14)</f>
        <v/>
      </c>
      <c r="I14">
        <f>XLOOKUP(D14,Products!$A$2:$A$15,Products!$B$2:$B$15,"Not found")</f>
        <v/>
      </c>
    </row>
    <row r="15">
      <c r="A15" t="n">
        <v>104334</v>
      </c>
      <c r="B15" s="1" t="n">
        <v>45658</v>
      </c>
      <c r="C15" t="inlineStr">
        <is>
          <t>S05</t>
        </is>
      </c>
      <c r="D15" t="inlineStr">
        <is>
          <t>P101</t>
        </is>
      </c>
      <c r="E15" t="n">
        <v>2</v>
      </c>
      <c r="F15" t="n">
        <v>39</v>
      </c>
      <c r="G15" t="n">
        <v>0</v>
      </c>
      <c r="H15">
        <f>E15*F15*(1-G15)</f>
        <v/>
      </c>
      <c r="I15">
        <f>XLOOKUP(D15,Products!$A$2:$A$15,Products!$B$2:$B$15,"Not found")</f>
        <v/>
      </c>
    </row>
    <row r="16">
      <c r="A16" t="n">
        <v>104335</v>
      </c>
      <c r="B16" s="1" t="n">
        <v>45658</v>
      </c>
      <c r="C16" t="inlineStr">
        <is>
          <t>S06</t>
        </is>
      </c>
      <c r="D16" t="inlineStr">
        <is>
          <t>P201</t>
        </is>
      </c>
      <c r="E16" t="n">
        <v>1</v>
      </c>
      <c r="F16" t="n">
        <v>149</v>
      </c>
      <c r="G16" t="n">
        <v>0.15</v>
      </c>
      <c r="H16">
        <f>E16*F16*(1-G16)</f>
        <v/>
      </c>
      <c r="I16">
        <f>XLOOKUP(D16,Products!$A$2:$A$15,Products!$B$2:$B$15,"Not found")</f>
        <v/>
      </c>
    </row>
    <row r="17">
      <c r="A17" t="n">
        <v>104336</v>
      </c>
      <c r="B17" s="1" t="n">
        <v>45658</v>
      </c>
      <c r="C17" t="inlineStr">
        <is>
          <t>S06</t>
        </is>
      </c>
      <c r="D17" t="inlineStr">
        <is>
          <t>P103</t>
        </is>
      </c>
      <c r="E17" t="n">
        <v>4</v>
      </c>
      <c r="F17" t="n">
        <v>29</v>
      </c>
      <c r="G17" t="n">
        <v>0</v>
      </c>
      <c r="H17">
        <f>E17*F17*(1-G17)</f>
        <v/>
      </c>
      <c r="I17">
        <f>XLOOKUP(D17,Products!$A$2:$A$15,Products!$B$2:$B$15,"Not found")</f>
        <v/>
      </c>
    </row>
    <row r="18">
      <c r="A18" t="n">
        <v>104337</v>
      </c>
      <c r="B18" s="1" t="n">
        <v>45658</v>
      </c>
      <c r="C18" t="inlineStr">
        <is>
          <t>S06</t>
        </is>
      </c>
      <c r="D18" t="inlineStr">
        <is>
          <t>P101</t>
        </is>
      </c>
      <c r="E18" t="n">
        <v>2</v>
      </c>
      <c r="F18" t="n">
        <v>39</v>
      </c>
      <c r="G18" t="n">
        <v>0</v>
      </c>
      <c r="H18">
        <f>E18*F18*(1-G18)</f>
        <v/>
      </c>
      <c r="I18">
        <f>XLOOKUP(D18,Products!$A$2:$A$15,Products!$B$2:$B$15,"Not found")</f>
        <v/>
      </c>
    </row>
    <row r="19">
      <c r="A19" t="n">
        <v>104338</v>
      </c>
      <c r="B19" s="1" t="n">
        <v>45659</v>
      </c>
      <c r="C19" t="inlineStr">
        <is>
          <t>S01</t>
        </is>
      </c>
      <c r="D19" t="inlineStr">
        <is>
          <t>P201</t>
        </is>
      </c>
      <c r="E19" t="n">
        <v>1</v>
      </c>
      <c r="F19" t="n">
        <v>149</v>
      </c>
      <c r="G19" t="n">
        <v>0.2</v>
      </c>
      <c r="H19">
        <f>E19*F19*(1-G19)</f>
        <v/>
      </c>
      <c r="I19">
        <f>XLOOKUP(D19,Products!$A$2:$A$15,Products!$B$2:$B$15,"Not found")</f>
        <v/>
      </c>
    </row>
    <row r="20">
      <c r="A20" t="n">
        <v>104339</v>
      </c>
      <c r="B20" s="1" t="n">
        <v>45659</v>
      </c>
      <c r="C20" t="inlineStr">
        <is>
          <t>S01</t>
        </is>
      </c>
      <c r="D20" t="inlineStr">
        <is>
          <t>P101</t>
        </is>
      </c>
      <c r="E20" t="n">
        <v>3</v>
      </c>
      <c r="F20" t="n">
        <v>39</v>
      </c>
      <c r="G20" t="n">
        <v>0.2</v>
      </c>
      <c r="H20">
        <f>E20*F20*(1-G20)</f>
        <v/>
      </c>
      <c r="I20">
        <f>XLOOKUP(D20,Products!$A$2:$A$15,Products!$B$2:$B$15,"Not found")</f>
        <v/>
      </c>
    </row>
    <row r="21">
      <c r="A21" t="n">
        <v>104340</v>
      </c>
      <c r="B21" s="1" t="n">
        <v>45659</v>
      </c>
      <c r="C21" t="inlineStr">
        <is>
          <t>S01</t>
        </is>
      </c>
      <c r="D21" t="inlineStr">
        <is>
          <t>P301</t>
        </is>
      </c>
      <c r="E21" t="n">
        <v>1</v>
      </c>
      <c r="F21" t="n">
        <v>119</v>
      </c>
      <c r="G21" t="n">
        <v>0</v>
      </c>
      <c r="H21">
        <f>E21*F21*(1-G21)</f>
        <v/>
      </c>
      <c r="I21">
        <f>XLOOKUP(D21,Products!$A$2:$A$15,Products!$B$2:$B$15,"Not found")</f>
        <v/>
      </c>
    </row>
    <row r="22">
      <c r="A22" t="n">
        <v>104341</v>
      </c>
      <c r="B22" s="1" t="n">
        <v>45659</v>
      </c>
      <c r="C22" t="inlineStr">
        <is>
          <t>S01</t>
        </is>
      </c>
      <c r="D22" t="inlineStr">
        <is>
          <t>P302</t>
        </is>
      </c>
      <c r="E22" t="n">
        <v>2</v>
      </c>
      <c r="F22" t="n">
        <v>24</v>
      </c>
      <c r="G22" t="n">
        <v>0.1</v>
      </c>
      <c r="H22">
        <f>E22*F22*(1-G22)</f>
        <v/>
      </c>
      <c r="I22">
        <f>XLOOKUP(D22,Products!$A$2:$A$15,Products!$B$2:$B$15,"Not found")</f>
        <v/>
      </c>
    </row>
    <row r="23">
      <c r="A23" t="n">
        <v>104342</v>
      </c>
      <c r="B23" s="1" t="n">
        <v>45659</v>
      </c>
      <c r="C23" t="inlineStr">
        <is>
          <t>S01</t>
        </is>
      </c>
      <c r="D23" t="inlineStr">
        <is>
          <t>P101</t>
        </is>
      </c>
      <c r="E23" t="n">
        <v>1</v>
      </c>
      <c r="F23" t="n">
        <v>39</v>
      </c>
      <c r="G23" t="n">
        <v>0</v>
      </c>
      <c r="H23">
        <f>E23*F23*(1-G23)</f>
        <v/>
      </c>
      <c r="I23">
        <f>XLOOKUP(D23,Products!$A$2:$A$15,Products!$B$2:$B$15,"Not found")</f>
        <v/>
      </c>
    </row>
    <row r="24">
      <c r="A24" t="n">
        <v>104343</v>
      </c>
      <c r="B24" s="1" t="n">
        <v>45659</v>
      </c>
      <c r="C24" t="inlineStr">
        <is>
          <t>S01</t>
        </is>
      </c>
      <c r="D24" t="inlineStr">
        <is>
          <t>P102</t>
        </is>
      </c>
      <c r="E24" t="n">
        <v>2</v>
      </c>
      <c r="F24" t="n">
        <v>14.5</v>
      </c>
      <c r="G24" t="n">
        <v>0.2</v>
      </c>
      <c r="H24">
        <f>E24*F24*(1-G24)</f>
        <v/>
      </c>
      <c r="I24">
        <f>XLOOKUP(D24,Products!$A$2:$A$15,Products!$B$2:$B$15,"Not found")</f>
        <v/>
      </c>
    </row>
    <row r="25">
      <c r="A25" t="n">
        <v>104344</v>
      </c>
      <c r="B25" s="1" t="n">
        <v>45659</v>
      </c>
      <c r="C25" t="inlineStr">
        <is>
          <t>S01</t>
        </is>
      </c>
      <c r="D25" t="inlineStr">
        <is>
          <t>P101</t>
        </is>
      </c>
      <c r="E25" t="n">
        <v>1</v>
      </c>
      <c r="F25" t="n">
        <v>39</v>
      </c>
      <c r="G25" t="n">
        <v>0.15</v>
      </c>
      <c r="H25">
        <f>E25*F25*(1-G25)</f>
        <v/>
      </c>
      <c r="I25">
        <f>XLOOKUP(D25,Products!$A$2:$A$15,Products!$B$2:$B$15,"Not found")</f>
        <v/>
      </c>
    </row>
    <row r="26">
      <c r="A26" t="n">
        <v>104345</v>
      </c>
      <c r="B26" s="1" t="n">
        <v>45659</v>
      </c>
      <c r="C26" t="inlineStr">
        <is>
          <t>S01</t>
        </is>
      </c>
      <c r="D26" t="inlineStr">
        <is>
          <t>P203</t>
        </is>
      </c>
      <c r="E26" t="n">
        <v>1</v>
      </c>
      <c r="F26" t="n">
        <v>19.5</v>
      </c>
      <c r="G26" t="n">
        <v>0.15</v>
      </c>
      <c r="H26">
        <f>E26*F26*(1-G26)</f>
        <v/>
      </c>
      <c r="I26">
        <f>XLOOKUP(D26,Products!$A$2:$A$15,Products!$B$2:$B$15,"Not found")</f>
        <v/>
      </c>
    </row>
    <row r="27">
      <c r="A27" t="n">
        <v>104346</v>
      </c>
      <c r="B27" s="1" t="n">
        <v>45659</v>
      </c>
      <c r="C27" t="inlineStr">
        <is>
          <t>S01</t>
        </is>
      </c>
      <c r="D27" t="inlineStr">
        <is>
          <t>P104</t>
        </is>
      </c>
      <c r="E27" t="n">
        <v>1</v>
      </c>
      <c r="F27" t="n">
        <v>189</v>
      </c>
      <c r="G27" t="n">
        <v>0.15</v>
      </c>
      <c r="H27">
        <f>E27*F27*(1-G27)</f>
        <v/>
      </c>
      <c r="I27">
        <f>XLOOKUP(D27,Products!$A$2:$A$15,Products!$B$2:$B$15,"Not found")</f>
        <v/>
      </c>
    </row>
    <row r="28">
      <c r="A28" t="n">
        <v>104347</v>
      </c>
      <c r="B28" s="1" t="n">
        <v>45659</v>
      </c>
      <c r="C28" t="inlineStr">
        <is>
          <t>S03</t>
        </is>
      </c>
      <c r="D28" t="inlineStr">
        <is>
          <t>P303</t>
        </is>
      </c>
      <c r="E28" t="n">
        <v>4</v>
      </c>
      <c r="F28" t="n">
        <v>12</v>
      </c>
      <c r="G28" t="n">
        <v>0</v>
      </c>
      <c r="H28">
        <f>E28*F28*(1-G28)</f>
        <v/>
      </c>
      <c r="I28">
        <f>XLOOKUP(D28,Products!$A$2:$A$15,Products!$B$2:$B$15,"Not found")</f>
        <v/>
      </c>
    </row>
    <row r="29">
      <c r="A29" t="n">
        <v>104348</v>
      </c>
      <c r="B29" s="1" t="n">
        <v>45659</v>
      </c>
      <c r="C29" t="inlineStr">
        <is>
          <t>S04</t>
        </is>
      </c>
      <c r="D29" t="inlineStr">
        <is>
          <t>P303</t>
        </is>
      </c>
      <c r="E29" t="n">
        <v>4</v>
      </c>
      <c r="F29" t="n">
        <v>12</v>
      </c>
      <c r="G29" t="n">
        <v>0.2</v>
      </c>
      <c r="H29">
        <f>E29*F29*(1-G29)</f>
        <v/>
      </c>
      <c r="I29">
        <f>XLOOKUP(D29,Products!$A$2:$A$15,Products!$B$2:$B$15,"Not found")</f>
        <v/>
      </c>
    </row>
    <row r="30">
      <c r="A30" t="n">
        <v>104349</v>
      </c>
      <c r="B30" s="1" t="n">
        <v>45659</v>
      </c>
      <c r="C30" t="inlineStr">
        <is>
          <t>S05</t>
        </is>
      </c>
      <c r="D30" t="inlineStr">
        <is>
          <t>P203</t>
        </is>
      </c>
      <c r="E30" t="n">
        <v>2</v>
      </c>
      <c r="F30" t="n">
        <v>19.5</v>
      </c>
      <c r="G30" t="n">
        <v>0</v>
      </c>
      <c r="H30">
        <f>E30*F30*(1-G30)</f>
        <v/>
      </c>
      <c r="I30">
        <f>XLOOKUP(D30,Products!$A$2:$A$15,Products!$B$2:$B$15,"Not found")</f>
        <v/>
      </c>
    </row>
    <row r="31">
      <c r="A31" t="n">
        <v>104350</v>
      </c>
      <c r="B31" s="1" t="n">
        <v>45659</v>
      </c>
      <c r="C31" t="inlineStr">
        <is>
          <t>S05</t>
        </is>
      </c>
      <c r="D31" t="inlineStr">
        <is>
          <t>P102</t>
        </is>
      </c>
      <c r="E31" t="n">
        <v>1</v>
      </c>
      <c r="F31" t="n">
        <v>14.5</v>
      </c>
      <c r="G31" t="n">
        <v>0</v>
      </c>
      <c r="H31">
        <f>E31*F31*(1-G31)</f>
        <v/>
      </c>
      <c r="I31">
        <f>XLOOKUP(D31,Products!$A$2:$A$15,Products!$B$2:$B$15,"Not found")</f>
        <v/>
      </c>
    </row>
    <row r="32">
      <c r="A32" t="n">
        <v>104351</v>
      </c>
      <c r="B32" s="1" t="n">
        <v>45659</v>
      </c>
      <c r="C32" t="inlineStr">
        <is>
          <t>S06</t>
        </is>
      </c>
      <c r="D32" t="inlineStr">
        <is>
          <t>P203</t>
        </is>
      </c>
      <c r="E32" t="n">
        <v>2</v>
      </c>
      <c r="F32" t="n">
        <v>19.5</v>
      </c>
      <c r="G32" t="n">
        <v>0</v>
      </c>
      <c r="H32">
        <f>E32*F32*(1-G32)</f>
        <v/>
      </c>
      <c r="I32">
        <f>XLOOKUP(D32,Products!$A$2:$A$15,Products!$B$2:$B$15,"Not found")</f>
        <v/>
      </c>
    </row>
    <row r="33">
      <c r="A33" t="n">
        <v>104352</v>
      </c>
      <c r="B33" s="1" t="n">
        <v>45659</v>
      </c>
      <c r="C33" t="inlineStr">
        <is>
          <t>S06</t>
        </is>
      </c>
      <c r="D33" t="inlineStr">
        <is>
          <t>P103</t>
        </is>
      </c>
      <c r="E33" t="n">
        <v>4</v>
      </c>
      <c r="F33" t="n">
        <v>29</v>
      </c>
      <c r="G33" t="n">
        <v>0.15</v>
      </c>
      <c r="H33">
        <f>E33*F33*(1-G33)</f>
        <v/>
      </c>
      <c r="I33">
        <f>XLOOKUP(D33,Products!$A$2:$A$15,Products!$B$2:$B$15,"Not found")</f>
        <v/>
      </c>
    </row>
    <row r="34">
      <c r="A34" t="n">
        <v>104353</v>
      </c>
      <c r="B34" s="1" t="n">
        <v>45660</v>
      </c>
      <c r="C34" t="inlineStr">
        <is>
          <t>S01</t>
        </is>
      </c>
      <c r="D34" t="inlineStr">
        <is>
          <t>P203</t>
        </is>
      </c>
      <c r="E34" t="n">
        <v>1</v>
      </c>
      <c r="F34" t="n">
        <v>19.5</v>
      </c>
      <c r="G34" t="n">
        <v>0</v>
      </c>
      <c r="H34">
        <f>E34*F34*(1-G34)</f>
        <v/>
      </c>
      <c r="I34">
        <f>XLOOKUP(D34,Products!$A$2:$A$15,Products!$B$2:$B$15,"Not found")</f>
        <v/>
      </c>
    </row>
    <row r="35">
      <c r="A35" t="n">
        <v>104354</v>
      </c>
      <c r="B35" s="1" t="n">
        <v>45660</v>
      </c>
      <c r="C35" t="inlineStr">
        <is>
          <t>S01</t>
        </is>
      </c>
      <c r="D35" t="inlineStr">
        <is>
          <t>P103</t>
        </is>
      </c>
      <c r="E35" t="n">
        <v>4</v>
      </c>
      <c r="F35" t="n">
        <v>29</v>
      </c>
      <c r="G35" t="n">
        <v>0</v>
      </c>
      <c r="H35">
        <f>E35*F35*(1-G35)</f>
        <v/>
      </c>
      <c r="I35">
        <f>XLOOKUP(D35,Products!$A$2:$A$15,Products!$B$2:$B$15,"Not found")</f>
        <v/>
      </c>
    </row>
    <row r="36">
      <c r="A36" t="n">
        <v>104355</v>
      </c>
      <c r="B36" s="1" t="n">
        <v>45660</v>
      </c>
      <c r="C36" t="inlineStr">
        <is>
          <t>S01</t>
        </is>
      </c>
      <c r="D36" t="inlineStr">
        <is>
          <t>P203</t>
        </is>
      </c>
      <c r="E36" t="n">
        <v>1</v>
      </c>
      <c r="F36" t="n">
        <v>19.5</v>
      </c>
      <c r="G36" t="n">
        <v>0.2</v>
      </c>
      <c r="H36">
        <f>E36*F36*(1-G36)</f>
        <v/>
      </c>
      <c r="I36">
        <f>XLOOKUP(D36,Products!$A$2:$A$15,Products!$B$2:$B$15,"Not found")</f>
        <v/>
      </c>
    </row>
    <row r="37">
      <c r="A37" t="n">
        <v>104356</v>
      </c>
      <c r="B37" s="1" t="n">
        <v>45660</v>
      </c>
      <c r="C37" t="inlineStr">
        <is>
          <t>S02</t>
        </is>
      </c>
      <c r="D37" t="inlineStr">
        <is>
          <t>P203</t>
        </is>
      </c>
      <c r="E37" t="n">
        <v>4</v>
      </c>
      <c r="F37" t="n">
        <v>19.5</v>
      </c>
      <c r="G37" t="n">
        <v>0</v>
      </c>
      <c r="H37">
        <f>E37*F37*(1-G37)</f>
        <v/>
      </c>
      <c r="I37">
        <f>XLOOKUP(D37,Products!$A$2:$A$15,Products!$B$2:$B$15,"Not found")</f>
        <v/>
      </c>
    </row>
    <row r="38">
      <c r="A38" t="n">
        <v>104357</v>
      </c>
      <c r="B38" s="1" t="n">
        <v>45660</v>
      </c>
      <c r="C38" t="inlineStr">
        <is>
          <t>S02</t>
        </is>
      </c>
      <c r="D38" t="inlineStr">
        <is>
          <t>P302</t>
        </is>
      </c>
      <c r="E38" t="n">
        <v>3</v>
      </c>
      <c r="F38" t="n">
        <v>24</v>
      </c>
      <c r="G38" t="n">
        <v>0</v>
      </c>
      <c r="H38">
        <f>E38*F38*(1-G38)</f>
        <v/>
      </c>
      <c r="I38">
        <f>XLOOKUP(D38,Products!$A$2:$A$15,Products!$B$2:$B$15,"Not found")</f>
        <v/>
      </c>
    </row>
    <row r="39">
      <c r="A39" t="n">
        <v>104358</v>
      </c>
      <c r="B39" s="1" t="n">
        <v>45660</v>
      </c>
      <c r="C39" t="inlineStr">
        <is>
          <t>S03</t>
        </is>
      </c>
      <c r="D39" t="inlineStr">
        <is>
          <t>P303</t>
        </is>
      </c>
      <c r="E39" t="n">
        <v>4</v>
      </c>
      <c r="F39" t="n">
        <v>12</v>
      </c>
      <c r="G39" t="n">
        <v>0.15</v>
      </c>
      <c r="H39">
        <f>E39*F39*(1-G39)</f>
        <v/>
      </c>
      <c r="I39">
        <f>XLOOKUP(D39,Products!$A$2:$A$15,Products!$B$2:$B$15,"Not found")</f>
        <v/>
      </c>
    </row>
    <row r="40">
      <c r="A40" t="n">
        <v>104359</v>
      </c>
      <c r="B40" s="1" t="n">
        <v>45660</v>
      </c>
      <c r="C40" t="inlineStr">
        <is>
          <t>S03</t>
        </is>
      </c>
      <c r="D40" t="inlineStr">
        <is>
          <t>P303</t>
        </is>
      </c>
      <c r="E40" t="n">
        <v>1</v>
      </c>
      <c r="F40" t="n">
        <v>12</v>
      </c>
      <c r="G40" t="n">
        <v>0.2</v>
      </c>
      <c r="H40">
        <f>E40*F40*(1-G40)</f>
        <v/>
      </c>
      <c r="I40">
        <f>XLOOKUP(D40,Products!$A$2:$A$15,Products!$B$2:$B$15,"Not found")</f>
        <v/>
      </c>
    </row>
    <row r="41">
      <c r="A41" t="n">
        <v>104360</v>
      </c>
      <c r="B41" s="1" t="n">
        <v>45660</v>
      </c>
      <c r="C41" t="inlineStr">
        <is>
          <t>S03</t>
        </is>
      </c>
      <c r="D41" t="inlineStr">
        <is>
          <t>P203</t>
        </is>
      </c>
      <c r="E41" t="n">
        <v>3</v>
      </c>
      <c r="F41" t="n">
        <v>19.5</v>
      </c>
      <c r="G41" t="n">
        <v>0</v>
      </c>
      <c r="H41">
        <f>E41*F41*(1-G41)</f>
        <v/>
      </c>
      <c r="I41">
        <f>XLOOKUP(D41,Products!$A$2:$A$15,Products!$B$2:$B$15,"Not found")</f>
        <v/>
      </c>
    </row>
    <row r="42">
      <c r="A42" t="n">
        <v>104361</v>
      </c>
      <c r="B42" s="1" t="n">
        <v>45660</v>
      </c>
      <c r="C42" t="inlineStr">
        <is>
          <t>S03</t>
        </is>
      </c>
      <c r="D42" t="inlineStr">
        <is>
          <t>P202</t>
        </is>
      </c>
      <c r="E42" t="n">
        <v>1</v>
      </c>
      <c r="F42" t="n">
        <v>79</v>
      </c>
      <c r="G42" t="n">
        <v>0</v>
      </c>
      <c r="H42">
        <f>E42*F42*(1-G42)</f>
        <v/>
      </c>
      <c r="I42">
        <f>XLOOKUP(D42,Products!$A$2:$A$15,Products!$B$2:$B$15,"Not found")</f>
        <v/>
      </c>
    </row>
    <row r="43">
      <c r="A43" t="n">
        <v>104362</v>
      </c>
      <c r="B43" s="1" t="n">
        <v>45660</v>
      </c>
      <c r="C43" t="inlineStr">
        <is>
          <t>S03</t>
        </is>
      </c>
      <c r="D43" t="inlineStr">
        <is>
          <t>P201</t>
        </is>
      </c>
      <c r="E43" t="n">
        <v>1</v>
      </c>
      <c r="F43" t="n">
        <v>149</v>
      </c>
      <c r="G43" t="n">
        <v>0</v>
      </c>
      <c r="H43">
        <f>E43*F43*(1-G43)</f>
        <v/>
      </c>
      <c r="I43">
        <f>XLOOKUP(D43,Products!$A$2:$A$15,Products!$B$2:$B$15,"Not found")</f>
        <v/>
      </c>
    </row>
    <row r="44">
      <c r="A44" t="n">
        <v>104363</v>
      </c>
      <c r="B44" s="1" t="n">
        <v>45660</v>
      </c>
      <c r="C44" t="inlineStr">
        <is>
          <t>S04</t>
        </is>
      </c>
      <c r="D44" t="inlineStr">
        <is>
          <t>P401</t>
        </is>
      </c>
      <c r="E44" t="n">
        <v>1</v>
      </c>
      <c r="F44" t="n">
        <v>549</v>
      </c>
      <c r="G44" t="n">
        <v>0.2</v>
      </c>
      <c r="H44">
        <f>E44*F44*(1-G44)</f>
        <v/>
      </c>
      <c r="I44">
        <f>XLOOKUP(D44,Products!$A$2:$A$15,Products!$B$2:$B$15,"Not found")</f>
        <v/>
      </c>
    </row>
    <row r="45">
      <c r="A45" t="n">
        <v>104364</v>
      </c>
      <c r="B45" s="1" t="n">
        <v>45660</v>
      </c>
      <c r="C45" t="inlineStr">
        <is>
          <t>S04</t>
        </is>
      </c>
      <c r="D45" t="inlineStr">
        <is>
          <t>P302</t>
        </is>
      </c>
      <c r="E45" t="n">
        <v>1</v>
      </c>
      <c r="F45" t="n">
        <v>24</v>
      </c>
      <c r="G45" t="n">
        <v>0.2</v>
      </c>
      <c r="H45">
        <f>E45*F45*(1-G45)</f>
        <v/>
      </c>
      <c r="I45">
        <f>XLOOKUP(D45,Products!$A$2:$A$15,Products!$B$2:$B$15,"Not found")</f>
        <v/>
      </c>
    </row>
    <row r="46">
      <c r="A46" t="n">
        <v>104365</v>
      </c>
      <c r="B46" s="1" t="n">
        <v>45660</v>
      </c>
      <c r="C46" t="inlineStr">
        <is>
          <t>S05</t>
        </is>
      </c>
      <c r="D46" t="inlineStr">
        <is>
          <t>P203</t>
        </is>
      </c>
      <c r="E46" t="n">
        <v>2</v>
      </c>
      <c r="F46" t="n">
        <v>19.5</v>
      </c>
      <c r="G46" t="n">
        <v>0</v>
      </c>
      <c r="H46">
        <f>E46*F46*(1-G46)</f>
        <v/>
      </c>
      <c r="I46">
        <f>XLOOKUP(D46,Products!$A$2:$A$15,Products!$B$2:$B$15,"Not found")</f>
        <v/>
      </c>
    </row>
    <row r="47">
      <c r="A47" t="n">
        <v>104366</v>
      </c>
      <c r="B47" s="1" t="n">
        <v>45661</v>
      </c>
      <c r="C47" t="inlineStr">
        <is>
          <t>S01</t>
        </is>
      </c>
      <c r="D47" t="inlineStr">
        <is>
          <t>P302</t>
        </is>
      </c>
      <c r="E47" t="n">
        <v>2</v>
      </c>
      <c r="F47" t="n">
        <v>24</v>
      </c>
      <c r="G47" t="n">
        <v>0</v>
      </c>
      <c r="H47">
        <f>E47*F47*(1-G47)</f>
        <v/>
      </c>
      <c r="I47">
        <f>XLOOKUP(D47,Products!$A$2:$A$15,Products!$B$2:$B$15,"Not found")</f>
        <v/>
      </c>
    </row>
    <row r="48">
      <c r="A48" t="n">
        <v>104367</v>
      </c>
      <c r="B48" s="1" t="n">
        <v>45661</v>
      </c>
      <c r="C48" t="inlineStr">
        <is>
          <t>S01</t>
        </is>
      </c>
      <c r="D48" t="inlineStr">
        <is>
          <t>P202</t>
        </is>
      </c>
      <c r="E48" t="n">
        <v>2</v>
      </c>
      <c r="F48" t="n">
        <v>79</v>
      </c>
      <c r="G48" t="n">
        <v>0</v>
      </c>
      <c r="H48">
        <f>E48*F48*(1-G48)</f>
        <v/>
      </c>
      <c r="I48">
        <f>XLOOKUP(D48,Products!$A$2:$A$15,Products!$B$2:$B$15,"Not found")</f>
        <v/>
      </c>
    </row>
    <row r="49">
      <c r="A49" t="n">
        <v>104368</v>
      </c>
      <c r="B49" s="1" t="n">
        <v>45661</v>
      </c>
      <c r="C49" t="inlineStr">
        <is>
          <t>S01</t>
        </is>
      </c>
      <c r="D49" t="inlineStr">
        <is>
          <t>P104</t>
        </is>
      </c>
      <c r="E49" t="n">
        <v>1</v>
      </c>
      <c r="F49" t="n">
        <v>189</v>
      </c>
      <c r="G49" t="n">
        <v>0</v>
      </c>
      <c r="H49">
        <f>E49*F49*(1-G49)</f>
        <v/>
      </c>
      <c r="I49">
        <f>XLOOKUP(D49,Products!$A$2:$A$15,Products!$B$2:$B$15,"Not found")</f>
        <v/>
      </c>
    </row>
    <row r="50">
      <c r="A50" t="n">
        <v>104369</v>
      </c>
      <c r="B50" s="1" t="n">
        <v>45661</v>
      </c>
      <c r="C50" t="inlineStr">
        <is>
          <t>S01</t>
        </is>
      </c>
      <c r="D50" t="inlineStr">
        <is>
          <t>P102</t>
        </is>
      </c>
      <c r="E50" t="n">
        <v>2</v>
      </c>
      <c r="F50" t="n">
        <v>14.5</v>
      </c>
      <c r="G50" t="n">
        <v>0</v>
      </c>
      <c r="H50">
        <f>E50*F50*(1-G50)</f>
        <v/>
      </c>
      <c r="I50">
        <f>XLOOKUP(D50,Products!$A$2:$A$15,Products!$B$2:$B$15,"Not found")</f>
        <v/>
      </c>
    </row>
    <row r="51">
      <c r="A51" t="n">
        <v>104370</v>
      </c>
      <c r="B51" s="1" t="n">
        <v>45661</v>
      </c>
      <c r="C51" t="inlineStr">
        <is>
          <t>S02</t>
        </is>
      </c>
      <c r="D51" t="inlineStr">
        <is>
          <t>P101</t>
        </is>
      </c>
      <c r="E51" t="n">
        <v>1</v>
      </c>
      <c r="F51" t="n">
        <v>39</v>
      </c>
      <c r="G51" t="n">
        <v>0</v>
      </c>
      <c r="H51">
        <f>E51*F51*(1-G51)</f>
        <v/>
      </c>
      <c r="I51">
        <f>XLOOKUP(D51,Products!$A$2:$A$15,Products!$B$2:$B$15,"Not found")</f>
        <v/>
      </c>
    </row>
    <row r="52">
      <c r="A52" t="n">
        <v>104371</v>
      </c>
      <c r="B52" s="1" t="n">
        <v>45661</v>
      </c>
      <c r="C52" t="inlineStr">
        <is>
          <t>S05</t>
        </is>
      </c>
      <c r="D52" t="inlineStr">
        <is>
          <t>P203</t>
        </is>
      </c>
      <c r="E52" t="n">
        <v>1</v>
      </c>
      <c r="F52" t="n">
        <v>19.5</v>
      </c>
      <c r="G52" t="n">
        <v>0</v>
      </c>
      <c r="H52">
        <f>E52*F52*(1-G52)</f>
        <v/>
      </c>
      <c r="I52">
        <f>XLOOKUP(D52,Products!$A$2:$A$15,Products!$B$2:$B$15,"Not found")</f>
        <v/>
      </c>
    </row>
    <row r="53">
      <c r="A53" t="n">
        <v>104372</v>
      </c>
      <c r="B53" s="1" t="n">
        <v>45661</v>
      </c>
      <c r="C53" t="inlineStr">
        <is>
          <t>S05</t>
        </is>
      </c>
      <c r="D53" t="inlineStr">
        <is>
          <t>P302</t>
        </is>
      </c>
      <c r="E53" t="n">
        <v>1</v>
      </c>
      <c r="F53" t="n">
        <v>24</v>
      </c>
      <c r="G53" t="n">
        <v>0.1</v>
      </c>
      <c r="H53">
        <f>E53*F53*(1-G53)</f>
        <v/>
      </c>
      <c r="I53">
        <f>XLOOKUP(D53,Products!$A$2:$A$15,Products!$B$2:$B$15,"Not found")</f>
        <v/>
      </c>
    </row>
    <row r="54">
      <c r="A54" t="n">
        <v>104373</v>
      </c>
      <c r="B54" s="1" t="n">
        <v>45661</v>
      </c>
      <c r="C54" t="inlineStr">
        <is>
          <t>S06</t>
        </is>
      </c>
      <c r="D54" t="inlineStr">
        <is>
          <t>P403</t>
        </is>
      </c>
      <c r="E54" t="n">
        <v>2</v>
      </c>
      <c r="F54" t="n">
        <v>89</v>
      </c>
      <c r="G54" t="n">
        <v>0.15</v>
      </c>
      <c r="H54">
        <f>E54*F54*(1-G54)</f>
        <v/>
      </c>
      <c r="I54">
        <f>XLOOKUP(D54,Products!$A$2:$A$15,Products!$B$2:$B$15,"Not found")</f>
        <v/>
      </c>
    </row>
    <row r="55">
      <c r="A55" t="n">
        <v>104374</v>
      </c>
      <c r="B55" s="1" t="n">
        <v>45661</v>
      </c>
      <c r="C55" t="inlineStr">
        <is>
          <t>S06</t>
        </is>
      </c>
      <c r="D55" t="inlineStr">
        <is>
          <t>P102</t>
        </is>
      </c>
      <c r="E55" t="n">
        <v>1</v>
      </c>
      <c r="F55" t="n">
        <v>14.5</v>
      </c>
      <c r="G55" t="n">
        <v>0</v>
      </c>
      <c r="H55">
        <f>E55*F55*(1-G55)</f>
        <v/>
      </c>
      <c r="I55">
        <f>XLOOKUP(D55,Products!$A$2:$A$15,Products!$B$2:$B$15,"Not found")</f>
        <v/>
      </c>
    </row>
    <row r="56">
      <c r="A56" t="n">
        <v>104375</v>
      </c>
      <c r="B56" s="1" t="n">
        <v>45661</v>
      </c>
      <c r="C56" t="inlineStr">
        <is>
          <t>S06</t>
        </is>
      </c>
      <c r="D56" t="inlineStr">
        <is>
          <t>P201</t>
        </is>
      </c>
      <c r="E56" t="n">
        <v>1</v>
      </c>
      <c r="F56" t="n">
        <v>149</v>
      </c>
      <c r="G56" t="n">
        <v>0</v>
      </c>
      <c r="H56">
        <f>E56*F56*(1-G56)</f>
        <v/>
      </c>
      <c r="I56">
        <f>XLOOKUP(D56,Products!$A$2:$A$15,Products!$B$2:$B$15,"Not found")</f>
        <v/>
      </c>
    </row>
    <row r="57">
      <c r="A57" t="n">
        <v>104376</v>
      </c>
      <c r="B57" s="1" t="n">
        <v>45662</v>
      </c>
      <c r="C57" t="inlineStr">
        <is>
          <t>S01</t>
        </is>
      </c>
      <c r="D57" t="inlineStr">
        <is>
          <t>P102</t>
        </is>
      </c>
      <c r="E57" t="n">
        <v>2</v>
      </c>
      <c r="F57" t="n">
        <v>14.5</v>
      </c>
      <c r="G57" t="n">
        <v>0.2</v>
      </c>
      <c r="H57">
        <f>E57*F57*(1-G57)</f>
        <v/>
      </c>
      <c r="I57">
        <f>XLOOKUP(D57,Products!$A$2:$A$15,Products!$B$2:$B$15,"Not found")</f>
        <v/>
      </c>
    </row>
    <row r="58">
      <c r="A58" t="n">
        <v>104377</v>
      </c>
      <c r="B58" s="1" t="n">
        <v>45662</v>
      </c>
      <c r="C58" t="inlineStr">
        <is>
          <t>S01</t>
        </is>
      </c>
      <c r="D58" t="inlineStr">
        <is>
          <t>P303</t>
        </is>
      </c>
      <c r="E58" t="n">
        <v>2</v>
      </c>
      <c r="F58" t="n">
        <v>12</v>
      </c>
      <c r="G58" t="n">
        <v>0</v>
      </c>
      <c r="H58">
        <f>E58*F58*(1-G58)</f>
        <v/>
      </c>
      <c r="I58">
        <f>XLOOKUP(D58,Products!$A$2:$A$15,Products!$B$2:$B$15,"Not found")</f>
        <v/>
      </c>
    </row>
    <row r="59">
      <c r="A59" t="n">
        <v>104378</v>
      </c>
      <c r="B59" s="1" t="n">
        <v>45662</v>
      </c>
      <c r="C59" t="inlineStr">
        <is>
          <t>S01</t>
        </is>
      </c>
      <c r="D59" t="inlineStr">
        <is>
          <t>P102</t>
        </is>
      </c>
      <c r="E59" t="n">
        <v>1</v>
      </c>
      <c r="F59" t="n">
        <v>14.5</v>
      </c>
      <c r="G59" t="n">
        <v>0.1</v>
      </c>
      <c r="H59">
        <f>E59*F59*(1-G59)</f>
        <v/>
      </c>
      <c r="I59">
        <f>XLOOKUP(D59,Products!$A$2:$A$15,Products!$B$2:$B$15,"Not found")</f>
        <v/>
      </c>
    </row>
    <row r="60">
      <c r="A60" t="n">
        <v>104379</v>
      </c>
      <c r="B60" s="1" t="n">
        <v>45662</v>
      </c>
      <c r="C60" t="inlineStr">
        <is>
          <t>S01</t>
        </is>
      </c>
      <c r="D60" t="inlineStr">
        <is>
          <t>P403</t>
        </is>
      </c>
      <c r="E60" t="n">
        <v>3</v>
      </c>
      <c r="F60" t="n">
        <v>89</v>
      </c>
      <c r="G60" t="n">
        <v>0</v>
      </c>
      <c r="H60">
        <f>E60*F60*(1-G60)</f>
        <v/>
      </c>
      <c r="I60">
        <f>XLOOKUP(D60,Products!$A$2:$A$15,Products!$B$2:$B$15,"Not found")</f>
        <v/>
      </c>
    </row>
    <row r="61">
      <c r="A61" t="n">
        <v>104380</v>
      </c>
      <c r="B61" s="1" t="n">
        <v>45662</v>
      </c>
      <c r="C61" t="inlineStr">
        <is>
          <t>S01</t>
        </is>
      </c>
      <c r="D61" t="inlineStr">
        <is>
          <t>P103</t>
        </is>
      </c>
      <c r="E61" t="n">
        <v>1</v>
      </c>
      <c r="F61" t="n">
        <v>29</v>
      </c>
      <c r="G61" t="n">
        <v>0</v>
      </c>
      <c r="H61">
        <f>E61*F61*(1-G61)</f>
        <v/>
      </c>
      <c r="I61">
        <f>XLOOKUP(D61,Products!$A$2:$A$15,Products!$B$2:$B$15,"Not found")</f>
        <v/>
      </c>
    </row>
    <row r="62">
      <c r="A62" t="n">
        <v>104381</v>
      </c>
      <c r="B62" s="1" t="n">
        <v>45662</v>
      </c>
      <c r="C62" t="inlineStr">
        <is>
          <t>S01</t>
        </is>
      </c>
      <c r="D62" t="inlineStr">
        <is>
          <t>P101</t>
        </is>
      </c>
      <c r="E62" t="n">
        <v>4</v>
      </c>
      <c r="F62" t="n">
        <v>39</v>
      </c>
      <c r="G62" t="n">
        <v>0.2</v>
      </c>
      <c r="H62">
        <f>E62*F62*(1-G62)</f>
        <v/>
      </c>
      <c r="I62">
        <f>XLOOKUP(D62,Products!$A$2:$A$15,Products!$B$2:$B$15,"Not found")</f>
        <v/>
      </c>
    </row>
    <row r="63">
      <c r="A63" t="n">
        <v>104382</v>
      </c>
      <c r="B63" s="1" t="n">
        <v>45662</v>
      </c>
      <c r="C63" t="inlineStr">
        <is>
          <t>S02</t>
        </is>
      </c>
      <c r="D63" t="inlineStr">
        <is>
          <t>P103</t>
        </is>
      </c>
      <c r="E63" t="n">
        <v>1</v>
      </c>
      <c r="F63" t="n">
        <v>29</v>
      </c>
      <c r="G63" t="n">
        <v>0.2</v>
      </c>
      <c r="H63">
        <f>E63*F63*(1-G63)</f>
        <v/>
      </c>
      <c r="I63">
        <f>XLOOKUP(D63,Products!$A$2:$A$15,Products!$B$2:$B$15,"Not found")</f>
        <v/>
      </c>
    </row>
    <row r="64">
      <c r="A64" t="n">
        <v>104383</v>
      </c>
      <c r="B64" s="1" t="n">
        <v>45662</v>
      </c>
      <c r="C64" t="inlineStr">
        <is>
          <t>S02</t>
        </is>
      </c>
      <c r="D64" t="inlineStr">
        <is>
          <t>P101</t>
        </is>
      </c>
      <c r="E64" t="n">
        <v>2</v>
      </c>
      <c r="F64" t="n">
        <v>39</v>
      </c>
      <c r="G64" t="n">
        <v>0</v>
      </c>
      <c r="H64">
        <f>E64*F64*(1-G64)</f>
        <v/>
      </c>
      <c r="I64">
        <f>XLOOKUP(D64,Products!$A$2:$A$15,Products!$B$2:$B$15,"Not found")</f>
        <v/>
      </c>
    </row>
    <row r="65">
      <c r="A65" t="n">
        <v>104384</v>
      </c>
      <c r="B65" s="1" t="n">
        <v>45662</v>
      </c>
      <c r="C65" t="inlineStr">
        <is>
          <t>S02</t>
        </is>
      </c>
      <c r="D65" t="inlineStr">
        <is>
          <t>P403</t>
        </is>
      </c>
      <c r="E65" t="n">
        <v>1</v>
      </c>
      <c r="F65" t="n">
        <v>89</v>
      </c>
      <c r="G65" t="n">
        <v>0</v>
      </c>
      <c r="H65">
        <f>E65*F65*(1-G65)</f>
        <v/>
      </c>
      <c r="I65">
        <f>XLOOKUP(D65,Products!$A$2:$A$15,Products!$B$2:$B$15,"Not found")</f>
        <v/>
      </c>
    </row>
    <row r="66">
      <c r="A66" t="n">
        <v>104385</v>
      </c>
      <c r="B66" s="1" t="n">
        <v>45662</v>
      </c>
      <c r="C66" t="inlineStr">
        <is>
          <t>S02</t>
        </is>
      </c>
      <c r="D66" t="inlineStr">
        <is>
          <t>P302</t>
        </is>
      </c>
      <c r="E66" t="n">
        <v>4</v>
      </c>
      <c r="F66" t="n">
        <v>24</v>
      </c>
      <c r="G66" t="n">
        <v>0</v>
      </c>
      <c r="H66">
        <f>E66*F66*(1-G66)</f>
        <v/>
      </c>
      <c r="I66">
        <f>XLOOKUP(D66,Products!$A$2:$A$15,Products!$B$2:$B$15,"Not found")</f>
        <v/>
      </c>
    </row>
    <row r="67">
      <c r="A67" t="n">
        <v>104386</v>
      </c>
      <c r="B67" s="1" t="n">
        <v>45662</v>
      </c>
      <c r="C67" t="inlineStr">
        <is>
          <t>S02</t>
        </is>
      </c>
      <c r="D67" t="inlineStr">
        <is>
          <t>P202</t>
        </is>
      </c>
      <c r="E67" t="n">
        <v>1</v>
      </c>
      <c r="F67" t="n">
        <v>79</v>
      </c>
      <c r="G67" t="n">
        <v>0</v>
      </c>
      <c r="H67">
        <f>E67*F67*(1-G67)</f>
        <v/>
      </c>
      <c r="I67">
        <f>XLOOKUP(D67,Products!$A$2:$A$15,Products!$B$2:$B$15,"Not found")</f>
        <v/>
      </c>
    </row>
    <row r="68">
      <c r="A68" t="n">
        <v>104387</v>
      </c>
      <c r="B68" s="1" t="n">
        <v>45662</v>
      </c>
      <c r="C68" t="inlineStr">
        <is>
          <t>S02</t>
        </is>
      </c>
      <c r="D68" t="inlineStr">
        <is>
          <t>P201</t>
        </is>
      </c>
      <c r="E68" t="n">
        <v>1</v>
      </c>
      <c r="F68" t="n">
        <v>149</v>
      </c>
      <c r="G68" t="n">
        <v>0.1</v>
      </c>
      <c r="H68">
        <f>E68*F68*(1-G68)</f>
        <v/>
      </c>
      <c r="I68">
        <f>XLOOKUP(D68,Products!$A$2:$A$15,Products!$B$2:$B$15,"Not found")</f>
        <v/>
      </c>
    </row>
    <row r="69">
      <c r="A69" t="n">
        <v>104388</v>
      </c>
      <c r="B69" s="1" t="n">
        <v>45662</v>
      </c>
      <c r="C69" t="inlineStr">
        <is>
          <t>S03</t>
        </is>
      </c>
      <c r="D69" t="inlineStr">
        <is>
          <t>P204</t>
        </is>
      </c>
      <c r="E69" t="n">
        <v>1</v>
      </c>
      <c r="F69" t="n">
        <v>229</v>
      </c>
      <c r="G69" t="n">
        <v>0</v>
      </c>
      <c r="H69">
        <f>E69*F69*(1-G69)</f>
        <v/>
      </c>
      <c r="I69">
        <f>XLOOKUP(D69,Products!$A$2:$A$15,Products!$B$2:$B$15,"Not found")</f>
        <v/>
      </c>
    </row>
    <row r="70">
      <c r="A70" t="n">
        <v>104389</v>
      </c>
      <c r="B70" s="1" t="n">
        <v>45662</v>
      </c>
      <c r="C70" t="inlineStr">
        <is>
          <t>S03</t>
        </is>
      </c>
      <c r="D70" t="inlineStr">
        <is>
          <t>P403</t>
        </is>
      </c>
      <c r="E70" t="n">
        <v>1</v>
      </c>
      <c r="F70" t="n">
        <v>89</v>
      </c>
      <c r="G70" t="n">
        <v>0</v>
      </c>
      <c r="H70">
        <f>E70*F70*(1-G70)</f>
        <v/>
      </c>
      <c r="I70">
        <f>XLOOKUP(D70,Products!$A$2:$A$15,Products!$B$2:$B$15,"Not found")</f>
        <v/>
      </c>
    </row>
    <row r="71">
      <c r="A71" t="n">
        <v>104390</v>
      </c>
      <c r="B71" s="1" t="n">
        <v>45662</v>
      </c>
      <c r="C71" t="inlineStr">
        <is>
          <t>S04</t>
        </is>
      </c>
      <c r="D71" t="inlineStr">
        <is>
          <t>P102</t>
        </is>
      </c>
      <c r="E71" t="n">
        <v>1</v>
      </c>
      <c r="F71" t="n">
        <v>14.5</v>
      </c>
      <c r="G71" t="n">
        <v>0</v>
      </c>
      <c r="H71">
        <f>E71*F71*(1-G71)</f>
        <v/>
      </c>
      <c r="I71">
        <f>XLOOKUP(D71,Products!$A$2:$A$15,Products!$B$2:$B$15,"Not found")</f>
        <v/>
      </c>
    </row>
    <row r="72">
      <c r="A72" t="n">
        <v>104391</v>
      </c>
      <c r="B72" s="1" t="n">
        <v>45662</v>
      </c>
      <c r="C72" t="inlineStr">
        <is>
          <t>S04</t>
        </is>
      </c>
      <c r="D72" t="inlineStr">
        <is>
          <t>P302</t>
        </is>
      </c>
      <c r="E72" t="n">
        <v>1</v>
      </c>
      <c r="F72" t="n">
        <v>24</v>
      </c>
      <c r="G72" t="n">
        <v>0.1</v>
      </c>
      <c r="H72">
        <f>E72*F72*(1-G72)</f>
        <v/>
      </c>
      <c r="I72">
        <f>XLOOKUP(D72,Products!$A$2:$A$15,Products!$B$2:$B$15,"Not found")</f>
        <v/>
      </c>
    </row>
    <row r="73">
      <c r="A73" t="n">
        <v>104392</v>
      </c>
      <c r="B73" s="1" t="n">
        <v>45662</v>
      </c>
      <c r="C73" t="inlineStr">
        <is>
          <t>S04</t>
        </is>
      </c>
      <c r="D73" t="inlineStr">
        <is>
          <t>P403</t>
        </is>
      </c>
      <c r="E73" t="n">
        <v>2</v>
      </c>
      <c r="F73" t="n">
        <v>89</v>
      </c>
      <c r="G73" t="n">
        <v>0</v>
      </c>
      <c r="H73">
        <f>E73*F73*(1-G73)</f>
        <v/>
      </c>
      <c r="I73">
        <f>XLOOKUP(D73,Products!$A$2:$A$15,Products!$B$2:$B$15,"Not found")</f>
        <v/>
      </c>
    </row>
    <row r="74">
      <c r="A74" t="n">
        <v>104393</v>
      </c>
      <c r="B74" s="1" t="n">
        <v>45662</v>
      </c>
      <c r="C74" t="inlineStr">
        <is>
          <t>S04</t>
        </is>
      </c>
      <c r="D74" t="inlineStr">
        <is>
          <t>P102</t>
        </is>
      </c>
      <c r="E74" t="n">
        <v>3</v>
      </c>
      <c r="F74" t="n">
        <v>14.5</v>
      </c>
      <c r="G74" t="n">
        <v>0</v>
      </c>
      <c r="H74">
        <f>E74*F74*(1-G74)</f>
        <v/>
      </c>
      <c r="I74">
        <f>XLOOKUP(D74,Products!$A$2:$A$15,Products!$B$2:$B$15,"Not found")</f>
        <v/>
      </c>
    </row>
    <row r="75">
      <c r="A75" t="n">
        <v>104394</v>
      </c>
      <c r="B75" s="1" t="n">
        <v>45662</v>
      </c>
      <c r="C75" t="inlineStr">
        <is>
          <t>S05</t>
        </is>
      </c>
      <c r="D75" t="inlineStr">
        <is>
          <t>P101</t>
        </is>
      </c>
      <c r="E75" t="n">
        <v>2</v>
      </c>
      <c r="F75" t="n">
        <v>39</v>
      </c>
      <c r="G75" t="n">
        <v>0</v>
      </c>
      <c r="H75">
        <f>E75*F75*(1-G75)</f>
        <v/>
      </c>
      <c r="I75">
        <f>XLOOKUP(D75,Products!$A$2:$A$15,Products!$B$2:$B$15,"Not found")</f>
        <v/>
      </c>
    </row>
    <row r="76">
      <c r="A76" t="n">
        <v>104395</v>
      </c>
      <c r="B76" s="1" t="n">
        <v>45662</v>
      </c>
      <c r="C76" t="inlineStr">
        <is>
          <t>S06</t>
        </is>
      </c>
      <c r="D76" t="inlineStr">
        <is>
          <t>P203</t>
        </is>
      </c>
      <c r="E76" t="n">
        <v>1</v>
      </c>
      <c r="F76" t="n">
        <v>19.5</v>
      </c>
      <c r="G76" t="n">
        <v>0.15</v>
      </c>
      <c r="H76">
        <f>E76*F76*(1-G76)</f>
        <v/>
      </c>
      <c r="I76">
        <f>XLOOKUP(D76,Products!$A$2:$A$15,Products!$B$2:$B$15,"Not found")</f>
        <v/>
      </c>
    </row>
    <row r="77">
      <c r="A77" t="n">
        <v>104396</v>
      </c>
      <c r="B77" s="1" t="n">
        <v>45662</v>
      </c>
      <c r="C77" t="inlineStr">
        <is>
          <t>S06</t>
        </is>
      </c>
      <c r="D77" t="inlineStr">
        <is>
          <t>P102</t>
        </is>
      </c>
      <c r="E77" t="n">
        <v>3</v>
      </c>
      <c r="F77" t="n">
        <v>14.5</v>
      </c>
      <c r="G77" t="n">
        <v>0</v>
      </c>
      <c r="H77">
        <f>E77*F77*(1-G77)</f>
        <v/>
      </c>
      <c r="I77">
        <f>XLOOKUP(D77,Products!$A$2:$A$15,Products!$B$2:$B$15,"Not found")</f>
        <v/>
      </c>
    </row>
    <row r="78">
      <c r="A78" t="n">
        <v>104397</v>
      </c>
      <c r="B78" s="1" t="n">
        <v>45663</v>
      </c>
      <c r="C78" t="inlineStr">
        <is>
          <t>S01</t>
        </is>
      </c>
      <c r="D78" t="inlineStr">
        <is>
          <t>P102</t>
        </is>
      </c>
      <c r="E78" t="n">
        <v>4</v>
      </c>
      <c r="F78" t="n">
        <v>14.5</v>
      </c>
      <c r="G78" t="n">
        <v>0</v>
      </c>
      <c r="H78">
        <f>E78*F78*(1-G78)</f>
        <v/>
      </c>
      <c r="I78">
        <f>XLOOKUP(D78,Products!$A$2:$A$15,Products!$B$2:$B$15,"Not found")</f>
        <v/>
      </c>
    </row>
    <row r="79">
      <c r="A79" t="n">
        <v>104398</v>
      </c>
      <c r="B79" s="1" t="n">
        <v>45663</v>
      </c>
      <c r="C79" t="inlineStr">
        <is>
          <t>S01</t>
        </is>
      </c>
      <c r="D79" t="inlineStr">
        <is>
          <t>P102</t>
        </is>
      </c>
      <c r="E79" t="n">
        <v>4</v>
      </c>
      <c r="F79" t="n">
        <v>14.5</v>
      </c>
      <c r="G79" t="n">
        <v>0.1</v>
      </c>
      <c r="H79">
        <f>E79*F79*(1-G79)</f>
        <v/>
      </c>
      <c r="I79">
        <f>XLOOKUP(D79,Products!$A$2:$A$15,Products!$B$2:$B$15,"Not found")</f>
        <v/>
      </c>
    </row>
    <row r="80">
      <c r="A80" t="n">
        <v>104399</v>
      </c>
      <c r="B80" s="1" t="n">
        <v>45663</v>
      </c>
      <c r="C80" t="inlineStr">
        <is>
          <t>S01</t>
        </is>
      </c>
      <c r="D80" t="inlineStr">
        <is>
          <t>P104</t>
        </is>
      </c>
      <c r="E80" t="n">
        <v>1</v>
      </c>
      <c r="F80" t="n">
        <v>189</v>
      </c>
      <c r="G80" t="n">
        <v>0</v>
      </c>
      <c r="H80">
        <f>E80*F80*(1-G80)</f>
        <v/>
      </c>
      <c r="I80">
        <f>XLOOKUP(D80,Products!$A$2:$A$15,Products!$B$2:$B$15,"Not found")</f>
        <v/>
      </c>
    </row>
    <row r="81">
      <c r="A81" t="n">
        <v>104400</v>
      </c>
      <c r="B81" s="1" t="n">
        <v>45663</v>
      </c>
      <c r="C81" t="inlineStr">
        <is>
          <t>S01</t>
        </is>
      </c>
      <c r="D81" t="inlineStr">
        <is>
          <t>P303</t>
        </is>
      </c>
      <c r="E81" t="n">
        <v>1</v>
      </c>
      <c r="F81" t="n">
        <v>12</v>
      </c>
      <c r="G81" t="n">
        <v>0.2</v>
      </c>
      <c r="H81">
        <f>E81*F81*(1-G81)</f>
        <v/>
      </c>
      <c r="I81">
        <f>XLOOKUP(D81,Products!$A$2:$A$15,Products!$B$2:$B$15,"Not found")</f>
        <v/>
      </c>
    </row>
    <row r="82">
      <c r="A82" t="n">
        <v>104401</v>
      </c>
      <c r="B82" s="1" t="n">
        <v>45663</v>
      </c>
      <c r="C82" t="inlineStr">
        <is>
          <t>S01</t>
        </is>
      </c>
      <c r="D82" t="inlineStr">
        <is>
          <t>P202</t>
        </is>
      </c>
      <c r="E82" t="n">
        <v>3</v>
      </c>
      <c r="F82" t="n">
        <v>79</v>
      </c>
      <c r="G82" t="n">
        <v>0</v>
      </c>
      <c r="H82">
        <f>E82*F82*(1-G82)</f>
        <v/>
      </c>
      <c r="I82">
        <f>XLOOKUP(D82,Products!$A$2:$A$15,Products!$B$2:$B$15,"Not found")</f>
        <v/>
      </c>
    </row>
    <row r="83">
      <c r="A83" t="n">
        <v>104402</v>
      </c>
      <c r="B83" s="1" t="n">
        <v>45663</v>
      </c>
      <c r="C83" t="inlineStr">
        <is>
          <t>S01</t>
        </is>
      </c>
      <c r="D83" t="inlineStr">
        <is>
          <t>P102</t>
        </is>
      </c>
      <c r="E83" t="n">
        <v>4</v>
      </c>
      <c r="F83" t="n">
        <v>14.5</v>
      </c>
      <c r="G83" t="n">
        <v>0</v>
      </c>
      <c r="H83">
        <f>E83*F83*(1-G83)</f>
        <v/>
      </c>
      <c r="I83">
        <f>XLOOKUP(D83,Products!$A$2:$A$15,Products!$B$2:$B$15,"Not found")</f>
        <v/>
      </c>
    </row>
    <row r="84">
      <c r="A84" t="n">
        <v>104403</v>
      </c>
      <c r="B84" s="1" t="n">
        <v>45663</v>
      </c>
      <c r="C84" t="inlineStr">
        <is>
          <t>S01</t>
        </is>
      </c>
      <c r="D84" t="inlineStr">
        <is>
          <t>P302</t>
        </is>
      </c>
      <c r="E84" t="n">
        <v>1</v>
      </c>
      <c r="F84" t="n">
        <v>24</v>
      </c>
      <c r="G84" t="n">
        <v>0.15</v>
      </c>
      <c r="H84">
        <f>E84*F84*(1-G84)</f>
        <v/>
      </c>
      <c r="I84">
        <f>XLOOKUP(D84,Products!$A$2:$A$15,Products!$B$2:$B$15,"Not found")</f>
        <v/>
      </c>
    </row>
    <row r="85">
      <c r="A85" t="n">
        <v>104404</v>
      </c>
      <c r="B85" s="1" t="n">
        <v>45663</v>
      </c>
      <c r="C85" t="inlineStr">
        <is>
          <t>S02</t>
        </is>
      </c>
      <c r="D85" t="inlineStr">
        <is>
          <t>P203</t>
        </is>
      </c>
      <c r="E85" t="n">
        <v>2</v>
      </c>
      <c r="F85" t="n">
        <v>19.5</v>
      </c>
      <c r="G85" t="n">
        <v>0.1</v>
      </c>
      <c r="H85">
        <f>E85*F85*(1-G85)</f>
        <v/>
      </c>
      <c r="I85">
        <f>XLOOKUP(D85,Products!$A$2:$A$15,Products!$B$2:$B$15,"Not found")</f>
        <v/>
      </c>
    </row>
    <row r="86">
      <c r="A86" t="n">
        <v>104405</v>
      </c>
      <c r="B86" s="1" t="n">
        <v>45663</v>
      </c>
      <c r="C86" t="inlineStr">
        <is>
          <t>S02</t>
        </is>
      </c>
      <c r="D86" t="inlineStr">
        <is>
          <t>P102</t>
        </is>
      </c>
      <c r="E86" t="n">
        <v>1</v>
      </c>
      <c r="F86" t="n">
        <v>14.5</v>
      </c>
      <c r="G86" t="n">
        <v>0</v>
      </c>
      <c r="H86">
        <f>E86*F86*(1-G86)</f>
        <v/>
      </c>
      <c r="I86">
        <f>XLOOKUP(D86,Products!$A$2:$A$15,Products!$B$2:$B$15,"Not found")</f>
        <v/>
      </c>
    </row>
    <row r="87">
      <c r="A87" t="n">
        <v>104406</v>
      </c>
      <c r="B87" s="1" t="n">
        <v>45663</v>
      </c>
      <c r="C87" t="inlineStr">
        <is>
          <t>S02</t>
        </is>
      </c>
      <c r="D87" t="inlineStr">
        <is>
          <t>P203</t>
        </is>
      </c>
      <c r="E87" t="n">
        <v>1</v>
      </c>
      <c r="F87" t="n">
        <v>19.5</v>
      </c>
      <c r="G87" t="n">
        <v>0.15</v>
      </c>
      <c r="H87">
        <f>E87*F87*(1-G87)</f>
        <v/>
      </c>
      <c r="I87">
        <f>XLOOKUP(D87,Products!$A$2:$A$15,Products!$B$2:$B$15,"Not found")</f>
        <v/>
      </c>
    </row>
    <row r="88">
      <c r="A88" t="n">
        <v>104407</v>
      </c>
      <c r="B88" s="1" t="n">
        <v>45663</v>
      </c>
      <c r="C88" t="inlineStr">
        <is>
          <t>S02</t>
        </is>
      </c>
      <c r="D88" t="inlineStr">
        <is>
          <t>P201</t>
        </is>
      </c>
      <c r="E88" t="n">
        <v>1</v>
      </c>
      <c r="F88" t="n">
        <v>149</v>
      </c>
      <c r="G88" t="n">
        <v>0</v>
      </c>
      <c r="H88">
        <f>E88*F88*(1-G88)</f>
        <v/>
      </c>
      <c r="I88">
        <f>XLOOKUP(D88,Products!$A$2:$A$15,Products!$B$2:$B$15,"Not found")</f>
        <v/>
      </c>
    </row>
    <row r="89">
      <c r="A89" t="n">
        <v>104408</v>
      </c>
      <c r="B89" s="1" t="n">
        <v>45663</v>
      </c>
      <c r="C89" t="inlineStr">
        <is>
          <t>S02</t>
        </is>
      </c>
      <c r="D89" t="inlineStr">
        <is>
          <t>P102</t>
        </is>
      </c>
      <c r="E89" t="n">
        <v>3</v>
      </c>
      <c r="F89" t="n">
        <v>14.5</v>
      </c>
      <c r="G89" t="n">
        <v>0</v>
      </c>
      <c r="H89">
        <f>E89*F89*(1-G89)</f>
        <v/>
      </c>
      <c r="I89">
        <f>XLOOKUP(D89,Products!$A$2:$A$15,Products!$B$2:$B$15,"Not found")</f>
        <v/>
      </c>
    </row>
    <row r="90">
      <c r="A90" t="n">
        <v>104409</v>
      </c>
      <c r="B90" s="1" t="n">
        <v>45663</v>
      </c>
      <c r="C90" t="inlineStr">
        <is>
          <t>S03</t>
        </is>
      </c>
      <c r="D90" t="inlineStr">
        <is>
          <t>P202</t>
        </is>
      </c>
      <c r="E90" t="n">
        <v>2</v>
      </c>
      <c r="F90" t="n">
        <v>79</v>
      </c>
      <c r="G90" t="n">
        <v>0.2</v>
      </c>
      <c r="H90">
        <f>E90*F90*(1-G90)</f>
        <v/>
      </c>
      <c r="I90">
        <f>XLOOKUP(D90,Products!$A$2:$A$15,Products!$B$2:$B$15,"Not found")</f>
        <v/>
      </c>
    </row>
    <row r="91">
      <c r="A91" t="n">
        <v>104410</v>
      </c>
      <c r="B91" s="1" t="n">
        <v>45663</v>
      </c>
      <c r="C91" t="inlineStr">
        <is>
          <t>S03</t>
        </is>
      </c>
      <c r="D91" t="inlineStr">
        <is>
          <t>P102</t>
        </is>
      </c>
      <c r="E91" t="n">
        <v>3</v>
      </c>
      <c r="F91" t="n">
        <v>14.5</v>
      </c>
      <c r="G91" t="n">
        <v>0.1</v>
      </c>
      <c r="H91">
        <f>E91*F91*(1-G91)</f>
        <v/>
      </c>
      <c r="I91">
        <f>XLOOKUP(D91,Products!$A$2:$A$15,Products!$B$2:$B$15,"Not found")</f>
        <v/>
      </c>
    </row>
    <row r="92">
      <c r="A92" t="n">
        <v>104411</v>
      </c>
      <c r="B92" s="1" t="n">
        <v>45663</v>
      </c>
      <c r="C92" t="inlineStr">
        <is>
          <t>S04</t>
        </is>
      </c>
      <c r="D92" t="inlineStr">
        <is>
          <t>P103</t>
        </is>
      </c>
      <c r="E92" t="n">
        <v>1</v>
      </c>
      <c r="F92" t="n">
        <v>29</v>
      </c>
      <c r="G92" t="n">
        <v>0</v>
      </c>
      <c r="H92">
        <f>E92*F92*(1-G92)</f>
        <v/>
      </c>
      <c r="I92">
        <f>XLOOKUP(D92,Products!$A$2:$A$15,Products!$B$2:$B$15,"Not found")</f>
        <v/>
      </c>
    </row>
    <row r="93">
      <c r="A93" t="n">
        <v>104412</v>
      </c>
      <c r="B93" s="1" t="n">
        <v>45663</v>
      </c>
      <c r="C93" t="inlineStr">
        <is>
          <t>S05</t>
        </is>
      </c>
      <c r="D93" t="inlineStr">
        <is>
          <t>P303</t>
        </is>
      </c>
      <c r="E93" t="n">
        <v>1</v>
      </c>
      <c r="F93" t="n">
        <v>12</v>
      </c>
      <c r="G93" t="n">
        <v>0</v>
      </c>
      <c r="H93">
        <f>E93*F93*(1-G93)</f>
        <v/>
      </c>
      <c r="I93">
        <f>XLOOKUP(D93,Products!$A$2:$A$15,Products!$B$2:$B$15,"Not found")</f>
        <v/>
      </c>
    </row>
    <row r="94">
      <c r="A94" t="n">
        <v>104413</v>
      </c>
      <c r="B94" s="1" t="n">
        <v>45663</v>
      </c>
      <c r="C94" t="inlineStr">
        <is>
          <t>S05</t>
        </is>
      </c>
      <c r="D94" t="inlineStr">
        <is>
          <t>P402</t>
        </is>
      </c>
      <c r="E94" t="n">
        <v>1</v>
      </c>
      <c r="F94" t="n">
        <v>699</v>
      </c>
      <c r="G94" t="n">
        <v>0</v>
      </c>
      <c r="H94">
        <f>E94*F94*(1-G94)</f>
        <v/>
      </c>
      <c r="I94">
        <f>XLOOKUP(D94,Products!$A$2:$A$15,Products!$B$2:$B$15,"Not found")</f>
        <v/>
      </c>
    </row>
    <row r="95">
      <c r="A95" t="n">
        <v>104414</v>
      </c>
      <c r="B95" s="1" t="n">
        <v>45664</v>
      </c>
      <c r="C95" t="inlineStr">
        <is>
          <t>S01</t>
        </is>
      </c>
      <c r="D95" t="inlineStr">
        <is>
          <t>P301</t>
        </is>
      </c>
      <c r="E95" t="n">
        <v>1</v>
      </c>
      <c r="F95" t="n">
        <v>119</v>
      </c>
      <c r="G95" t="n">
        <v>0</v>
      </c>
      <c r="H95">
        <f>E95*F95*(1-G95)</f>
        <v/>
      </c>
      <c r="I95">
        <f>XLOOKUP(D95,Products!$A$2:$A$15,Products!$B$2:$B$15,"Not found")</f>
        <v/>
      </c>
    </row>
    <row r="96">
      <c r="A96" t="n">
        <v>104415</v>
      </c>
      <c r="B96" s="1" t="n">
        <v>45664</v>
      </c>
      <c r="C96" t="inlineStr">
        <is>
          <t>S01</t>
        </is>
      </c>
      <c r="D96" t="inlineStr">
        <is>
          <t>P203</t>
        </is>
      </c>
      <c r="E96" t="n">
        <v>1</v>
      </c>
      <c r="F96" t="n">
        <v>19.5</v>
      </c>
      <c r="G96" t="n">
        <v>0</v>
      </c>
      <c r="H96">
        <f>E96*F96*(1-G96)</f>
        <v/>
      </c>
      <c r="I96">
        <f>XLOOKUP(D96,Products!$A$2:$A$15,Products!$B$2:$B$15,"Not found")</f>
        <v/>
      </c>
    </row>
    <row r="97">
      <c r="A97" t="n">
        <v>104416</v>
      </c>
      <c r="B97" s="1" t="n">
        <v>45664</v>
      </c>
      <c r="C97" t="inlineStr">
        <is>
          <t>S02</t>
        </is>
      </c>
      <c r="D97" t="inlineStr">
        <is>
          <t>P303</t>
        </is>
      </c>
      <c r="E97" t="n">
        <v>2</v>
      </c>
      <c r="F97" t="n">
        <v>12</v>
      </c>
      <c r="G97" t="n">
        <v>0</v>
      </c>
      <c r="H97">
        <f>E97*F97*(1-G97)</f>
        <v/>
      </c>
      <c r="I97">
        <f>XLOOKUP(D97,Products!$A$2:$A$15,Products!$B$2:$B$15,"Not found")</f>
        <v/>
      </c>
    </row>
    <row r="98">
      <c r="A98" t="n">
        <v>104417</v>
      </c>
      <c r="B98" s="1" t="n">
        <v>45664</v>
      </c>
      <c r="C98" t="inlineStr">
        <is>
          <t>S02</t>
        </is>
      </c>
      <c r="D98" t="inlineStr">
        <is>
          <t>P303</t>
        </is>
      </c>
      <c r="E98" t="n">
        <v>4</v>
      </c>
      <c r="F98" t="n">
        <v>12</v>
      </c>
      <c r="G98" t="n">
        <v>0</v>
      </c>
      <c r="H98">
        <f>E98*F98*(1-G98)</f>
        <v/>
      </c>
      <c r="I98">
        <f>XLOOKUP(D98,Products!$A$2:$A$15,Products!$B$2:$B$15,"Not found")</f>
        <v/>
      </c>
    </row>
    <row r="99">
      <c r="A99" t="n">
        <v>104418</v>
      </c>
      <c r="B99" s="1" t="n">
        <v>45664</v>
      </c>
      <c r="C99" t="inlineStr">
        <is>
          <t>S02</t>
        </is>
      </c>
      <c r="D99" t="inlineStr">
        <is>
          <t>P203</t>
        </is>
      </c>
      <c r="E99" t="n">
        <v>2</v>
      </c>
      <c r="F99" t="n">
        <v>19.5</v>
      </c>
      <c r="G99" t="n">
        <v>0</v>
      </c>
      <c r="H99">
        <f>E99*F99*(1-G99)</f>
        <v/>
      </c>
      <c r="I99">
        <f>XLOOKUP(D99,Products!$A$2:$A$15,Products!$B$2:$B$15,"Not found")</f>
        <v/>
      </c>
    </row>
    <row r="100">
      <c r="A100" t="n">
        <v>104419</v>
      </c>
      <c r="B100" s="1" t="n">
        <v>45664</v>
      </c>
      <c r="C100" t="inlineStr">
        <is>
          <t>S03</t>
        </is>
      </c>
      <c r="D100" t="inlineStr">
        <is>
          <t>P203</t>
        </is>
      </c>
      <c r="E100" t="n">
        <v>2</v>
      </c>
      <c r="F100" t="n">
        <v>19.5</v>
      </c>
      <c r="G100" t="n">
        <v>0</v>
      </c>
      <c r="H100">
        <f>E100*F100*(1-G100)</f>
        <v/>
      </c>
      <c r="I100">
        <f>XLOOKUP(D100,Products!$A$2:$A$15,Products!$B$2:$B$15,"Not found")</f>
        <v/>
      </c>
    </row>
    <row r="101">
      <c r="A101" t="n">
        <v>104420</v>
      </c>
      <c r="B101" s="1" t="n">
        <v>45664</v>
      </c>
      <c r="C101" t="inlineStr">
        <is>
          <t>S03</t>
        </is>
      </c>
      <c r="D101" t="inlineStr">
        <is>
          <t>P203</t>
        </is>
      </c>
      <c r="E101" t="n">
        <v>2</v>
      </c>
      <c r="F101" t="n">
        <v>19.5</v>
      </c>
      <c r="G101" t="n">
        <v>0</v>
      </c>
      <c r="H101">
        <f>E101*F101*(1-G101)</f>
        <v/>
      </c>
      <c r="I101">
        <f>XLOOKUP(D101,Products!$A$2:$A$15,Products!$B$2:$B$15,"Not found")</f>
        <v/>
      </c>
    </row>
    <row r="102">
      <c r="A102" t="n">
        <v>104421</v>
      </c>
      <c r="B102" s="1" t="n">
        <v>45664</v>
      </c>
      <c r="C102" t="inlineStr">
        <is>
          <t>S04</t>
        </is>
      </c>
      <c r="D102" t="inlineStr">
        <is>
          <t>P303</t>
        </is>
      </c>
      <c r="E102" t="n">
        <v>4</v>
      </c>
      <c r="F102" t="n">
        <v>12</v>
      </c>
      <c r="G102" t="n">
        <v>0.15</v>
      </c>
      <c r="H102">
        <f>E102*F102*(1-G102)</f>
        <v/>
      </c>
      <c r="I102">
        <f>XLOOKUP(D102,Products!$A$2:$A$15,Products!$B$2:$B$15,"Not found")</f>
        <v/>
      </c>
    </row>
    <row r="103">
      <c r="A103" t="n">
        <v>104422</v>
      </c>
      <c r="B103" s="1" t="n">
        <v>45664</v>
      </c>
      <c r="C103" t="inlineStr">
        <is>
          <t>S04</t>
        </is>
      </c>
      <c r="D103" t="inlineStr">
        <is>
          <t>P202</t>
        </is>
      </c>
      <c r="E103" t="n">
        <v>2</v>
      </c>
      <c r="F103" t="n">
        <v>79</v>
      </c>
      <c r="G103" t="n">
        <v>0</v>
      </c>
      <c r="H103">
        <f>E103*F103*(1-G103)</f>
        <v/>
      </c>
      <c r="I103">
        <f>XLOOKUP(D103,Products!$A$2:$A$15,Products!$B$2:$B$15,"Not found")</f>
        <v/>
      </c>
    </row>
    <row r="104">
      <c r="A104" t="n">
        <v>104423</v>
      </c>
      <c r="B104" s="1" t="n">
        <v>45664</v>
      </c>
      <c r="C104" t="inlineStr">
        <is>
          <t>S04</t>
        </is>
      </c>
      <c r="D104" t="inlineStr">
        <is>
          <t>P302</t>
        </is>
      </c>
      <c r="E104" t="n">
        <v>2</v>
      </c>
      <c r="F104" t="n">
        <v>24</v>
      </c>
      <c r="G104" t="n">
        <v>0</v>
      </c>
      <c r="H104">
        <f>E104*F104*(1-G104)</f>
        <v/>
      </c>
      <c r="I104">
        <f>XLOOKUP(D104,Products!$A$2:$A$15,Products!$B$2:$B$15,"Not found")</f>
        <v/>
      </c>
    </row>
    <row r="105">
      <c r="A105" t="n">
        <v>104424</v>
      </c>
      <c r="B105" s="1" t="n">
        <v>45664</v>
      </c>
      <c r="C105" t="inlineStr">
        <is>
          <t>S04</t>
        </is>
      </c>
      <c r="D105" t="inlineStr">
        <is>
          <t>P101</t>
        </is>
      </c>
      <c r="E105" t="n">
        <v>1</v>
      </c>
      <c r="F105" t="n">
        <v>39</v>
      </c>
      <c r="G105" t="n">
        <v>0</v>
      </c>
      <c r="H105">
        <f>E105*F105*(1-G105)</f>
        <v/>
      </c>
      <c r="I105">
        <f>XLOOKUP(D105,Products!$A$2:$A$15,Products!$B$2:$B$15,"Not found")</f>
        <v/>
      </c>
    </row>
    <row r="106">
      <c r="A106" t="n">
        <v>104425</v>
      </c>
      <c r="B106" s="1" t="n">
        <v>45664</v>
      </c>
      <c r="C106" t="inlineStr">
        <is>
          <t>S05</t>
        </is>
      </c>
      <c r="D106" t="inlineStr">
        <is>
          <t>P303</t>
        </is>
      </c>
      <c r="E106" t="n">
        <v>2</v>
      </c>
      <c r="F106" t="n">
        <v>12</v>
      </c>
      <c r="G106" t="n">
        <v>0.1</v>
      </c>
      <c r="H106">
        <f>E106*F106*(1-G106)</f>
        <v/>
      </c>
      <c r="I106">
        <f>XLOOKUP(D106,Products!$A$2:$A$15,Products!$B$2:$B$15,"Not found")</f>
        <v/>
      </c>
    </row>
    <row r="107">
      <c r="A107" t="n">
        <v>104426</v>
      </c>
      <c r="B107" s="1" t="n">
        <v>45664</v>
      </c>
      <c r="C107" t="inlineStr">
        <is>
          <t>S05</t>
        </is>
      </c>
      <c r="D107" t="inlineStr">
        <is>
          <t>P103</t>
        </is>
      </c>
      <c r="E107" t="n">
        <v>1</v>
      </c>
      <c r="F107" t="n">
        <v>29</v>
      </c>
      <c r="G107" t="n">
        <v>0</v>
      </c>
      <c r="H107">
        <f>E107*F107*(1-G107)</f>
        <v/>
      </c>
      <c r="I107">
        <f>XLOOKUP(D107,Products!$A$2:$A$15,Products!$B$2:$B$15,"Not found")</f>
        <v/>
      </c>
    </row>
    <row r="108">
      <c r="A108" t="n">
        <v>104427</v>
      </c>
      <c r="B108" s="1" t="n">
        <v>45664</v>
      </c>
      <c r="C108" t="inlineStr">
        <is>
          <t>S05</t>
        </is>
      </c>
      <c r="D108" t="inlineStr">
        <is>
          <t>P203</t>
        </is>
      </c>
      <c r="E108" t="n">
        <v>1</v>
      </c>
      <c r="F108" t="n">
        <v>19.5</v>
      </c>
      <c r="G108" t="n">
        <v>0.1</v>
      </c>
      <c r="H108">
        <f>E108*F108*(1-G108)</f>
        <v/>
      </c>
      <c r="I108">
        <f>XLOOKUP(D108,Products!$A$2:$A$15,Products!$B$2:$B$15,"Not found")</f>
        <v/>
      </c>
    </row>
    <row r="109">
      <c r="A109" t="n">
        <v>104428</v>
      </c>
      <c r="B109" s="1" t="n">
        <v>45664</v>
      </c>
      <c r="C109" t="inlineStr">
        <is>
          <t>S05</t>
        </is>
      </c>
      <c r="D109" t="inlineStr">
        <is>
          <t>P201</t>
        </is>
      </c>
      <c r="E109" t="n">
        <v>1</v>
      </c>
      <c r="F109" t="n">
        <v>149</v>
      </c>
      <c r="G109" t="n">
        <v>0</v>
      </c>
      <c r="H109">
        <f>E109*F109*(1-G109)</f>
        <v/>
      </c>
      <c r="I109">
        <f>XLOOKUP(D109,Products!$A$2:$A$15,Products!$B$2:$B$15,"Not found")</f>
        <v/>
      </c>
    </row>
    <row r="110">
      <c r="A110" t="n">
        <v>104429</v>
      </c>
      <c r="B110" s="1" t="n">
        <v>45664</v>
      </c>
      <c r="C110" t="inlineStr">
        <is>
          <t>S06</t>
        </is>
      </c>
      <c r="D110" t="inlineStr">
        <is>
          <t>P103</t>
        </is>
      </c>
      <c r="E110" t="n">
        <v>2</v>
      </c>
      <c r="F110" t="n">
        <v>29</v>
      </c>
      <c r="G110" t="n">
        <v>0.15</v>
      </c>
      <c r="H110">
        <f>E110*F110*(1-G110)</f>
        <v/>
      </c>
      <c r="I110">
        <f>XLOOKUP(D110,Products!$A$2:$A$15,Products!$B$2:$B$15,"Not found")</f>
        <v/>
      </c>
    </row>
    <row r="111">
      <c r="A111" t="n">
        <v>104430</v>
      </c>
      <c r="B111" s="1" t="n">
        <v>45664</v>
      </c>
      <c r="C111" t="inlineStr">
        <is>
          <t>S06</t>
        </is>
      </c>
      <c r="D111" t="inlineStr">
        <is>
          <t>P302</t>
        </is>
      </c>
      <c r="E111" t="n">
        <v>3</v>
      </c>
      <c r="F111" t="n">
        <v>24</v>
      </c>
      <c r="G111" t="n">
        <v>0</v>
      </c>
      <c r="H111">
        <f>E111*F111*(1-G111)</f>
        <v/>
      </c>
      <c r="I111">
        <f>XLOOKUP(D111,Products!$A$2:$A$15,Products!$B$2:$B$15,"Not found")</f>
        <v/>
      </c>
    </row>
    <row r="112">
      <c r="A112" t="n">
        <v>104431</v>
      </c>
      <c r="B112" s="1" t="n">
        <v>45665</v>
      </c>
      <c r="C112" t="inlineStr">
        <is>
          <t>S01</t>
        </is>
      </c>
      <c r="D112" t="inlineStr">
        <is>
          <t>P102</t>
        </is>
      </c>
      <c r="E112" t="n">
        <v>2</v>
      </c>
      <c r="F112" t="n">
        <v>14.5</v>
      </c>
      <c r="G112" t="n">
        <v>0</v>
      </c>
      <c r="H112">
        <f>E112*F112*(1-G112)</f>
        <v/>
      </c>
      <c r="I112">
        <f>XLOOKUP(D112,Products!$A$2:$A$15,Products!$B$2:$B$15,"Not found")</f>
        <v/>
      </c>
    </row>
    <row r="113">
      <c r="A113" t="n">
        <v>104432</v>
      </c>
      <c r="B113" s="1" t="n">
        <v>45665</v>
      </c>
      <c r="C113" t="inlineStr">
        <is>
          <t>S01</t>
        </is>
      </c>
      <c r="D113" t="inlineStr">
        <is>
          <t>P301</t>
        </is>
      </c>
      <c r="E113" t="n">
        <v>1</v>
      </c>
      <c r="F113" t="n">
        <v>119</v>
      </c>
      <c r="G113" t="n">
        <v>0.15</v>
      </c>
      <c r="H113">
        <f>E113*F113*(1-G113)</f>
        <v/>
      </c>
      <c r="I113">
        <f>XLOOKUP(D113,Products!$A$2:$A$15,Products!$B$2:$B$15,"Not found")</f>
        <v/>
      </c>
    </row>
    <row r="114">
      <c r="A114" t="n">
        <v>104433</v>
      </c>
      <c r="B114" s="1" t="n">
        <v>45665</v>
      </c>
      <c r="C114" t="inlineStr">
        <is>
          <t>S02</t>
        </is>
      </c>
      <c r="D114" t="inlineStr">
        <is>
          <t>P203</t>
        </is>
      </c>
      <c r="E114" t="n">
        <v>2</v>
      </c>
      <c r="F114" t="n">
        <v>19.5</v>
      </c>
      <c r="G114" t="n">
        <v>0.15</v>
      </c>
      <c r="H114">
        <f>E114*F114*(1-G114)</f>
        <v/>
      </c>
      <c r="I114">
        <f>XLOOKUP(D114,Products!$A$2:$A$15,Products!$B$2:$B$15,"Not found")</f>
        <v/>
      </c>
    </row>
    <row r="115">
      <c r="A115" t="n">
        <v>104434</v>
      </c>
      <c r="B115" s="1" t="n">
        <v>45665</v>
      </c>
      <c r="C115" t="inlineStr">
        <is>
          <t>S02</t>
        </is>
      </c>
      <c r="D115" t="inlineStr">
        <is>
          <t>P102</t>
        </is>
      </c>
      <c r="E115" t="n">
        <v>2</v>
      </c>
      <c r="F115" t="n">
        <v>14.5</v>
      </c>
      <c r="G115" t="n">
        <v>0</v>
      </c>
      <c r="H115">
        <f>E115*F115*(1-G115)</f>
        <v/>
      </c>
      <c r="I115">
        <f>XLOOKUP(D115,Products!$A$2:$A$15,Products!$B$2:$B$15,"Not found")</f>
        <v/>
      </c>
    </row>
    <row r="116">
      <c r="A116" t="n">
        <v>104435</v>
      </c>
      <c r="B116" s="1" t="n">
        <v>45665</v>
      </c>
      <c r="C116" t="inlineStr">
        <is>
          <t>S02</t>
        </is>
      </c>
      <c r="D116" t="inlineStr">
        <is>
          <t>P203</t>
        </is>
      </c>
      <c r="E116" t="n">
        <v>1</v>
      </c>
      <c r="F116" t="n">
        <v>19.5</v>
      </c>
      <c r="G116" t="n">
        <v>0</v>
      </c>
      <c r="H116">
        <f>E116*F116*(1-G116)</f>
        <v/>
      </c>
      <c r="I116">
        <f>XLOOKUP(D116,Products!$A$2:$A$15,Products!$B$2:$B$15,"Not found")</f>
        <v/>
      </c>
    </row>
    <row r="117">
      <c r="A117" t="n">
        <v>104436</v>
      </c>
      <c r="B117" s="1" t="n">
        <v>45665</v>
      </c>
      <c r="C117" t="inlineStr">
        <is>
          <t>S03</t>
        </is>
      </c>
      <c r="D117" t="inlineStr">
        <is>
          <t>P301</t>
        </is>
      </c>
      <c r="E117" t="n">
        <v>1</v>
      </c>
      <c r="F117" t="n">
        <v>119</v>
      </c>
      <c r="G117" t="n">
        <v>0.1</v>
      </c>
      <c r="H117">
        <f>E117*F117*(1-G117)</f>
        <v/>
      </c>
      <c r="I117">
        <f>XLOOKUP(D117,Products!$A$2:$A$15,Products!$B$2:$B$15,"Not found")</f>
        <v/>
      </c>
    </row>
    <row r="118">
      <c r="A118" t="n">
        <v>104437</v>
      </c>
      <c r="B118" s="1" t="n">
        <v>45665</v>
      </c>
      <c r="C118" t="inlineStr">
        <is>
          <t>S03</t>
        </is>
      </c>
      <c r="D118" t="inlineStr">
        <is>
          <t>P101</t>
        </is>
      </c>
      <c r="E118" t="n">
        <v>2</v>
      </c>
      <c r="F118" t="n">
        <v>39</v>
      </c>
      <c r="G118" t="n">
        <v>0</v>
      </c>
      <c r="H118">
        <f>E118*F118*(1-G118)</f>
        <v/>
      </c>
      <c r="I118">
        <f>XLOOKUP(D118,Products!$A$2:$A$15,Products!$B$2:$B$15,"Not found")</f>
        <v/>
      </c>
    </row>
    <row r="119">
      <c r="A119" t="n">
        <v>104438</v>
      </c>
      <c r="B119" s="1" t="n">
        <v>45665</v>
      </c>
      <c r="C119" t="inlineStr">
        <is>
          <t>S04</t>
        </is>
      </c>
      <c r="D119" t="inlineStr">
        <is>
          <t>P103</t>
        </is>
      </c>
      <c r="E119" t="n">
        <v>2</v>
      </c>
      <c r="F119" t="n">
        <v>29</v>
      </c>
      <c r="G119" t="n">
        <v>0</v>
      </c>
      <c r="H119">
        <f>E119*F119*(1-G119)</f>
        <v/>
      </c>
      <c r="I119">
        <f>XLOOKUP(D119,Products!$A$2:$A$15,Products!$B$2:$B$15,"Not found")</f>
        <v/>
      </c>
    </row>
    <row r="120">
      <c r="A120" t="n">
        <v>104439</v>
      </c>
      <c r="B120" s="1" t="n">
        <v>45665</v>
      </c>
      <c r="C120" t="inlineStr">
        <is>
          <t>S04</t>
        </is>
      </c>
      <c r="D120" t="inlineStr">
        <is>
          <t>P103</t>
        </is>
      </c>
      <c r="E120" t="n">
        <v>1</v>
      </c>
      <c r="F120" t="n">
        <v>29</v>
      </c>
      <c r="G120" t="n">
        <v>0</v>
      </c>
      <c r="H120">
        <f>E120*F120*(1-G120)</f>
        <v/>
      </c>
      <c r="I120">
        <f>XLOOKUP(D120,Products!$A$2:$A$15,Products!$B$2:$B$15,"Not found")</f>
        <v/>
      </c>
    </row>
    <row r="121">
      <c r="A121" t="n">
        <v>104440</v>
      </c>
      <c r="B121" s="1" t="n">
        <v>45665</v>
      </c>
      <c r="C121" t="inlineStr">
        <is>
          <t>S04</t>
        </is>
      </c>
      <c r="D121" t="inlineStr">
        <is>
          <t>P103</t>
        </is>
      </c>
      <c r="E121" t="n">
        <v>2</v>
      </c>
      <c r="F121" t="n">
        <v>29</v>
      </c>
      <c r="G121" t="n">
        <v>0</v>
      </c>
      <c r="H121">
        <f>E121*F121*(1-G121)</f>
        <v/>
      </c>
      <c r="I121">
        <f>XLOOKUP(D121,Products!$A$2:$A$15,Products!$B$2:$B$15,"Not found")</f>
        <v/>
      </c>
    </row>
    <row r="122">
      <c r="A122" t="n">
        <v>104441</v>
      </c>
      <c r="B122" s="1" t="n">
        <v>45665</v>
      </c>
      <c r="C122" t="inlineStr">
        <is>
          <t>S04</t>
        </is>
      </c>
      <c r="D122" t="inlineStr">
        <is>
          <t>P102</t>
        </is>
      </c>
      <c r="E122" t="n">
        <v>4</v>
      </c>
      <c r="F122" t="n">
        <v>14.5</v>
      </c>
      <c r="G122" t="n">
        <v>0.1</v>
      </c>
      <c r="H122">
        <f>E122*F122*(1-G122)</f>
        <v/>
      </c>
      <c r="I122">
        <f>XLOOKUP(D122,Products!$A$2:$A$15,Products!$B$2:$B$15,"Not found")</f>
        <v/>
      </c>
    </row>
    <row r="123">
      <c r="A123" t="n">
        <v>104442</v>
      </c>
      <c r="B123" s="1" t="n">
        <v>45665</v>
      </c>
      <c r="C123" t="inlineStr">
        <is>
          <t>S05</t>
        </is>
      </c>
      <c r="D123" t="inlineStr">
        <is>
          <t>P402</t>
        </is>
      </c>
      <c r="E123" t="n">
        <v>1</v>
      </c>
      <c r="F123" t="n">
        <v>699</v>
      </c>
      <c r="G123" t="n">
        <v>0</v>
      </c>
      <c r="H123">
        <f>E123*F123*(1-G123)</f>
        <v/>
      </c>
      <c r="I123">
        <f>XLOOKUP(D123,Products!$A$2:$A$15,Products!$B$2:$B$15,"Not found")</f>
        <v/>
      </c>
    </row>
    <row r="124">
      <c r="A124" t="n">
        <v>104443</v>
      </c>
      <c r="B124" s="1" t="n">
        <v>45665</v>
      </c>
      <c r="C124" t="inlineStr">
        <is>
          <t>S06</t>
        </is>
      </c>
      <c r="D124" t="inlineStr">
        <is>
          <t>P302</t>
        </is>
      </c>
      <c r="E124" t="n">
        <v>1</v>
      </c>
      <c r="F124" t="n">
        <v>24</v>
      </c>
      <c r="G124" t="n">
        <v>0</v>
      </c>
      <c r="H124">
        <f>E124*F124*(1-G124)</f>
        <v/>
      </c>
      <c r="I124">
        <f>XLOOKUP(D124,Products!$A$2:$A$15,Products!$B$2:$B$15,"Not found")</f>
        <v/>
      </c>
    </row>
    <row r="125">
      <c r="A125" t="n">
        <v>104444</v>
      </c>
      <c r="B125" s="1" t="n">
        <v>45666</v>
      </c>
      <c r="C125" t="inlineStr">
        <is>
          <t>S01</t>
        </is>
      </c>
      <c r="D125" t="inlineStr">
        <is>
          <t>P104</t>
        </is>
      </c>
      <c r="E125" t="n">
        <v>1</v>
      </c>
      <c r="F125" t="n">
        <v>189</v>
      </c>
      <c r="G125" t="n">
        <v>0</v>
      </c>
      <c r="H125">
        <f>E125*F125*(1-G125)</f>
        <v/>
      </c>
      <c r="I125">
        <f>XLOOKUP(D125,Products!$A$2:$A$15,Products!$B$2:$B$15,"Not found")</f>
        <v/>
      </c>
    </row>
    <row r="126">
      <c r="A126" t="n">
        <v>104445</v>
      </c>
      <c r="B126" s="1" t="n">
        <v>45666</v>
      </c>
      <c r="C126" t="inlineStr">
        <is>
          <t>S01</t>
        </is>
      </c>
      <c r="D126" t="inlineStr">
        <is>
          <t>P201</t>
        </is>
      </c>
      <c r="E126" t="n">
        <v>1</v>
      </c>
      <c r="F126" t="n">
        <v>149</v>
      </c>
      <c r="G126" t="n">
        <v>0</v>
      </c>
      <c r="H126">
        <f>E126*F126*(1-G126)</f>
        <v/>
      </c>
      <c r="I126">
        <f>XLOOKUP(D126,Products!$A$2:$A$15,Products!$B$2:$B$15,"Not found")</f>
        <v/>
      </c>
    </row>
    <row r="127">
      <c r="A127" t="n">
        <v>104446</v>
      </c>
      <c r="B127" s="1" t="n">
        <v>45666</v>
      </c>
      <c r="C127" t="inlineStr">
        <is>
          <t>S01</t>
        </is>
      </c>
      <c r="D127" t="inlineStr">
        <is>
          <t>P203</t>
        </is>
      </c>
      <c r="E127" t="n">
        <v>2</v>
      </c>
      <c r="F127" t="n">
        <v>19.5</v>
      </c>
      <c r="G127" t="n">
        <v>0</v>
      </c>
      <c r="H127">
        <f>E127*F127*(1-G127)</f>
        <v/>
      </c>
      <c r="I127">
        <f>XLOOKUP(D127,Products!$A$2:$A$15,Products!$B$2:$B$15,"Not found")</f>
        <v/>
      </c>
    </row>
    <row r="128">
      <c r="A128" t="n">
        <v>104447</v>
      </c>
      <c r="B128" s="1" t="n">
        <v>45666</v>
      </c>
      <c r="C128" t="inlineStr">
        <is>
          <t>S01</t>
        </is>
      </c>
      <c r="D128" t="inlineStr">
        <is>
          <t>P301</t>
        </is>
      </c>
      <c r="E128" t="n">
        <v>1</v>
      </c>
      <c r="F128" t="n">
        <v>119</v>
      </c>
      <c r="G128" t="n">
        <v>0</v>
      </c>
      <c r="H128">
        <f>E128*F128*(1-G128)</f>
        <v/>
      </c>
      <c r="I128">
        <f>XLOOKUP(D128,Products!$A$2:$A$15,Products!$B$2:$B$15,"Not found")</f>
        <v/>
      </c>
    </row>
    <row r="129">
      <c r="A129" t="n">
        <v>104448</v>
      </c>
      <c r="B129" s="1" t="n">
        <v>45666</v>
      </c>
      <c r="C129" t="inlineStr">
        <is>
          <t>S01</t>
        </is>
      </c>
      <c r="D129" t="inlineStr">
        <is>
          <t>P303</t>
        </is>
      </c>
      <c r="E129" t="n">
        <v>1</v>
      </c>
      <c r="F129" t="n">
        <v>12</v>
      </c>
      <c r="G129" t="n">
        <v>0</v>
      </c>
      <c r="H129">
        <f>E129*F129*(1-G129)</f>
        <v/>
      </c>
      <c r="I129">
        <f>XLOOKUP(D129,Products!$A$2:$A$15,Products!$B$2:$B$15,"Not found")</f>
        <v/>
      </c>
    </row>
    <row r="130">
      <c r="A130" t="n">
        <v>104449</v>
      </c>
      <c r="B130" s="1" t="n">
        <v>45666</v>
      </c>
      <c r="C130" t="inlineStr">
        <is>
          <t>S02</t>
        </is>
      </c>
      <c r="D130" t="inlineStr">
        <is>
          <t>P203</t>
        </is>
      </c>
      <c r="E130" t="n">
        <v>4</v>
      </c>
      <c r="F130" t="n">
        <v>19.5</v>
      </c>
      <c r="G130" t="n">
        <v>0</v>
      </c>
      <c r="H130">
        <f>E130*F130*(1-G130)</f>
        <v/>
      </c>
      <c r="I130">
        <f>XLOOKUP(D130,Products!$A$2:$A$15,Products!$B$2:$B$15,"Not found")</f>
        <v/>
      </c>
    </row>
    <row r="131">
      <c r="A131" t="n">
        <v>104450</v>
      </c>
      <c r="B131" s="1" t="n">
        <v>45666</v>
      </c>
      <c r="C131" t="inlineStr">
        <is>
          <t>S02</t>
        </is>
      </c>
      <c r="D131" t="inlineStr">
        <is>
          <t>P101</t>
        </is>
      </c>
      <c r="E131" t="n">
        <v>4</v>
      </c>
      <c r="F131" t="n">
        <v>39</v>
      </c>
      <c r="G131" t="n">
        <v>0.1</v>
      </c>
      <c r="H131">
        <f>E131*F131*(1-G131)</f>
        <v/>
      </c>
      <c r="I131">
        <f>XLOOKUP(D131,Products!$A$2:$A$15,Products!$B$2:$B$15,"Not found")</f>
        <v/>
      </c>
    </row>
    <row r="132">
      <c r="A132" t="n">
        <v>104451</v>
      </c>
      <c r="B132" s="1" t="n">
        <v>45666</v>
      </c>
      <c r="C132" t="inlineStr">
        <is>
          <t>S02</t>
        </is>
      </c>
      <c r="D132" t="inlineStr">
        <is>
          <t>P201</t>
        </is>
      </c>
      <c r="E132" t="n">
        <v>1</v>
      </c>
      <c r="F132" t="n">
        <v>149</v>
      </c>
      <c r="G132" t="n">
        <v>0.1</v>
      </c>
      <c r="H132">
        <f>E132*F132*(1-G132)</f>
        <v/>
      </c>
      <c r="I132">
        <f>XLOOKUP(D132,Products!$A$2:$A$15,Products!$B$2:$B$15,"Not found")</f>
        <v/>
      </c>
    </row>
    <row r="133">
      <c r="A133" t="n">
        <v>104452</v>
      </c>
      <c r="B133" s="1" t="n">
        <v>45666</v>
      </c>
      <c r="C133" t="inlineStr">
        <is>
          <t>S02</t>
        </is>
      </c>
      <c r="D133" t="inlineStr">
        <is>
          <t>P301</t>
        </is>
      </c>
      <c r="E133" t="n">
        <v>1</v>
      </c>
      <c r="F133" t="n">
        <v>119</v>
      </c>
      <c r="G133" t="n">
        <v>0.1</v>
      </c>
      <c r="H133">
        <f>E133*F133*(1-G133)</f>
        <v/>
      </c>
      <c r="I133">
        <f>XLOOKUP(D133,Products!$A$2:$A$15,Products!$B$2:$B$15,"Not found")</f>
        <v/>
      </c>
    </row>
    <row r="134">
      <c r="A134" t="n">
        <v>104453</v>
      </c>
      <c r="B134" s="1" t="n">
        <v>45666</v>
      </c>
      <c r="C134" t="inlineStr">
        <is>
          <t>S03</t>
        </is>
      </c>
      <c r="D134" t="inlineStr">
        <is>
          <t>P303</t>
        </is>
      </c>
      <c r="E134" t="n">
        <v>4</v>
      </c>
      <c r="F134" t="n">
        <v>12</v>
      </c>
      <c r="G134" t="n">
        <v>0</v>
      </c>
      <c r="H134">
        <f>E134*F134*(1-G134)</f>
        <v/>
      </c>
      <c r="I134">
        <f>XLOOKUP(D134,Products!$A$2:$A$15,Products!$B$2:$B$15,"Not found")</f>
        <v/>
      </c>
    </row>
    <row r="135">
      <c r="A135" t="n">
        <v>104454</v>
      </c>
      <c r="B135" s="1" t="n">
        <v>45666</v>
      </c>
      <c r="C135" t="inlineStr">
        <is>
          <t>S03</t>
        </is>
      </c>
      <c r="D135" t="inlineStr">
        <is>
          <t>P202</t>
        </is>
      </c>
      <c r="E135" t="n">
        <v>1</v>
      </c>
      <c r="F135" t="n">
        <v>79</v>
      </c>
      <c r="G135" t="n">
        <v>0</v>
      </c>
      <c r="H135">
        <f>E135*F135*(1-G135)</f>
        <v/>
      </c>
      <c r="I135">
        <f>XLOOKUP(D135,Products!$A$2:$A$15,Products!$B$2:$B$15,"Not found")</f>
        <v/>
      </c>
    </row>
    <row r="136">
      <c r="A136" t="n">
        <v>104455</v>
      </c>
      <c r="B136" s="1" t="n">
        <v>45666</v>
      </c>
      <c r="C136" t="inlineStr">
        <is>
          <t>S05</t>
        </is>
      </c>
      <c r="D136" t="inlineStr">
        <is>
          <t>P201</t>
        </is>
      </c>
      <c r="E136" t="n">
        <v>1</v>
      </c>
      <c r="F136" t="n">
        <v>149</v>
      </c>
      <c r="G136" t="n">
        <v>0.15</v>
      </c>
      <c r="H136">
        <f>E136*F136*(1-G136)</f>
        <v/>
      </c>
      <c r="I136">
        <f>XLOOKUP(D136,Products!$A$2:$A$15,Products!$B$2:$B$15,"Not found")</f>
        <v/>
      </c>
    </row>
    <row r="137">
      <c r="A137" t="n">
        <v>104456</v>
      </c>
      <c r="B137" s="1" t="n">
        <v>45666</v>
      </c>
      <c r="C137" t="inlineStr">
        <is>
          <t>S05</t>
        </is>
      </c>
      <c r="D137" t="inlineStr">
        <is>
          <t>P204</t>
        </is>
      </c>
      <c r="E137" t="n">
        <v>1</v>
      </c>
      <c r="F137" t="n">
        <v>229</v>
      </c>
      <c r="G137" t="n">
        <v>0</v>
      </c>
      <c r="H137">
        <f>E137*F137*(1-G137)</f>
        <v/>
      </c>
      <c r="I137">
        <f>XLOOKUP(D137,Products!$A$2:$A$15,Products!$B$2:$B$15,"Not found")</f>
        <v/>
      </c>
    </row>
    <row r="138">
      <c r="A138" t="n">
        <v>104457</v>
      </c>
      <c r="B138" s="1" t="n">
        <v>45667</v>
      </c>
      <c r="C138" t="inlineStr">
        <is>
          <t>S01</t>
        </is>
      </c>
      <c r="D138" t="inlineStr">
        <is>
          <t>P101</t>
        </is>
      </c>
      <c r="E138" t="n">
        <v>1</v>
      </c>
      <c r="F138" t="n">
        <v>39</v>
      </c>
      <c r="G138" t="n">
        <v>0.15</v>
      </c>
      <c r="H138">
        <f>E138*F138*(1-G138)</f>
        <v/>
      </c>
      <c r="I138">
        <f>XLOOKUP(D138,Products!$A$2:$A$15,Products!$B$2:$B$15,"Not found")</f>
        <v/>
      </c>
    </row>
    <row r="139">
      <c r="A139" t="n">
        <v>104458</v>
      </c>
      <c r="B139" s="1" t="n">
        <v>45667</v>
      </c>
      <c r="C139" t="inlineStr">
        <is>
          <t>S01</t>
        </is>
      </c>
      <c r="D139" t="inlineStr">
        <is>
          <t>P103</t>
        </is>
      </c>
      <c r="E139" t="n">
        <v>2</v>
      </c>
      <c r="F139" t="n">
        <v>29</v>
      </c>
      <c r="G139" t="n">
        <v>0</v>
      </c>
      <c r="H139">
        <f>E139*F139*(1-G139)</f>
        <v/>
      </c>
      <c r="I139">
        <f>XLOOKUP(D139,Products!$A$2:$A$15,Products!$B$2:$B$15,"Not found")</f>
        <v/>
      </c>
    </row>
    <row r="140">
      <c r="A140" t="n">
        <v>104459</v>
      </c>
      <c r="B140" s="1" t="n">
        <v>45667</v>
      </c>
      <c r="C140" t="inlineStr">
        <is>
          <t>S01</t>
        </is>
      </c>
      <c r="D140" t="inlineStr">
        <is>
          <t>P301</t>
        </is>
      </c>
      <c r="E140" t="n">
        <v>1</v>
      </c>
      <c r="F140" t="n">
        <v>119</v>
      </c>
      <c r="G140" t="n">
        <v>0.2</v>
      </c>
      <c r="H140">
        <f>E140*F140*(1-G140)</f>
        <v/>
      </c>
      <c r="I140">
        <f>XLOOKUP(D140,Products!$A$2:$A$15,Products!$B$2:$B$15,"Not found")</f>
        <v/>
      </c>
    </row>
    <row r="141">
      <c r="A141" t="n">
        <v>104460</v>
      </c>
      <c r="B141" s="1" t="n">
        <v>45667</v>
      </c>
      <c r="C141" t="inlineStr">
        <is>
          <t>S01</t>
        </is>
      </c>
      <c r="D141" t="inlineStr">
        <is>
          <t>P202</t>
        </is>
      </c>
      <c r="E141" t="n">
        <v>2</v>
      </c>
      <c r="F141" t="n">
        <v>79</v>
      </c>
      <c r="G141" t="n">
        <v>0.15</v>
      </c>
      <c r="H141">
        <f>E141*F141*(1-G141)</f>
        <v/>
      </c>
      <c r="I141">
        <f>XLOOKUP(D141,Products!$A$2:$A$15,Products!$B$2:$B$15,"Not found")</f>
        <v/>
      </c>
    </row>
    <row r="142">
      <c r="A142" t="n">
        <v>104461</v>
      </c>
      <c r="B142" s="1" t="n">
        <v>45667</v>
      </c>
      <c r="C142" t="inlineStr">
        <is>
          <t>S01</t>
        </is>
      </c>
      <c r="D142" t="inlineStr">
        <is>
          <t>P101</t>
        </is>
      </c>
      <c r="E142" t="n">
        <v>2</v>
      </c>
      <c r="F142" t="n">
        <v>39</v>
      </c>
      <c r="G142" t="n">
        <v>0.2</v>
      </c>
      <c r="H142">
        <f>E142*F142*(1-G142)</f>
        <v/>
      </c>
      <c r="I142">
        <f>XLOOKUP(D142,Products!$A$2:$A$15,Products!$B$2:$B$15,"Not found")</f>
        <v/>
      </c>
    </row>
    <row r="143">
      <c r="A143" t="n">
        <v>104462</v>
      </c>
      <c r="B143" s="1" t="n">
        <v>45667</v>
      </c>
      <c r="C143" t="inlineStr">
        <is>
          <t>S02</t>
        </is>
      </c>
      <c r="D143" t="inlineStr">
        <is>
          <t>P101</t>
        </is>
      </c>
      <c r="E143" t="n">
        <v>2</v>
      </c>
      <c r="F143" t="n">
        <v>39</v>
      </c>
      <c r="G143" t="n">
        <v>0</v>
      </c>
      <c r="H143">
        <f>E143*F143*(1-G143)</f>
        <v/>
      </c>
      <c r="I143">
        <f>XLOOKUP(D143,Products!$A$2:$A$15,Products!$B$2:$B$15,"Not found")</f>
        <v/>
      </c>
    </row>
    <row r="144">
      <c r="A144" t="n">
        <v>104463</v>
      </c>
      <c r="B144" s="1" t="n">
        <v>45667</v>
      </c>
      <c r="C144" t="inlineStr">
        <is>
          <t>S02</t>
        </is>
      </c>
      <c r="D144" t="inlineStr">
        <is>
          <t>P301</t>
        </is>
      </c>
      <c r="E144" t="n">
        <v>1</v>
      </c>
      <c r="F144" t="n">
        <v>119</v>
      </c>
      <c r="G144" t="n">
        <v>0.1</v>
      </c>
      <c r="H144">
        <f>E144*F144*(1-G144)</f>
        <v/>
      </c>
      <c r="I144">
        <f>XLOOKUP(D144,Products!$A$2:$A$15,Products!$B$2:$B$15,"Not found")</f>
        <v/>
      </c>
    </row>
    <row r="145">
      <c r="A145" t="n">
        <v>104464</v>
      </c>
      <c r="B145" s="1" t="n">
        <v>45667</v>
      </c>
      <c r="C145" t="inlineStr">
        <is>
          <t>S02</t>
        </is>
      </c>
      <c r="D145" t="inlineStr">
        <is>
          <t>P204</t>
        </is>
      </c>
      <c r="E145" t="n">
        <v>1</v>
      </c>
      <c r="F145" t="n">
        <v>229</v>
      </c>
      <c r="G145" t="n">
        <v>0.1</v>
      </c>
      <c r="H145">
        <f>E145*F145*(1-G145)</f>
        <v/>
      </c>
      <c r="I145">
        <f>XLOOKUP(D145,Products!$A$2:$A$15,Products!$B$2:$B$15,"Not found")</f>
        <v/>
      </c>
    </row>
    <row r="146">
      <c r="A146" t="n">
        <v>104465</v>
      </c>
      <c r="B146" s="1" t="n">
        <v>45667</v>
      </c>
      <c r="C146" t="inlineStr">
        <is>
          <t>S03</t>
        </is>
      </c>
      <c r="D146" t="inlineStr">
        <is>
          <t>P201</t>
        </is>
      </c>
      <c r="E146" t="n">
        <v>1</v>
      </c>
      <c r="F146" t="n">
        <v>149</v>
      </c>
      <c r="G146" t="n">
        <v>0.2</v>
      </c>
      <c r="H146">
        <f>E146*F146*(1-G146)</f>
        <v/>
      </c>
      <c r="I146">
        <f>XLOOKUP(D146,Products!$A$2:$A$15,Products!$B$2:$B$15,"Not found")</f>
        <v/>
      </c>
    </row>
    <row r="147">
      <c r="A147" t="n">
        <v>104466</v>
      </c>
      <c r="B147" s="1" t="n">
        <v>45667</v>
      </c>
      <c r="C147" t="inlineStr">
        <is>
          <t>S03</t>
        </is>
      </c>
      <c r="D147" t="inlineStr">
        <is>
          <t>P101</t>
        </is>
      </c>
      <c r="E147" t="n">
        <v>1</v>
      </c>
      <c r="F147" t="n">
        <v>39</v>
      </c>
      <c r="G147" t="n">
        <v>0</v>
      </c>
      <c r="H147">
        <f>E147*F147*(1-G147)</f>
        <v/>
      </c>
      <c r="I147">
        <f>XLOOKUP(D147,Products!$A$2:$A$15,Products!$B$2:$B$15,"Not found")</f>
        <v/>
      </c>
    </row>
    <row r="148">
      <c r="A148" t="n">
        <v>104467</v>
      </c>
      <c r="B148" s="1" t="n">
        <v>45667</v>
      </c>
      <c r="C148" t="inlineStr">
        <is>
          <t>S03</t>
        </is>
      </c>
      <c r="D148" t="inlineStr">
        <is>
          <t>P102</t>
        </is>
      </c>
      <c r="E148" t="n">
        <v>1</v>
      </c>
      <c r="F148" t="n">
        <v>14.5</v>
      </c>
      <c r="G148" t="n">
        <v>0.2</v>
      </c>
      <c r="H148">
        <f>E148*F148*(1-G148)</f>
        <v/>
      </c>
      <c r="I148">
        <f>XLOOKUP(D148,Products!$A$2:$A$15,Products!$B$2:$B$15,"Not found")</f>
        <v/>
      </c>
    </row>
    <row r="149">
      <c r="A149" t="n">
        <v>104468</v>
      </c>
      <c r="B149" s="1" t="n">
        <v>45667</v>
      </c>
      <c r="C149" t="inlineStr">
        <is>
          <t>S03</t>
        </is>
      </c>
      <c r="D149" t="inlineStr">
        <is>
          <t>P303</t>
        </is>
      </c>
      <c r="E149" t="n">
        <v>4</v>
      </c>
      <c r="F149" t="n">
        <v>12</v>
      </c>
      <c r="G149" t="n">
        <v>0.15</v>
      </c>
      <c r="H149">
        <f>E149*F149*(1-G149)</f>
        <v/>
      </c>
      <c r="I149">
        <f>XLOOKUP(D149,Products!$A$2:$A$15,Products!$B$2:$B$15,"Not found")</f>
        <v/>
      </c>
    </row>
    <row r="150">
      <c r="A150" t="n">
        <v>104469</v>
      </c>
      <c r="B150" s="1" t="n">
        <v>45667</v>
      </c>
      <c r="C150" t="inlineStr">
        <is>
          <t>S04</t>
        </is>
      </c>
      <c r="D150" t="inlineStr">
        <is>
          <t>P201</t>
        </is>
      </c>
      <c r="E150" t="n">
        <v>1</v>
      </c>
      <c r="F150" t="n">
        <v>149</v>
      </c>
      <c r="G150" t="n">
        <v>0.1</v>
      </c>
      <c r="H150">
        <f>E150*F150*(1-G150)</f>
        <v/>
      </c>
      <c r="I150">
        <f>XLOOKUP(D150,Products!$A$2:$A$15,Products!$B$2:$B$15,"Not found")</f>
        <v/>
      </c>
    </row>
    <row r="151">
      <c r="A151" t="n">
        <v>104470</v>
      </c>
      <c r="B151" s="1" t="n">
        <v>45667</v>
      </c>
      <c r="C151" t="inlineStr">
        <is>
          <t>S04</t>
        </is>
      </c>
      <c r="D151" t="inlineStr">
        <is>
          <t>P103</t>
        </is>
      </c>
      <c r="E151" t="n">
        <v>4</v>
      </c>
      <c r="F151" t="n">
        <v>29</v>
      </c>
      <c r="G151" t="n">
        <v>0.15</v>
      </c>
      <c r="H151">
        <f>E151*F151*(1-G151)</f>
        <v/>
      </c>
      <c r="I151">
        <f>XLOOKUP(D151,Products!$A$2:$A$15,Products!$B$2:$B$15,"Not found")</f>
        <v/>
      </c>
    </row>
    <row r="152">
      <c r="A152" t="n">
        <v>104471</v>
      </c>
      <c r="B152" s="1" t="n">
        <v>45667</v>
      </c>
      <c r="C152" t="inlineStr">
        <is>
          <t>S04</t>
        </is>
      </c>
      <c r="D152" t="inlineStr">
        <is>
          <t>P202</t>
        </is>
      </c>
      <c r="E152" t="n">
        <v>1</v>
      </c>
      <c r="F152" t="n">
        <v>79</v>
      </c>
      <c r="G152" t="n">
        <v>0</v>
      </c>
      <c r="H152">
        <f>E152*F152*(1-G152)</f>
        <v/>
      </c>
      <c r="I152">
        <f>XLOOKUP(D152,Products!$A$2:$A$15,Products!$B$2:$B$15,"Not found")</f>
        <v/>
      </c>
    </row>
    <row r="153">
      <c r="A153" t="n">
        <v>104472</v>
      </c>
      <c r="B153" s="1" t="n">
        <v>45667</v>
      </c>
      <c r="C153" t="inlineStr">
        <is>
          <t>S05</t>
        </is>
      </c>
      <c r="D153" t="inlineStr">
        <is>
          <t>P201</t>
        </is>
      </c>
      <c r="E153" t="n">
        <v>1</v>
      </c>
      <c r="F153" t="n">
        <v>149</v>
      </c>
      <c r="G153" t="n">
        <v>0</v>
      </c>
      <c r="H153">
        <f>E153*F153*(1-G153)</f>
        <v/>
      </c>
      <c r="I153">
        <f>XLOOKUP(D153,Products!$A$2:$A$15,Products!$B$2:$B$15,"Not found")</f>
        <v/>
      </c>
    </row>
    <row r="154">
      <c r="A154" t="n">
        <v>104473</v>
      </c>
      <c r="B154" s="1" t="n">
        <v>45667</v>
      </c>
      <c r="C154" t="inlineStr">
        <is>
          <t>S05</t>
        </is>
      </c>
      <c r="D154" t="inlineStr">
        <is>
          <t>P203</t>
        </is>
      </c>
      <c r="E154" t="n">
        <v>1</v>
      </c>
      <c r="F154" t="n">
        <v>19.5</v>
      </c>
      <c r="G154" t="n">
        <v>0.2</v>
      </c>
      <c r="H154">
        <f>E154*F154*(1-G154)</f>
        <v/>
      </c>
      <c r="I154">
        <f>XLOOKUP(D154,Products!$A$2:$A$15,Products!$B$2:$B$15,"Not found")</f>
        <v/>
      </c>
    </row>
    <row r="155">
      <c r="A155" t="n">
        <v>104474</v>
      </c>
      <c r="B155" s="1" t="n">
        <v>45667</v>
      </c>
      <c r="C155" t="inlineStr">
        <is>
          <t>S06</t>
        </is>
      </c>
      <c r="D155" t="inlineStr">
        <is>
          <t>P303</t>
        </is>
      </c>
      <c r="E155" t="n">
        <v>1</v>
      </c>
      <c r="F155" t="n">
        <v>12</v>
      </c>
      <c r="G155" t="n">
        <v>0.2</v>
      </c>
      <c r="H155">
        <f>E155*F155*(1-G155)</f>
        <v/>
      </c>
      <c r="I155">
        <f>XLOOKUP(D155,Products!$A$2:$A$15,Products!$B$2:$B$15,"Not found")</f>
        <v/>
      </c>
    </row>
    <row r="156">
      <c r="A156" t="n">
        <v>104475</v>
      </c>
      <c r="B156" s="1" t="n">
        <v>45668</v>
      </c>
      <c r="C156" t="inlineStr">
        <is>
          <t>S01</t>
        </is>
      </c>
      <c r="D156" t="inlineStr">
        <is>
          <t>P403</t>
        </is>
      </c>
      <c r="E156" t="n">
        <v>1</v>
      </c>
      <c r="F156" t="n">
        <v>89</v>
      </c>
      <c r="G156" t="n">
        <v>0.2</v>
      </c>
      <c r="H156">
        <f>E156*F156*(1-G156)</f>
        <v/>
      </c>
      <c r="I156">
        <f>XLOOKUP(D156,Products!$A$2:$A$15,Products!$B$2:$B$15,"Not found")</f>
        <v/>
      </c>
    </row>
    <row r="157">
      <c r="A157" t="n">
        <v>104476</v>
      </c>
      <c r="B157" s="1" t="n">
        <v>45668</v>
      </c>
      <c r="C157" t="inlineStr">
        <is>
          <t>S01</t>
        </is>
      </c>
      <c r="D157" t="inlineStr">
        <is>
          <t>P104</t>
        </is>
      </c>
      <c r="E157" t="n">
        <v>1</v>
      </c>
      <c r="F157" t="n">
        <v>189</v>
      </c>
      <c r="G157" t="n">
        <v>0</v>
      </c>
      <c r="H157">
        <f>E157*F157*(1-G157)</f>
        <v/>
      </c>
      <c r="I157">
        <f>XLOOKUP(D157,Products!$A$2:$A$15,Products!$B$2:$B$15,"Not found")</f>
        <v/>
      </c>
    </row>
    <row r="158">
      <c r="A158" t="n">
        <v>104477</v>
      </c>
      <c r="B158" s="1" t="n">
        <v>45668</v>
      </c>
      <c r="C158" t="inlineStr">
        <is>
          <t>S01</t>
        </is>
      </c>
      <c r="D158" t="inlineStr">
        <is>
          <t>P301</t>
        </is>
      </c>
      <c r="E158" t="n">
        <v>1</v>
      </c>
      <c r="F158" t="n">
        <v>119</v>
      </c>
      <c r="G158" t="n">
        <v>0</v>
      </c>
      <c r="H158">
        <f>E158*F158*(1-G158)</f>
        <v/>
      </c>
      <c r="I158">
        <f>XLOOKUP(D158,Products!$A$2:$A$15,Products!$B$2:$B$15,"Not found")</f>
        <v/>
      </c>
    </row>
    <row r="159">
      <c r="A159" t="n">
        <v>104478</v>
      </c>
      <c r="B159" s="1" t="n">
        <v>45668</v>
      </c>
      <c r="C159" t="inlineStr">
        <is>
          <t>S01</t>
        </is>
      </c>
      <c r="D159" t="inlineStr">
        <is>
          <t>P202</t>
        </is>
      </c>
      <c r="E159" t="n">
        <v>1</v>
      </c>
      <c r="F159" t="n">
        <v>79</v>
      </c>
      <c r="G159" t="n">
        <v>0.15</v>
      </c>
      <c r="H159">
        <f>E159*F159*(1-G159)</f>
        <v/>
      </c>
      <c r="I159">
        <f>XLOOKUP(D159,Products!$A$2:$A$15,Products!$B$2:$B$15,"Not found")</f>
        <v/>
      </c>
    </row>
    <row r="160">
      <c r="A160" t="n">
        <v>104479</v>
      </c>
      <c r="B160" s="1" t="n">
        <v>45668</v>
      </c>
      <c r="C160" t="inlineStr">
        <is>
          <t>S01</t>
        </is>
      </c>
      <c r="D160" t="inlineStr">
        <is>
          <t>P104</t>
        </is>
      </c>
      <c r="E160" t="n">
        <v>1</v>
      </c>
      <c r="F160" t="n">
        <v>189</v>
      </c>
      <c r="G160" t="n">
        <v>0</v>
      </c>
      <c r="H160">
        <f>E160*F160*(1-G160)</f>
        <v/>
      </c>
      <c r="I160">
        <f>XLOOKUP(D160,Products!$A$2:$A$15,Products!$B$2:$B$15,"Not found")</f>
        <v/>
      </c>
    </row>
    <row r="161">
      <c r="A161" t="n">
        <v>104480</v>
      </c>
      <c r="B161" s="1" t="n">
        <v>45668</v>
      </c>
      <c r="C161" t="inlineStr">
        <is>
          <t>S02</t>
        </is>
      </c>
      <c r="D161" t="inlineStr">
        <is>
          <t>P301</t>
        </is>
      </c>
      <c r="E161" t="n">
        <v>1</v>
      </c>
      <c r="F161" t="n">
        <v>119</v>
      </c>
      <c r="G161" t="n">
        <v>0</v>
      </c>
      <c r="H161">
        <f>E161*F161*(1-G161)</f>
        <v/>
      </c>
      <c r="I161">
        <f>XLOOKUP(D161,Products!$A$2:$A$15,Products!$B$2:$B$15,"Not found")</f>
        <v/>
      </c>
    </row>
    <row r="162">
      <c r="A162" t="n">
        <v>104481</v>
      </c>
      <c r="B162" s="1" t="n">
        <v>45668</v>
      </c>
      <c r="C162" t="inlineStr">
        <is>
          <t>S02</t>
        </is>
      </c>
      <c r="D162" t="inlineStr">
        <is>
          <t>P203</t>
        </is>
      </c>
      <c r="E162" t="n">
        <v>4</v>
      </c>
      <c r="F162" t="n">
        <v>19.5</v>
      </c>
      <c r="G162" t="n">
        <v>0.2</v>
      </c>
      <c r="H162">
        <f>E162*F162*(1-G162)</f>
        <v/>
      </c>
      <c r="I162">
        <f>XLOOKUP(D162,Products!$A$2:$A$15,Products!$B$2:$B$15,"Not found")</f>
        <v/>
      </c>
    </row>
    <row r="163">
      <c r="A163" t="n">
        <v>104482</v>
      </c>
      <c r="B163" s="1" t="n">
        <v>45668</v>
      </c>
      <c r="C163" t="inlineStr">
        <is>
          <t>S02</t>
        </is>
      </c>
      <c r="D163" t="inlineStr">
        <is>
          <t>P103</t>
        </is>
      </c>
      <c r="E163" t="n">
        <v>4</v>
      </c>
      <c r="F163" t="n">
        <v>29</v>
      </c>
      <c r="G163" t="n">
        <v>0.1</v>
      </c>
      <c r="H163">
        <f>E163*F163*(1-G163)</f>
        <v/>
      </c>
      <c r="I163">
        <f>XLOOKUP(D163,Products!$A$2:$A$15,Products!$B$2:$B$15,"Not found")</f>
        <v/>
      </c>
    </row>
    <row r="164">
      <c r="A164" t="n">
        <v>104483</v>
      </c>
      <c r="B164" s="1" t="n">
        <v>45668</v>
      </c>
      <c r="C164" t="inlineStr">
        <is>
          <t>S02</t>
        </is>
      </c>
      <c r="D164" t="inlineStr">
        <is>
          <t>P102</t>
        </is>
      </c>
      <c r="E164" t="n">
        <v>1</v>
      </c>
      <c r="F164" t="n">
        <v>14.5</v>
      </c>
      <c r="G164" t="n">
        <v>0.15</v>
      </c>
      <c r="H164">
        <f>E164*F164*(1-G164)</f>
        <v/>
      </c>
      <c r="I164">
        <f>XLOOKUP(D164,Products!$A$2:$A$15,Products!$B$2:$B$15,"Not found")</f>
        <v/>
      </c>
    </row>
    <row r="165">
      <c r="A165" t="n">
        <v>104484</v>
      </c>
      <c r="B165" s="1" t="n">
        <v>45668</v>
      </c>
      <c r="C165" t="inlineStr">
        <is>
          <t>S03</t>
        </is>
      </c>
      <c r="D165" t="inlineStr">
        <is>
          <t>P102</t>
        </is>
      </c>
      <c r="E165" t="n">
        <v>1</v>
      </c>
      <c r="F165" t="n">
        <v>14.5</v>
      </c>
      <c r="G165" t="n">
        <v>0.15</v>
      </c>
      <c r="H165">
        <f>E165*F165*(1-G165)</f>
        <v/>
      </c>
      <c r="I165">
        <f>XLOOKUP(D165,Products!$A$2:$A$15,Products!$B$2:$B$15,"Not found")</f>
        <v/>
      </c>
    </row>
    <row r="166">
      <c r="A166" t="n">
        <v>104485</v>
      </c>
      <c r="B166" s="1" t="n">
        <v>45668</v>
      </c>
      <c r="C166" t="inlineStr">
        <is>
          <t>S03</t>
        </is>
      </c>
      <c r="D166" t="inlineStr">
        <is>
          <t>P102</t>
        </is>
      </c>
      <c r="E166" t="n">
        <v>1</v>
      </c>
      <c r="F166" t="n">
        <v>14.5</v>
      </c>
      <c r="G166" t="n">
        <v>0</v>
      </c>
      <c r="H166">
        <f>E166*F166*(1-G166)</f>
        <v/>
      </c>
      <c r="I166">
        <f>XLOOKUP(D166,Products!$A$2:$A$15,Products!$B$2:$B$15,"Not found")</f>
        <v/>
      </c>
    </row>
    <row r="167">
      <c r="A167" t="n">
        <v>104486</v>
      </c>
      <c r="B167" s="1" t="n">
        <v>45668</v>
      </c>
      <c r="C167" t="inlineStr">
        <is>
          <t>S03</t>
        </is>
      </c>
      <c r="D167" t="inlineStr">
        <is>
          <t>P203</t>
        </is>
      </c>
      <c r="E167" t="n">
        <v>1</v>
      </c>
      <c r="F167" t="n">
        <v>19.5</v>
      </c>
      <c r="G167" t="n">
        <v>0</v>
      </c>
      <c r="H167">
        <f>E167*F167*(1-G167)</f>
        <v/>
      </c>
      <c r="I167">
        <f>XLOOKUP(D167,Products!$A$2:$A$15,Products!$B$2:$B$15,"Not found")</f>
        <v/>
      </c>
    </row>
    <row r="168">
      <c r="A168" t="n">
        <v>104487</v>
      </c>
      <c r="B168" s="1" t="n">
        <v>45668</v>
      </c>
      <c r="C168" t="inlineStr">
        <is>
          <t>S03</t>
        </is>
      </c>
      <c r="D168" t="inlineStr">
        <is>
          <t>P203</t>
        </is>
      </c>
      <c r="E168" t="n">
        <v>1</v>
      </c>
      <c r="F168" t="n">
        <v>19.5</v>
      </c>
      <c r="G168" t="n">
        <v>0</v>
      </c>
      <c r="H168">
        <f>E168*F168*(1-G168)</f>
        <v/>
      </c>
      <c r="I168">
        <f>XLOOKUP(D168,Products!$A$2:$A$15,Products!$B$2:$B$15,"Not found")</f>
        <v/>
      </c>
    </row>
    <row r="169">
      <c r="A169" t="n">
        <v>104488</v>
      </c>
      <c r="B169" s="1" t="n">
        <v>45668</v>
      </c>
      <c r="C169" t="inlineStr">
        <is>
          <t>S04</t>
        </is>
      </c>
      <c r="D169" t="inlineStr">
        <is>
          <t>P201</t>
        </is>
      </c>
      <c r="E169" t="n">
        <v>1</v>
      </c>
      <c r="F169" t="n">
        <v>149</v>
      </c>
      <c r="G169" t="n">
        <v>0.2</v>
      </c>
      <c r="H169">
        <f>E169*F169*(1-G169)</f>
        <v/>
      </c>
      <c r="I169">
        <f>XLOOKUP(D169,Products!$A$2:$A$15,Products!$B$2:$B$15,"Not found")</f>
        <v/>
      </c>
    </row>
    <row r="170">
      <c r="A170" t="n">
        <v>104489</v>
      </c>
      <c r="B170" s="1" t="n">
        <v>45668</v>
      </c>
      <c r="C170" t="inlineStr">
        <is>
          <t>S04</t>
        </is>
      </c>
      <c r="D170" t="inlineStr">
        <is>
          <t>P202</t>
        </is>
      </c>
      <c r="E170" t="n">
        <v>2</v>
      </c>
      <c r="F170" t="n">
        <v>79</v>
      </c>
      <c r="G170" t="n">
        <v>0</v>
      </c>
      <c r="H170">
        <f>E170*F170*(1-G170)</f>
        <v/>
      </c>
      <c r="I170">
        <f>XLOOKUP(D170,Products!$A$2:$A$15,Products!$B$2:$B$15,"Not found")</f>
        <v/>
      </c>
    </row>
    <row r="171">
      <c r="A171" t="n">
        <v>104490</v>
      </c>
      <c r="B171" s="1" t="n">
        <v>45668</v>
      </c>
      <c r="C171" t="inlineStr">
        <is>
          <t>S04</t>
        </is>
      </c>
      <c r="D171" t="inlineStr">
        <is>
          <t>P101</t>
        </is>
      </c>
      <c r="E171" t="n">
        <v>2</v>
      </c>
      <c r="F171" t="n">
        <v>39</v>
      </c>
      <c r="G171" t="n">
        <v>0.1</v>
      </c>
      <c r="H171">
        <f>E171*F171*(1-G171)</f>
        <v/>
      </c>
      <c r="I171">
        <f>XLOOKUP(D171,Products!$A$2:$A$15,Products!$B$2:$B$15,"Not found")</f>
        <v/>
      </c>
    </row>
    <row r="172">
      <c r="A172" t="n">
        <v>104491</v>
      </c>
      <c r="B172" s="1" t="n">
        <v>45668</v>
      </c>
      <c r="C172" t="inlineStr">
        <is>
          <t>S04</t>
        </is>
      </c>
      <c r="D172" t="inlineStr">
        <is>
          <t>P301</t>
        </is>
      </c>
      <c r="E172" t="n">
        <v>1</v>
      </c>
      <c r="F172" t="n">
        <v>119</v>
      </c>
      <c r="G172" t="n">
        <v>0.15</v>
      </c>
      <c r="H172">
        <f>E172*F172*(1-G172)</f>
        <v/>
      </c>
      <c r="I172">
        <f>XLOOKUP(D172,Products!$A$2:$A$15,Products!$B$2:$B$15,"Not found")</f>
        <v/>
      </c>
    </row>
    <row r="173">
      <c r="A173" t="n">
        <v>104492</v>
      </c>
      <c r="B173" s="1" t="n">
        <v>45668</v>
      </c>
      <c r="C173" t="inlineStr">
        <is>
          <t>S04</t>
        </is>
      </c>
      <c r="D173" t="inlineStr">
        <is>
          <t>P202</t>
        </is>
      </c>
      <c r="E173" t="n">
        <v>1</v>
      </c>
      <c r="F173" t="n">
        <v>79</v>
      </c>
      <c r="G173" t="n">
        <v>0.1</v>
      </c>
      <c r="H173">
        <f>E173*F173*(1-G173)</f>
        <v/>
      </c>
      <c r="I173">
        <f>XLOOKUP(D173,Products!$A$2:$A$15,Products!$B$2:$B$15,"Not found")</f>
        <v/>
      </c>
    </row>
    <row r="174">
      <c r="A174" t="n">
        <v>104493</v>
      </c>
      <c r="B174" s="1" t="n">
        <v>45668</v>
      </c>
      <c r="C174" t="inlineStr">
        <is>
          <t>S04</t>
        </is>
      </c>
      <c r="D174" t="inlineStr">
        <is>
          <t>P203</t>
        </is>
      </c>
      <c r="E174" t="n">
        <v>2</v>
      </c>
      <c r="F174" t="n">
        <v>19.5</v>
      </c>
      <c r="G174" t="n">
        <v>0</v>
      </c>
      <c r="H174">
        <f>E174*F174*(1-G174)</f>
        <v/>
      </c>
      <c r="I174">
        <f>XLOOKUP(D174,Products!$A$2:$A$15,Products!$B$2:$B$15,"Not found")</f>
        <v/>
      </c>
    </row>
    <row r="175">
      <c r="A175" t="n">
        <v>104494</v>
      </c>
      <c r="B175" s="1" t="n">
        <v>45668</v>
      </c>
      <c r="C175" t="inlineStr">
        <is>
          <t>S04</t>
        </is>
      </c>
      <c r="D175" t="inlineStr">
        <is>
          <t>P303</t>
        </is>
      </c>
      <c r="E175" t="n">
        <v>2</v>
      </c>
      <c r="F175" t="n">
        <v>12</v>
      </c>
      <c r="G175" t="n">
        <v>0.15</v>
      </c>
      <c r="H175">
        <f>E175*F175*(1-G175)</f>
        <v/>
      </c>
      <c r="I175">
        <f>XLOOKUP(D175,Products!$A$2:$A$15,Products!$B$2:$B$15,"Not found")</f>
        <v/>
      </c>
    </row>
    <row r="176">
      <c r="A176" t="n">
        <v>104495</v>
      </c>
      <c r="B176" s="1" t="n">
        <v>45668</v>
      </c>
      <c r="C176" t="inlineStr">
        <is>
          <t>S05</t>
        </is>
      </c>
      <c r="D176" t="inlineStr">
        <is>
          <t>P303</t>
        </is>
      </c>
      <c r="E176" t="n">
        <v>3</v>
      </c>
      <c r="F176" t="n">
        <v>12</v>
      </c>
      <c r="G176" t="n">
        <v>0.15</v>
      </c>
      <c r="H176">
        <f>E176*F176*(1-G176)</f>
        <v/>
      </c>
      <c r="I176">
        <f>XLOOKUP(D176,Products!$A$2:$A$15,Products!$B$2:$B$15,"Not found")</f>
        <v/>
      </c>
    </row>
    <row r="177">
      <c r="A177" t="n">
        <v>104496</v>
      </c>
      <c r="B177" s="1" t="n">
        <v>45668</v>
      </c>
      <c r="C177" t="inlineStr">
        <is>
          <t>S05</t>
        </is>
      </c>
      <c r="D177" t="inlineStr">
        <is>
          <t>P101</t>
        </is>
      </c>
      <c r="E177" t="n">
        <v>1</v>
      </c>
      <c r="F177" t="n">
        <v>39</v>
      </c>
      <c r="G177" t="n">
        <v>0.1</v>
      </c>
      <c r="H177">
        <f>E177*F177*(1-G177)</f>
        <v/>
      </c>
      <c r="I177">
        <f>XLOOKUP(D177,Products!$A$2:$A$15,Products!$B$2:$B$15,"Not found")</f>
        <v/>
      </c>
    </row>
    <row r="178">
      <c r="A178" t="n">
        <v>104497</v>
      </c>
      <c r="B178" s="1" t="n">
        <v>45668</v>
      </c>
      <c r="C178" t="inlineStr">
        <is>
          <t>S05</t>
        </is>
      </c>
      <c r="D178" t="inlineStr">
        <is>
          <t>P101</t>
        </is>
      </c>
      <c r="E178" t="n">
        <v>2</v>
      </c>
      <c r="F178" t="n">
        <v>39</v>
      </c>
      <c r="G178" t="n">
        <v>0</v>
      </c>
      <c r="H178">
        <f>E178*F178*(1-G178)</f>
        <v/>
      </c>
      <c r="I178">
        <f>XLOOKUP(D178,Products!$A$2:$A$15,Products!$B$2:$B$15,"Not found")</f>
        <v/>
      </c>
    </row>
    <row r="179">
      <c r="A179" t="n">
        <v>104498</v>
      </c>
      <c r="B179" s="1" t="n">
        <v>45668</v>
      </c>
      <c r="C179" t="inlineStr">
        <is>
          <t>S06</t>
        </is>
      </c>
      <c r="D179" t="inlineStr">
        <is>
          <t>P303</t>
        </is>
      </c>
      <c r="E179" t="n">
        <v>1</v>
      </c>
      <c r="F179" t="n">
        <v>12</v>
      </c>
      <c r="G179" t="n">
        <v>0</v>
      </c>
      <c r="H179">
        <f>E179*F179*(1-G179)</f>
        <v/>
      </c>
      <c r="I179">
        <f>XLOOKUP(D179,Products!$A$2:$A$15,Products!$B$2:$B$15,"Not found")</f>
        <v/>
      </c>
    </row>
    <row r="180">
      <c r="A180" t="n">
        <v>104499</v>
      </c>
      <c r="B180" s="1" t="n">
        <v>45668</v>
      </c>
      <c r="C180" t="inlineStr">
        <is>
          <t>S06</t>
        </is>
      </c>
      <c r="D180" t="inlineStr">
        <is>
          <t>P303</t>
        </is>
      </c>
      <c r="E180" t="n">
        <v>1</v>
      </c>
      <c r="F180" t="n">
        <v>12</v>
      </c>
      <c r="G180" t="n">
        <v>0.1</v>
      </c>
      <c r="H180">
        <f>E180*F180*(1-G180)</f>
        <v/>
      </c>
      <c r="I180">
        <f>XLOOKUP(D180,Products!$A$2:$A$15,Products!$B$2:$B$15,"Not found")</f>
        <v/>
      </c>
    </row>
    <row r="181">
      <c r="A181" t="n">
        <v>104500</v>
      </c>
      <c r="B181" s="1" t="n">
        <v>45668</v>
      </c>
      <c r="C181" t="inlineStr">
        <is>
          <t>S06</t>
        </is>
      </c>
      <c r="D181" t="inlineStr">
        <is>
          <t>P302</t>
        </is>
      </c>
      <c r="E181" t="n">
        <v>2</v>
      </c>
      <c r="F181" t="n">
        <v>24</v>
      </c>
      <c r="G181" t="n">
        <v>0</v>
      </c>
      <c r="H181">
        <f>E181*F181*(1-G181)</f>
        <v/>
      </c>
      <c r="I181">
        <f>XLOOKUP(D181,Products!$A$2:$A$15,Products!$B$2:$B$15,"Not found")</f>
        <v/>
      </c>
    </row>
    <row r="182">
      <c r="A182" t="n">
        <v>104501</v>
      </c>
      <c r="B182" s="1" t="n">
        <v>45668</v>
      </c>
      <c r="C182" t="inlineStr">
        <is>
          <t>S06</t>
        </is>
      </c>
      <c r="D182" t="inlineStr">
        <is>
          <t>P102</t>
        </is>
      </c>
      <c r="E182" t="n">
        <v>2</v>
      </c>
      <c r="F182" t="n">
        <v>14.5</v>
      </c>
      <c r="G182" t="n">
        <v>0.15</v>
      </c>
      <c r="H182">
        <f>E182*F182*(1-G182)</f>
        <v/>
      </c>
      <c r="I182">
        <f>XLOOKUP(D182,Products!$A$2:$A$15,Products!$B$2:$B$15,"Not found")</f>
        <v/>
      </c>
    </row>
    <row r="183">
      <c r="A183" t="n">
        <v>104502</v>
      </c>
      <c r="B183" s="1" t="n">
        <v>45668</v>
      </c>
      <c r="C183" t="inlineStr">
        <is>
          <t>S06</t>
        </is>
      </c>
      <c r="D183" t="inlineStr">
        <is>
          <t>P102</t>
        </is>
      </c>
      <c r="E183" t="n">
        <v>2</v>
      </c>
      <c r="F183" t="n">
        <v>14.5</v>
      </c>
      <c r="G183" t="n">
        <v>0</v>
      </c>
      <c r="H183">
        <f>E183*F183*(1-G183)</f>
        <v/>
      </c>
      <c r="I183">
        <f>XLOOKUP(D183,Products!$A$2:$A$15,Products!$B$2:$B$15,"Not found")</f>
        <v/>
      </c>
    </row>
    <row r="184">
      <c r="A184" t="n">
        <v>104503</v>
      </c>
      <c r="B184" s="1" t="n">
        <v>45668</v>
      </c>
      <c r="C184" t="inlineStr">
        <is>
          <t>S06</t>
        </is>
      </c>
      <c r="D184" t="inlineStr">
        <is>
          <t>P303</t>
        </is>
      </c>
      <c r="E184" t="n">
        <v>4</v>
      </c>
      <c r="F184" t="n">
        <v>12</v>
      </c>
      <c r="G184" t="n">
        <v>0</v>
      </c>
      <c r="H184">
        <f>E184*F184*(1-G184)</f>
        <v/>
      </c>
      <c r="I184">
        <f>XLOOKUP(D184,Products!$A$2:$A$15,Products!$B$2:$B$15,"Not found")</f>
        <v/>
      </c>
    </row>
    <row r="185">
      <c r="A185" t="n">
        <v>104504</v>
      </c>
      <c r="B185" s="1" t="n">
        <v>45669</v>
      </c>
      <c r="C185" t="inlineStr">
        <is>
          <t>S01</t>
        </is>
      </c>
      <c r="D185" t="inlineStr">
        <is>
          <t>P403</t>
        </is>
      </c>
      <c r="E185" t="n">
        <v>1</v>
      </c>
      <c r="F185" t="n">
        <v>89</v>
      </c>
      <c r="G185" t="n">
        <v>0</v>
      </c>
      <c r="H185">
        <f>E185*F185*(1-G185)</f>
        <v/>
      </c>
      <c r="I185">
        <f>XLOOKUP(D185,Products!$A$2:$A$15,Products!$B$2:$B$15,"Not found")</f>
        <v/>
      </c>
    </row>
    <row r="186">
      <c r="A186" t="n">
        <v>104505</v>
      </c>
      <c r="B186" s="1" t="n">
        <v>45669</v>
      </c>
      <c r="C186" t="inlineStr">
        <is>
          <t>S01</t>
        </is>
      </c>
      <c r="D186" t="inlineStr">
        <is>
          <t>P302</t>
        </is>
      </c>
      <c r="E186" t="n">
        <v>3</v>
      </c>
      <c r="F186" t="n">
        <v>24</v>
      </c>
      <c r="G186" t="n">
        <v>0</v>
      </c>
      <c r="H186">
        <f>E186*F186*(1-G186)</f>
        <v/>
      </c>
      <c r="I186">
        <f>XLOOKUP(D186,Products!$A$2:$A$15,Products!$B$2:$B$15,"Not found")</f>
        <v/>
      </c>
    </row>
    <row r="187">
      <c r="A187" t="n">
        <v>104506</v>
      </c>
      <c r="B187" s="1" t="n">
        <v>45669</v>
      </c>
      <c r="C187" t="inlineStr">
        <is>
          <t>S01</t>
        </is>
      </c>
      <c r="D187" t="inlineStr">
        <is>
          <t>P102</t>
        </is>
      </c>
      <c r="E187" t="n">
        <v>1</v>
      </c>
      <c r="F187" t="n">
        <v>14.5</v>
      </c>
      <c r="G187" t="n">
        <v>0</v>
      </c>
      <c r="H187">
        <f>E187*F187*(1-G187)</f>
        <v/>
      </c>
      <c r="I187">
        <f>XLOOKUP(D187,Products!$A$2:$A$15,Products!$B$2:$B$15,"Not found")</f>
        <v/>
      </c>
    </row>
    <row r="188">
      <c r="A188" t="n">
        <v>104507</v>
      </c>
      <c r="B188" s="1" t="n">
        <v>45669</v>
      </c>
      <c r="C188" t="inlineStr">
        <is>
          <t>S01</t>
        </is>
      </c>
      <c r="D188" t="inlineStr">
        <is>
          <t>P103</t>
        </is>
      </c>
      <c r="E188" t="n">
        <v>3</v>
      </c>
      <c r="F188" t="n">
        <v>29</v>
      </c>
      <c r="G188" t="n">
        <v>0.15</v>
      </c>
      <c r="H188">
        <f>E188*F188*(1-G188)</f>
        <v/>
      </c>
      <c r="I188">
        <f>XLOOKUP(D188,Products!$A$2:$A$15,Products!$B$2:$B$15,"Not found")</f>
        <v/>
      </c>
    </row>
    <row r="189">
      <c r="A189" t="n">
        <v>104508</v>
      </c>
      <c r="B189" s="1" t="n">
        <v>45669</v>
      </c>
      <c r="C189" t="inlineStr">
        <is>
          <t>S02</t>
        </is>
      </c>
      <c r="D189" t="inlineStr">
        <is>
          <t>P102</t>
        </is>
      </c>
      <c r="E189" t="n">
        <v>3</v>
      </c>
      <c r="F189" t="n">
        <v>14.5</v>
      </c>
      <c r="G189" t="n">
        <v>0</v>
      </c>
      <c r="H189">
        <f>E189*F189*(1-G189)</f>
        <v/>
      </c>
      <c r="I189">
        <f>XLOOKUP(D189,Products!$A$2:$A$15,Products!$B$2:$B$15,"Not found")</f>
        <v/>
      </c>
    </row>
    <row r="190">
      <c r="A190" t="n">
        <v>104509</v>
      </c>
      <c r="B190" s="1" t="n">
        <v>45669</v>
      </c>
      <c r="C190" t="inlineStr">
        <is>
          <t>S02</t>
        </is>
      </c>
      <c r="D190" t="inlineStr">
        <is>
          <t>P101</t>
        </is>
      </c>
      <c r="E190" t="n">
        <v>2</v>
      </c>
      <c r="F190" t="n">
        <v>39</v>
      </c>
      <c r="G190" t="n">
        <v>0.1</v>
      </c>
      <c r="H190">
        <f>E190*F190*(1-G190)</f>
        <v/>
      </c>
      <c r="I190">
        <f>XLOOKUP(D190,Products!$A$2:$A$15,Products!$B$2:$B$15,"Not found")</f>
        <v/>
      </c>
    </row>
    <row r="191">
      <c r="A191" t="n">
        <v>104510</v>
      </c>
      <c r="B191" s="1" t="n">
        <v>45669</v>
      </c>
      <c r="C191" t="inlineStr">
        <is>
          <t>S02</t>
        </is>
      </c>
      <c r="D191" t="inlineStr">
        <is>
          <t>P101</t>
        </is>
      </c>
      <c r="E191" t="n">
        <v>4</v>
      </c>
      <c r="F191" t="n">
        <v>39</v>
      </c>
      <c r="G191" t="n">
        <v>0</v>
      </c>
      <c r="H191">
        <f>E191*F191*(1-G191)</f>
        <v/>
      </c>
      <c r="I191">
        <f>XLOOKUP(D191,Products!$A$2:$A$15,Products!$B$2:$B$15,"Not found")</f>
        <v/>
      </c>
    </row>
    <row r="192">
      <c r="A192" t="n">
        <v>104511</v>
      </c>
      <c r="B192" s="1" t="n">
        <v>45669</v>
      </c>
      <c r="C192" t="inlineStr">
        <is>
          <t>S02</t>
        </is>
      </c>
      <c r="D192" t="inlineStr">
        <is>
          <t>P201</t>
        </is>
      </c>
      <c r="E192" t="n">
        <v>1</v>
      </c>
      <c r="F192" t="n">
        <v>149</v>
      </c>
      <c r="G192" t="n">
        <v>0.2</v>
      </c>
      <c r="H192">
        <f>E192*F192*(1-G192)</f>
        <v/>
      </c>
      <c r="I192">
        <f>XLOOKUP(D192,Products!$A$2:$A$15,Products!$B$2:$B$15,"Not found")</f>
        <v/>
      </c>
    </row>
    <row r="193">
      <c r="A193" t="n">
        <v>104512</v>
      </c>
      <c r="B193" s="1" t="n">
        <v>45669</v>
      </c>
      <c r="C193" t="inlineStr">
        <is>
          <t>S03</t>
        </is>
      </c>
      <c r="D193" t="inlineStr">
        <is>
          <t>P204</t>
        </is>
      </c>
      <c r="E193" t="n">
        <v>1</v>
      </c>
      <c r="F193" t="n">
        <v>229</v>
      </c>
      <c r="G193" t="n">
        <v>0</v>
      </c>
      <c r="H193">
        <f>E193*F193*(1-G193)</f>
        <v/>
      </c>
      <c r="I193">
        <f>XLOOKUP(D193,Products!$A$2:$A$15,Products!$B$2:$B$15,"Not found")</f>
        <v/>
      </c>
    </row>
    <row r="194">
      <c r="A194" t="n">
        <v>104513</v>
      </c>
      <c r="B194" s="1" t="n">
        <v>45669</v>
      </c>
      <c r="C194" t="inlineStr">
        <is>
          <t>S03</t>
        </is>
      </c>
      <c r="D194" t="inlineStr">
        <is>
          <t>P101</t>
        </is>
      </c>
      <c r="E194" t="n">
        <v>3</v>
      </c>
      <c r="F194" t="n">
        <v>39</v>
      </c>
      <c r="G194" t="n">
        <v>0</v>
      </c>
      <c r="H194">
        <f>E194*F194*(1-G194)</f>
        <v/>
      </c>
      <c r="I194">
        <f>XLOOKUP(D194,Products!$A$2:$A$15,Products!$B$2:$B$15,"Not found")</f>
        <v/>
      </c>
    </row>
    <row r="195">
      <c r="A195" t="n">
        <v>104514</v>
      </c>
      <c r="B195" s="1" t="n">
        <v>45669</v>
      </c>
      <c r="C195" t="inlineStr">
        <is>
          <t>S04</t>
        </is>
      </c>
      <c r="D195" t="inlineStr">
        <is>
          <t>P201</t>
        </is>
      </c>
      <c r="E195" t="n">
        <v>1</v>
      </c>
      <c r="F195" t="n">
        <v>149</v>
      </c>
      <c r="G195" t="n">
        <v>0</v>
      </c>
      <c r="H195">
        <f>E195*F195*(1-G195)</f>
        <v/>
      </c>
      <c r="I195">
        <f>XLOOKUP(D195,Products!$A$2:$A$15,Products!$B$2:$B$15,"Not found")</f>
        <v/>
      </c>
    </row>
    <row r="196">
      <c r="A196" t="n">
        <v>104515</v>
      </c>
      <c r="B196" s="1" t="n">
        <v>45669</v>
      </c>
      <c r="C196" t="inlineStr">
        <is>
          <t>S04</t>
        </is>
      </c>
      <c r="D196" t="inlineStr">
        <is>
          <t>P103</t>
        </is>
      </c>
      <c r="E196" t="n">
        <v>1</v>
      </c>
      <c r="F196" t="n">
        <v>29</v>
      </c>
      <c r="G196" t="n">
        <v>0.15</v>
      </c>
      <c r="H196">
        <f>E196*F196*(1-G196)</f>
        <v/>
      </c>
      <c r="I196">
        <f>XLOOKUP(D196,Products!$A$2:$A$15,Products!$B$2:$B$15,"Not found")</f>
        <v/>
      </c>
    </row>
    <row r="197">
      <c r="A197" t="n">
        <v>104516</v>
      </c>
      <c r="B197" s="1" t="n">
        <v>45669</v>
      </c>
      <c r="C197" t="inlineStr">
        <is>
          <t>S04</t>
        </is>
      </c>
      <c r="D197" t="inlineStr">
        <is>
          <t>P101</t>
        </is>
      </c>
      <c r="E197" t="n">
        <v>4</v>
      </c>
      <c r="F197" t="n">
        <v>39</v>
      </c>
      <c r="G197" t="n">
        <v>0</v>
      </c>
      <c r="H197">
        <f>E197*F197*(1-G197)</f>
        <v/>
      </c>
      <c r="I197">
        <f>XLOOKUP(D197,Products!$A$2:$A$15,Products!$B$2:$B$15,"Not found")</f>
        <v/>
      </c>
    </row>
    <row r="198">
      <c r="A198" t="n">
        <v>104517</v>
      </c>
      <c r="B198" s="1" t="n">
        <v>45669</v>
      </c>
      <c r="C198" t="inlineStr">
        <is>
          <t>S04</t>
        </is>
      </c>
      <c r="D198" t="inlineStr">
        <is>
          <t>P104</t>
        </is>
      </c>
      <c r="E198" t="n">
        <v>1</v>
      </c>
      <c r="F198" t="n">
        <v>189</v>
      </c>
      <c r="G198" t="n">
        <v>0</v>
      </c>
      <c r="H198">
        <f>E198*F198*(1-G198)</f>
        <v/>
      </c>
      <c r="I198">
        <f>XLOOKUP(D198,Products!$A$2:$A$15,Products!$B$2:$B$15,"Not found")</f>
        <v/>
      </c>
    </row>
    <row r="199">
      <c r="A199" t="n">
        <v>104518</v>
      </c>
      <c r="B199" s="1" t="n">
        <v>45669</v>
      </c>
      <c r="C199" t="inlineStr">
        <is>
          <t>S04</t>
        </is>
      </c>
      <c r="D199" t="inlineStr">
        <is>
          <t>P102</t>
        </is>
      </c>
      <c r="E199" t="n">
        <v>2</v>
      </c>
      <c r="F199" t="n">
        <v>14.5</v>
      </c>
      <c r="G199" t="n">
        <v>0.2</v>
      </c>
      <c r="H199">
        <f>E199*F199*(1-G199)</f>
        <v/>
      </c>
      <c r="I199">
        <f>XLOOKUP(D199,Products!$A$2:$A$15,Products!$B$2:$B$15,"Not found")</f>
        <v/>
      </c>
    </row>
    <row r="200">
      <c r="A200" t="n">
        <v>104519</v>
      </c>
      <c r="B200" s="1" t="n">
        <v>45669</v>
      </c>
      <c r="C200" t="inlineStr">
        <is>
          <t>S05</t>
        </is>
      </c>
      <c r="D200" t="inlineStr">
        <is>
          <t>P103</t>
        </is>
      </c>
      <c r="E200" t="n">
        <v>2</v>
      </c>
      <c r="F200" t="n">
        <v>29</v>
      </c>
      <c r="G200" t="n">
        <v>0</v>
      </c>
      <c r="H200">
        <f>E200*F200*(1-G200)</f>
        <v/>
      </c>
      <c r="I200">
        <f>XLOOKUP(D200,Products!$A$2:$A$15,Products!$B$2:$B$15,"Not found")</f>
        <v/>
      </c>
    </row>
    <row r="201">
      <c r="A201" t="n">
        <v>104520</v>
      </c>
      <c r="B201" s="1" t="n">
        <v>45669</v>
      </c>
      <c r="C201" t="inlineStr">
        <is>
          <t>S05</t>
        </is>
      </c>
      <c r="D201" t="inlineStr">
        <is>
          <t>P103</t>
        </is>
      </c>
      <c r="E201" t="n">
        <v>1</v>
      </c>
      <c r="F201" t="n">
        <v>29</v>
      </c>
      <c r="G201" t="n">
        <v>0</v>
      </c>
      <c r="H201">
        <f>E201*F201*(1-G201)</f>
        <v/>
      </c>
      <c r="I201">
        <f>XLOOKUP(D201,Products!$A$2:$A$15,Products!$B$2:$B$15,"Not found")</f>
        <v/>
      </c>
    </row>
    <row r="202">
      <c r="A202" t="n">
        <v>104521</v>
      </c>
      <c r="B202" s="1" t="n">
        <v>45669</v>
      </c>
      <c r="C202" t="inlineStr">
        <is>
          <t>S06</t>
        </is>
      </c>
      <c r="D202" t="inlineStr">
        <is>
          <t>P102</t>
        </is>
      </c>
      <c r="E202" t="n">
        <v>1</v>
      </c>
      <c r="F202" t="n">
        <v>14.5</v>
      </c>
      <c r="G202" t="n">
        <v>0.15</v>
      </c>
      <c r="H202">
        <f>E202*F202*(1-G202)</f>
        <v/>
      </c>
      <c r="I202">
        <f>XLOOKUP(D202,Products!$A$2:$A$15,Products!$B$2:$B$15,"Not found")</f>
        <v/>
      </c>
    </row>
    <row r="203">
      <c r="A203" t="n">
        <v>104522</v>
      </c>
      <c r="B203" s="1" t="n">
        <v>45669</v>
      </c>
      <c r="C203" t="inlineStr">
        <is>
          <t>S06</t>
        </is>
      </c>
      <c r="D203" t="inlineStr">
        <is>
          <t>P301</t>
        </is>
      </c>
      <c r="E203" t="n">
        <v>1</v>
      </c>
      <c r="F203" t="n">
        <v>119</v>
      </c>
      <c r="G203" t="n">
        <v>0</v>
      </c>
      <c r="H203">
        <f>E203*F203*(1-G203)</f>
        <v/>
      </c>
      <c r="I203">
        <f>XLOOKUP(D203,Products!$A$2:$A$15,Products!$B$2:$B$15,"Not found")</f>
        <v/>
      </c>
    </row>
    <row r="204">
      <c r="A204" t="n">
        <v>104523</v>
      </c>
      <c r="B204" s="1" t="n">
        <v>45669</v>
      </c>
      <c r="C204" t="inlineStr">
        <is>
          <t>S06</t>
        </is>
      </c>
      <c r="D204" t="inlineStr">
        <is>
          <t>P303</t>
        </is>
      </c>
      <c r="E204" t="n">
        <v>1</v>
      </c>
      <c r="F204" t="n">
        <v>12</v>
      </c>
      <c r="G204" t="n">
        <v>0</v>
      </c>
      <c r="H204">
        <f>E204*F204*(1-G204)</f>
        <v/>
      </c>
      <c r="I204">
        <f>XLOOKUP(D204,Products!$A$2:$A$15,Products!$B$2:$B$15,"Not found")</f>
        <v/>
      </c>
    </row>
    <row r="205">
      <c r="A205" t="n">
        <v>104524</v>
      </c>
      <c r="B205" s="1" t="n">
        <v>45670</v>
      </c>
      <c r="C205" t="inlineStr">
        <is>
          <t>S01</t>
        </is>
      </c>
      <c r="D205" t="inlineStr">
        <is>
          <t>P302</t>
        </is>
      </c>
      <c r="E205" t="n">
        <v>1</v>
      </c>
      <c r="F205" t="n">
        <v>24</v>
      </c>
      <c r="G205" t="n">
        <v>0.15</v>
      </c>
      <c r="H205">
        <f>E205*F205*(1-G205)</f>
        <v/>
      </c>
      <c r="I205">
        <f>XLOOKUP(D205,Products!$A$2:$A$15,Products!$B$2:$B$15,"Not found")</f>
        <v/>
      </c>
    </row>
    <row r="206">
      <c r="A206" t="n">
        <v>104525</v>
      </c>
      <c r="B206" s="1" t="n">
        <v>45670</v>
      </c>
      <c r="C206" t="inlineStr">
        <is>
          <t>S01</t>
        </is>
      </c>
      <c r="D206" t="inlineStr">
        <is>
          <t>P103</t>
        </is>
      </c>
      <c r="E206" t="n">
        <v>1</v>
      </c>
      <c r="F206" t="n">
        <v>29</v>
      </c>
      <c r="G206" t="n">
        <v>0</v>
      </c>
      <c r="H206">
        <f>E206*F206*(1-G206)</f>
        <v/>
      </c>
      <c r="I206">
        <f>XLOOKUP(D206,Products!$A$2:$A$15,Products!$B$2:$B$15,"Not found")</f>
        <v/>
      </c>
    </row>
    <row r="207">
      <c r="A207" t="n">
        <v>104526</v>
      </c>
      <c r="B207" s="1" t="n">
        <v>45670</v>
      </c>
      <c r="C207" t="inlineStr">
        <is>
          <t>S02</t>
        </is>
      </c>
      <c r="D207" t="inlineStr">
        <is>
          <t>P204</t>
        </is>
      </c>
      <c r="E207" t="n">
        <v>1</v>
      </c>
      <c r="F207" t="n">
        <v>229</v>
      </c>
      <c r="G207" t="n">
        <v>0</v>
      </c>
      <c r="H207">
        <f>E207*F207*(1-G207)</f>
        <v/>
      </c>
      <c r="I207">
        <f>XLOOKUP(D207,Products!$A$2:$A$15,Products!$B$2:$B$15,"Not found")</f>
        <v/>
      </c>
    </row>
    <row r="208">
      <c r="A208" t="n">
        <v>104527</v>
      </c>
      <c r="B208" s="1" t="n">
        <v>45670</v>
      </c>
      <c r="C208" t="inlineStr">
        <is>
          <t>S02</t>
        </is>
      </c>
      <c r="D208" t="inlineStr">
        <is>
          <t>P102</t>
        </is>
      </c>
      <c r="E208" t="n">
        <v>1</v>
      </c>
      <c r="F208" t="n">
        <v>14.5</v>
      </c>
      <c r="G208" t="n">
        <v>0</v>
      </c>
      <c r="H208">
        <f>E208*F208*(1-G208)</f>
        <v/>
      </c>
      <c r="I208">
        <f>XLOOKUP(D208,Products!$A$2:$A$15,Products!$B$2:$B$15,"Not found")</f>
        <v/>
      </c>
    </row>
    <row r="209">
      <c r="A209" t="n">
        <v>104528</v>
      </c>
      <c r="B209" s="1" t="n">
        <v>45670</v>
      </c>
      <c r="C209" t="inlineStr">
        <is>
          <t>S02</t>
        </is>
      </c>
      <c r="D209" t="inlineStr">
        <is>
          <t>P303</t>
        </is>
      </c>
      <c r="E209" t="n">
        <v>1</v>
      </c>
      <c r="F209" t="n">
        <v>12</v>
      </c>
      <c r="G209" t="n">
        <v>0</v>
      </c>
      <c r="H209">
        <f>E209*F209*(1-G209)</f>
        <v/>
      </c>
      <c r="I209">
        <f>XLOOKUP(D209,Products!$A$2:$A$15,Products!$B$2:$B$15,"Not found")</f>
        <v/>
      </c>
    </row>
    <row r="210">
      <c r="A210" t="n">
        <v>104529</v>
      </c>
      <c r="B210" s="1" t="n">
        <v>45670</v>
      </c>
      <c r="C210" t="inlineStr">
        <is>
          <t>S03</t>
        </is>
      </c>
      <c r="D210" t="inlineStr">
        <is>
          <t>P302</t>
        </is>
      </c>
      <c r="E210" t="n">
        <v>3</v>
      </c>
      <c r="F210" t="n">
        <v>24</v>
      </c>
      <c r="G210" t="n">
        <v>0</v>
      </c>
      <c r="H210">
        <f>E210*F210*(1-G210)</f>
        <v/>
      </c>
      <c r="I210">
        <f>XLOOKUP(D210,Products!$A$2:$A$15,Products!$B$2:$B$15,"Not found")</f>
        <v/>
      </c>
    </row>
    <row r="211">
      <c r="A211" t="n">
        <v>104530</v>
      </c>
      <c r="B211" s="1" t="n">
        <v>45670</v>
      </c>
      <c r="C211" t="inlineStr">
        <is>
          <t>S03</t>
        </is>
      </c>
      <c r="D211" t="inlineStr">
        <is>
          <t>P204</t>
        </is>
      </c>
      <c r="E211" t="n">
        <v>1</v>
      </c>
      <c r="F211" t="n">
        <v>229</v>
      </c>
      <c r="G211" t="n">
        <v>0.1</v>
      </c>
      <c r="H211">
        <f>E211*F211*(1-G211)</f>
        <v/>
      </c>
      <c r="I211">
        <f>XLOOKUP(D211,Products!$A$2:$A$15,Products!$B$2:$B$15,"Not found")</f>
        <v/>
      </c>
    </row>
    <row r="212">
      <c r="A212" t="n">
        <v>104531</v>
      </c>
      <c r="B212" s="1" t="n">
        <v>45670</v>
      </c>
      <c r="C212" t="inlineStr">
        <is>
          <t>S05</t>
        </is>
      </c>
      <c r="D212" t="inlineStr">
        <is>
          <t>P102</t>
        </is>
      </c>
      <c r="E212" t="n">
        <v>2</v>
      </c>
      <c r="F212" t="n">
        <v>14.5</v>
      </c>
      <c r="G212" t="n">
        <v>0</v>
      </c>
      <c r="H212">
        <f>E212*F212*(1-G212)</f>
        <v/>
      </c>
      <c r="I212">
        <f>XLOOKUP(D212,Products!$A$2:$A$15,Products!$B$2:$B$15,"Not found")</f>
        <v/>
      </c>
    </row>
    <row r="213">
      <c r="A213" t="n">
        <v>104532</v>
      </c>
      <c r="B213" s="1" t="n">
        <v>45670</v>
      </c>
      <c r="C213" t="inlineStr">
        <is>
          <t>S05</t>
        </is>
      </c>
      <c r="D213" t="inlineStr">
        <is>
          <t>P201</t>
        </is>
      </c>
      <c r="E213" t="n">
        <v>1</v>
      </c>
      <c r="F213" t="n">
        <v>149</v>
      </c>
      <c r="G213" t="n">
        <v>0</v>
      </c>
      <c r="H213">
        <f>E213*F213*(1-G213)</f>
        <v/>
      </c>
      <c r="I213">
        <f>XLOOKUP(D213,Products!$A$2:$A$15,Products!$B$2:$B$15,"Not found")</f>
        <v/>
      </c>
    </row>
    <row r="214">
      <c r="A214" t="n">
        <v>104533</v>
      </c>
      <c r="B214" s="1" t="n">
        <v>45670</v>
      </c>
      <c r="C214" t="inlineStr">
        <is>
          <t>S06</t>
        </is>
      </c>
      <c r="D214" t="inlineStr">
        <is>
          <t>P303</t>
        </is>
      </c>
      <c r="E214" t="n">
        <v>1</v>
      </c>
      <c r="F214" t="n">
        <v>12</v>
      </c>
      <c r="G214" t="n">
        <v>0</v>
      </c>
      <c r="H214">
        <f>E214*F214*(1-G214)</f>
        <v/>
      </c>
      <c r="I214">
        <f>XLOOKUP(D214,Products!$A$2:$A$15,Products!$B$2:$B$15,"Not found")</f>
        <v/>
      </c>
    </row>
    <row r="215">
      <c r="A215" t="n">
        <v>104534</v>
      </c>
      <c r="B215" s="1" t="n">
        <v>45670</v>
      </c>
      <c r="C215" t="inlineStr">
        <is>
          <t>S06</t>
        </is>
      </c>
      <c r="D215" t="inlineStr">
        <is>
          <t>P102</t>
        </is>
      </c>
      <c r="E215" t="n">
        <v>1</v>
      </c>
      <c r="F215" t="n">
        <v>14.5</v>
      </c>
      <c r="G215" t="n">
        <v>0</v>
      </c>
      <c r="H215">
        <f>E215*F215*(1-G215)</f>
        <v/>
      </c>
      <c r="I215">
        <f>XLOOKUP(D215,Products!$A$2:$A$15,Products!$B$2:$B$15,"Not found")</f>
        <v/>
      </c>
    </row>
    <row r="216">
      <c r="A216" t="n">
        <v>104535</v>
      </c>
      <c r="B216" s="1" t="n">
        <v>45671</v>
      </c>
      <c r="C216" t="inlineStr">
        <is>
          <t>S01</t>
        </is>
      </c>
      <c r="D216" t="inlineStr">
        <is>
          <t>P102</t>
        </is>
      </c>
      <c r="E216" t="n">
        <v>3</v>
      </c>
      <c r="F216" t="n">
        <v>14.5</v>
      </c>
      <c r="G216" t="n">
        <v>0</v>
      </c>
      <c r="H216">
        <f>E216*F216*(1-G216)</f>
        <v/>
      </c>
      <c r="I216">
        <f>XLOOKUP(D216,Products!$A$2:$A$15,Products!$B$2:$B$15,"Not found")</f>
        <v/>
      </c>
    </row>
    <row r="217">
      <c r="A217" t="n">
        <v>104536</v>
      </c>
      <c r="B217" s="1" t="n">
        <v>45671</v>
      </c>
      <c r="C217" t="inlineStr">
        <is>
          <t>S02</t>
        </is>
      </c>
      <c r="D217" t="inlineStr">
        <is>
          <t>P102</t>
        </is>
      </c>
      <c r="E217" t="n">
        <v>2</v>
      </c>
      <c r="F217" t="n">
        <v>14.5</v>
      </c>
      <c r="G217" t="n">
        <v>0.2</v>
      </c>
      <c r="H217">
        <f>E217*F217*(1-G217)</f>
        <v/>
      </c>
      <c r="I217">
        <f>XLOOKUP(D217,Products!$A$2:$A$15,Products!$B$2:$B$15,"Not found")</f>
        <v/>
      </c>
    </row>
    <row r="218">
      <c r="A218" t="n">
        <v>104537</v>
      </c>
      <c r="B218" s="1" t="n">
        <v>45671</v>
      </c>
      <c r="C218" t="inlineStr">
        <is>
          <t>S03</t>
        </is>
      </c>
      <c r="D218" t="inlineStr">
        <is>
          <t>P301</t>
        </is>
      </c>
      <c r="E218" t="n">
        <v>1</v>
      </c>
      <c r="F218" t="n">
        <v>119</v>
      </c>
      <c r="G218" t="n">
        <v>0</v>
      </c>
      <c r="H218">
        <f>E218*F218*(1-G218)</f>
        <v/>
      </c>
      <c r="I218">
        <f>XLOOKUP(D218,Products!$A$2:$A$15,Products!$B$2:$B$15,"Not found")</f>
        <v/>
      </c>
    </row>
    <row r="219">
      <c r="A219" t="n">
        <v>104538</v>
      </c>
      <c r="B219" s="1" t="n">
        <v>45671</v>
      </c>
      <c r="C219" t="inlineStr">
        <is>
          <t>S04</t>
        </is>
      </c>
      <c r="D219" t="inlineStr">
        <is>
          <t>P102</t>
        </is>
      </c>
      <c r="E219" t="n">
        <v>1</v>
      </c>
      <c r="F219" t="n">
        <v>14.5</v>
      </c>
      <c r="G219" t="n">
        <v>0</v>
      </c>
      <c r="H219">
        <f>E219*F219*(1-G219)</f>
        <v/>
      </c>
      <c r="I219">
        <f>XLOOKUP(D219,Products!$A$2:$A$15,Products!$B$2:$B$15,"Not found")</f>
        <v/>
      </c>
    </row>
    <row r="220">
      <c r="A220" t="n">
        <v>104539</v>
      </c>
      <c r="B220" s="1" t="n">
        <v>45671</v>
      </c>
      <c r="C220" t="inlineStr">
        <is>
          <t>S04</t>
        </is>
      </c>
      <c r="D220" t="inlineStr">
        <is>
          <t>P301</t>
        </is>
      </c>
      <c r="E220" t="n">
        <v>1</v>
      </c>
      <c r="F220" t="n">
        <v>119</v>
      </c>
      <c r="G220" t="n">
        <v>0</v>
      </c>
      <c r="H220">
        <f>E220*F220*(1-G220)</f>
        <v/>
      </c>
      <c r="I220">
        <f>XLOOKUP(D220,Products!$A$2:$A$15,Products!$B$2:$B$15,"Not found")</f>
        <v/>
      </c>
    </row>
    <row r="221">
      <c r="A221" t="n">
        <v>104540</v>
      </c>
      <c r="B221" s="1" t="n">
        <v>45671</v>
      </c>
      <c r="C221" t="inlineStr">
        <is>
          <t>S04</t>
        </is>
      </c>
      <c r="D221" t="inlineStr">
        <is>
          <t>P102</t>
        </is>
      </c>
      <c r="E221" t="n">
        <v>1</v>
      </c>
      <c r="F221" t="n">
        <v>14.5</v>
      </c>
      <c r="G221" t="n">
        <v>0</v>
      </c>
      <c r="H221">
        <f>E221*F221*(1-G221)</f>
        <v/>
      </c>
      <c r="I221">
        <f>XLOOKUP(D221,Products!$A$2:$A$15,Products!$B$2:$B$15,"Not found")</f>
        <v/>
      </c>
    </row>
    <row r="222">
      <c r="A222" t="n">
        <v>104541</v>
      </c>
      <c r="B222" s="1" t="n">
        <v>45671</v>
      </c>
      <c r="C222" t="inlineStr">
        <is>
          <t>S05</t>
        </is>
      </c>
      <c r="D222" t="inlineStr">
        <is>
          <t>P302</t>
        </is>
      </c>
      <c r="E222" t="n">
        <v>1</v>
      </c>
      <c r="F222" t="n">
        <v>24</v>
      </c>
      <c r="G222" t="n">
        <v>0</v>
      </c>
      <c r="H222">
        <f>E222*F222*(1-G222)</f>
        <v/>
      </c>
      <c r="I222">
        <f>XLOOKUP(D222,Products!$A$2:$A$15,Products!$B$2:$B$15,"Not found")</f>
        <v/>
      </c>
    </row>
    <row r="223">
      <c r="A223" t="n">
        <v>104542</v>
      </c>
      <c r="B223" s="1" t="n">
        <v>45671</v>
      </c>
      <c r="C223" t="inlineStr">
        <is>
          <t>S05</t>
        </is>
      </c>
      <c r="D223" t="inlineStr">
        <is>
          <t>P201</t>
        </is>
      </c>
      <c r="E223" t="n">
        <v>1</v>
      </c>
      <c r="F223" t="n">
        <v>149</v>
      </c>
      <c r="G223" t="n">
        <v>0</v>
      </c>
      <c r="H223">
        <f>E223*F223*(1-G223)</f>
        <v/>
      </c>
      <c r="I223">
        <f>XLOOKUP(D223,Products!$A$2:$A$15,Products!$B$2:$B$15,"Not found")</f>
        <v/>
      </c>
    </row>
    <row r="224">
      <c r="A224" t="n">
        <v>104543</v>
      </c>
      <c r="B224" s="1" t="n">
        <v>45671</v>
      </c>
      <c r="C224" t="inlineStr">
        <is>
          <t>S06</t>
        </is>
      </c>
      <c r="D224" t="inlineStr">
        <is>
          <t>P303</t>
        </is>
      </c>
      <c r="E224" t="n">
        <v>1</v>
      </c>
      <c r="F224" t="n">
        <v>12</v>
      </c>
      <c r="G224" t="n">
        <v>0</v>
      </c>
      <c r="H224">
        <f>E224*F224*(1-G224)</f>
        <v/>
      </c>
      <c r="I224">
        <f>XLOOKUP(D224,Products!$A$2:$A$15,Products!$B$2:$B$15,"Not found")</f>
        <v/>
      </c>
    </row>
    <row r="225">
      <c r="A225" t="n">
        <v>104544</v>
      </c>
      <c r="B225" s="1" t="n">
        <v>45672</v>
      </c>
      <c r="C225" t="inlineStr">
        <is>
          <t>S01</t>
        </is>
      </c>
      <c r="D225" t="inlineStr">
        <is>
          <t>P101</t>
        </is>
      </c>
      <c r="E225" t="n">
        <v>1</v>
      </c>
      <c r="F225" t="n">
        <v>39</v>
      </c>
      <c r="G225" t="n">
        <v>0</v>
      </c>
      <c r="H225">
        <f>E225*F225*(1-G225)</f>
        <v/>
      </c>
      <c r="I225">
        <f>XLOOKUP(D225,Products!$A$2:$A$15,Products!$B$2:$B$15,"Not found")</f>
        <v/>
      </c>
    </row>
    <row r="226">
      <c r="A226" t="n">
        <v>104545</v>
      </c>
      <c r="B226" s="1" t="n">
        <v>45672</v>
      </c>
      <c r="C226" t="inlineStr">
        <is>
          <t>S01</t>
        </is>
      </c>
      <c r="D226" t="inlineStr">
        <is>
          <t>P101</t>
        </is>
      </c>
      <c r="E226" t="n">
        <v>2</v>
      </c>
      <c r="F226" t="n">
        <v>39</v>
      </c>
      <c r="G226" t="n">
        <v>0.15</v>
      </c>
      <c r="H226">
        <f>E226*F226*(1-G226)</f>
        <v/>
      </c>
      <c r="I226">
        <f>XLOOKUP(D226,Products!$A$2:$A$15,Products!$B$2:$B$15,"Not found")</f>
        <v/>
      </c>
    </row>
    <row r="227">
      <c r="A227" t="n">
        <v>104546</v>
      </c>
      <c r="B227" s="1" t="n">
        <v>45672</v>
      </c>
      <c r="C227" t="inlineStr">
        <is>
          <t>S01</t>
        </is>
      </c>
      <c r="D227" t="inlineStr">
        <is>
          <t>P102</t>
        </is>
      </c>
      <c r="E227" t="n">
        <v>3</v>
      </c>
      <c r="F227" t="n">
        <v>14.5</v>
      </c>
      <c r="G227" t="n">
        <v>0.15</v>
      </c>
      <c r="H227">
        <f>E227*F227*(1-G227)</f>
        <v/>
      </c>
      <c r="I227">
        <f>XLOOKUP(D227,Products!$A$2:$A$15,Products!$B$2:$B$15,"Not found")</f>
        <v/>
      </c>
    </row>
    <row r="228">
      <c r="A228" t="n">
        <v>104547</v>
      </c>
      <c r="B228" s="1" t="n">
        <v>45672</v>
      </c>
      <c r="C228" t="inlineStr">
        <is>
          <t>S01</t>
        </is>
      </c>
      <c r="D228" t="inlineStr">
        <is>
          <t>P101</t>
        </is>
      </c>
      <c r="E228" t="n">
        <v>2</v>
      </c>
      <c r="F228" t="n">
        <v>39</v>
      </c>
      <c r="G228" t="n">
        <v>0</v>
      </c>
      <c r="H228">
        <f>E228*F228*(1-G228)</f>
        <v/>
      </c>
      <c r="I228">
        <f>XLOOKUP(D228,Products!$A$2:$A$15,Products!$B$2:$B$15,"Not found")</f>
        <v/>
      </c>
    </row>
    <row r="229">
      <c r="A229" t="n">
        <v>104548</v>
      </c>
      <c r="B229" s="1" t="n">
        <v>45672</v>
      </c>
      <c r="C229" t="inlineStr">
        <is>
          <t>S01</t>
        </is>
      </c>
      <c r="D229" t="inlineStr">
        <is>
          <t>P303</t>
        </is>
      </c>
      <c r="E229" t="n">
        <v>2</v>
      </c>
      <c r="F229" t="n">
        <v>12</v>
      </c>
      <c r="G229" t="n">
        <v>0</v>
      </c>
      <c r="H229">
        <f>E229*F229*(1-G229)</f>
        <v/>
      </c>
      <c r="I229">
        <f>XLOOKUP(D229,Products!$A$2:$A$15,Products!$B$2:$B$15,"Not found")</f>
        <v/>
      </c>
    </row>
    <row r="230">
      <c r="A230" t="n">
        <v>104549</v>
      </c>
      <c r="B230" s="1" t="n">
        <v>45672</v>
      </c>
      <c r="C230" t="inlineStr">
        <is>
          <t>S02</t>
        </is>
      </c>
      <c r="D230" t="inlineStr">
        <is>
          <t>P102</t>
        </is>
      </c>
      <c r="E230" t="n">
        <v>2</v>
      </c>
      <c r="F230" t="n">
        <v>14.5</v>
      </c>
      <c r="G230" t="n">
        <v>0</v>
      </c>
      <c r="H230">
        <f>E230*F230*(1-G230)</f>
        <v/>
      </c>
      <c r="I230">
        <f>XLOOKUP(D230,Products!$A$2:$A$15,Products!$B$2:$B$15,"Not found")</f>
        <v/>
      </c>
    </row>
    <row r="231">
      <c r="A231" t="n">
        <v>104550</v>
      </c>
      <c r="B231" s="1" t="n">
        <v>45672</v>
      </c>
      <c r="C231" t="inlineStr">
        <is>
          <t>S02</t>
        </is>
      </c>
      <c r="D231" t="inlineStr">
        <is>
          <t>P403</t>
        </is>
      </c>
      <c r="E231" t="n">
        <v>2</v>
      </c>
      <c r="F231" t="n">
        <v>89</v>
      </c>
      <c r="G231" t="n">
        <v>0.2</v>
      </c>
      <c r="H231">
        <f>E231*F231*(1-G231)</f>
        <v/>
      </c>
      <c r="I231">
        <f>XLOOKUP(D231,Products!$A$2:$A$15,Products!$B$2:$B$15,"Not found")</f>
        <v/>
      </c>
    </row>
    <row r="232">
      <c r="A232" t="n">
        <v>104551</v>
      </c>
      <c r="B232" s="1" t="n">
        <v>45672</v>
      </c>
      <c r="C232" t="inlineStr">
        <is>
          <t>S02</t>
        </is>
      </c>
      <c r="D232" t="inlineStr">
        <is>
          <t>P301</t>
        </is>
      </c>
      <c r="E232" t="n">
        <v>1</v>
      </c>
      <c r="F232" t="n">
        <v>119</v>
      </c>
      <c r="G232" t="n">
        <v>0.1</v>
      </c>
      <c r="H232">
        <f>E232*F232*(1-G232)</f>
        <v/>
      </c>
      <c r="I232">
        <f>XLOOKUP(D232,Products!$A$2:$A$15,Products!$B$2:$B$15,"Not found")</f>
        <v/>
      </c>
    </row>
    <row r="233">
      <c r="A233" t="n">
        <v>104552</v>
      </c>
      <c r="B233" s="1" t="n">
        <v>45672</v>
      </c>
      <c r="C233" t="inlineStr">
        <is>
          <t>S02</t>
        </is>
      </c>
      <c r="D233" t="inlineStr">
        <is>
          <t>P403</t>
        </is>
      </c>
      <c r="E233" t="n">
        <v>1</v>
      </c>
      <c r="F233" t="n">
        <v>89</v>
      </c>
      <c r="G233" t="n">
        <v>0</v>
      </c>
      <c r="H233">
        <f>E233*F233*(1-G233)</f>
        <v/>
      </c>
      <c r="I233">
        <f>XLOOKUP(D233,Products!$A$2:$A$15,Products!$B$2:$B$15,"Not found")</f>
        <v/>
      </c>
    </row>
    <row r="234">
      <c r="A234" t="n">
        <v>104553</v>
      </c>
      <c r="B234" s="1" t="n">
        <v>45672</v>
      </c>
      <c r="C234" t="inlineStr">
        <is>
          <t>S03</t>
        </is>
      </c>
      <c r="D234" t="inlineStr">
        <is>
          <t>P101</t>
        </is>
      </c>
      <c r="E234" t="n">
        <v>1</v>
      </c>
      <c r="F234" t="n">
        <v>39</v>
      </c>
      <c r="G234" t="n">
        <v>0.1</v>
      </c>
      <c r="H234">
        <f>E234*F234*(1-G234)</f>
        <v/>
      </c>
      <c r="I234">
        <f>XLOOKUP(D234,Products!$A$2:$A$15,Products!$B$2:$B$15,"Not found")</f>
        <v/>
      </c>
    </row>
    <row r="235">
      <c r="A235" t="n">
        <v>104554</v>
      </c>
      <c r="B235" s="1" t="n">
        <v>45672</v>
      </c>
      <c r="C235" t="inlineStr">
        <is>
          <t>S04</t>
        </is>
      </c>
      <c r="D235" t="inlineStr">
        <is>
          <t>P202</t>
        </is>
      </c>
      <c r="E235" t="n">
        <v>2</v>
      </c>
      <c r="F235" t="n">
        <v>79</v>
      </c>
      <c r="G235" t="n">
        <v>0</v>
      </c>
      <c r="H235">
        <f>E235*F235*(1-G235)</f>
        <v/>
      </c>
      <c r="I235">
        <f>XLOOKUP(D235,Products!$A$2:$A$15,Products!$B$2:$B$15,"Not found")</f>
        <v/>
      </c>
    </row>
    <row r="236">
      <c r="A236" t="n">
        <v>104555</v>
      </c>
      <c r="B236" s="1" t="n">
        <v>45672</v>
      </c>
      <c r="C236" t="inlineStr">
        <is>
          <t>S04</t>
        </is>
      </c>
      <c r="D236" t="inlineStr">
        <is>
          <t>P301</t>
        </is>
      </c>
      <c r="E236" t="n">
        <v>1</v>
      </c>
      <c r="F236" t="n">
        <v>119</v>
      </c>
      <c r="G236" t="n">
        <v>0</v>
      </c>
      <c r="H236">
        <f>E236*F236*(1-G236)</f>
        <v/>
      </c>
      <c r="I236">
        <f>XLOOKUP(D236,Products!$A$2:$A$15,Products!$B$2:$B$15,"Not found")</f>
        <v/>
      </c>
    </row>
    <row r="237">
      <c r="A237" t="n">
        <v>104556</v>
      </c>
      <c r="B237" s="1" t="n">
        <v>45672</v>
      </c>
      <c r="C237" t="inlineStr">
        <is>
          <t>S04</t>
        </is>
      </c>
      <c r="D237" t="inlineStr">
        <is>
          <t>P102</t>
        </is>
      </c>
      <c r="E237" t="n">
        <v>2</v>
      </c>
      <c r="F237" t="n">
        <v>14.5</v>
      </c>
      <c r="G237" t="n">
        <v>0.1</v>
      </c>
      <c r="H237">
        <f>E237*F237*(1-G237)</f>
        <v/>
      </c>
      <c r="I237">
        <f>XLOOKUP(D237,Products!$A$2:$A$15,Products!$B$2:$B$15,"Not found")</f>
        <v/>
      </c>
    </row>
    <row r="238">
      <c r="A238" t="n">
        <v>104557</v>
      </c>
      <c r="B238" s="1" t="n">
        <v>45672</v>
      </c>
      <c r="C238" t="inlineStr">
        <is>
          <t>S05</t>
        </is>
      </c>
      <c r="D238" t="inlineStr">
        <is>
          <t>P201</t>
        </is>
      </c>
      <c r="E238" t="n">
        <v>1</v>
      </c>
      <c r="F238" t="n">
        <v>149</v>
      </c>
      <c r="G238" t="n">
        <v>0</v>
      </c>
      <c r="H238">
        <f>E238*F238*(1-G238)</f>
        <v/>
      </c>
      <c r="I238">
        <f>XLOOKUP(D238,Products!$A$2:$A$15,Products!$B$2:$B$15,"Not found")</f>
        <v/>
      </c>
    </row>
    <row r="239">
      <c r="A239" t="n">
        <v>104558</v>
      </c>
      <c r="B239" s="1" t="n">
        <v>45672</v>
      </c>
      <c r="C239" t="inlineStr">
        <is>
          <t>S05</t>
        </is>
      </c>
      <c r="D239" t="inlineStr">
        <is>
          <t>P202</t>
        </is>
      </c>
      <c r="E239" t="n">
        <v>2</v>
      </c>
      <c r="F239" t="n">
        <v>79</v>
      </c>
      <c r="G239" t="n">
        <v>0</v>
      </c>
      <c r="H239">
        <f>E239*F239*(1-G239)</f>
        <v/>
      </c>
      <c r="I239">
        <f>XLOOKUP(D239,Products!$A$2:$A$15,Products!$B$2:$B$15,"Not found")</f>
        <v/>
      </c>
    </row>
    <row r="240">
      <c r="A240" t="n">
        <v>104559</v>
      </c>
      <c r="B240" s="1" t="n">
        <v>45672</v>
      </c>
      <c r="C240" t="inlineStr">
        <is>
          <t>S05</t>
        </is>
      </c>
      <c r="D240" t="inlineStr">
        <is>
          <t>P203</t>
        </is>
      </c>
      <c r="E240" t="n">
        <v>2</v>
      </c>
      <c r="F240" t="n">
        <v>19.5</v>
      </c>
      <c r="G240" t="n">
        <v>0.15</v>
      </c>
      <c r="H240">
        <f>E240*F240*(1-G240)</f>
        <v/>
      </c>
      <c r="I240">
        <f>XLOOKUP(D240,Products!$A$2:$A$15,Products!$B$2:$B$15,"Not found")</f>
        <v/>
      </c>
    </row>
    <row r="241">
      <c r="A241" t="n">
        <v>104560</v>
      </c>
      <c r="B241" s="1" t="n">
        <v>45672</v>
      </c>
      <c r="C241" t="inlineStr">
        <is>
          <t>S06</t>
        </is>
      </c>
      <c r="D241" t="inlineStr">
        <is>
          <t>P303</t>
        </is>
      </c>
      <c r="E241" t="n">
        <v>2</v>
      </c>
      <c r="F241" t="n">
        <v>12</v>
      </c>
      <c r="G241" t="n">
        <v>0</v>
      </c>
      <c r="H241">
        <f>E241*F241*(1-G241)</f>
        <v/>
      </c>
      <c r="I241">
        <f>XLOOKUP(D241,Products!$A$2:$A$15,Products!$B$2:$B$15,"Not found")</f>
        <v/>
      </c>
    </row>
    <row r="242">
      <c r="A242" t="n">
        <v>104561</v>
      </c>
      <c r="B242" s="1" t="n">
        <v>45673</v>
      </c>
      <c r="C242" t="inlineStr">
        <is>
          <t>S01</t>
        </is>
      </c>
      <c r="D242" t="inlineStr">
        <is>
          <t>P103</t>
        </is>
      </c>
      <c r="E242" t="n">
        <v>2</v>
      </c>
      <c r="F242" t="n">
        <v>29</v>
      </c>
      <c r="G242" t="n">
        <v>0.2</v>
      </c>
      <c r="H242">
        <f>E242*F242*(1-G242)</f>
        <v/>
      </c>
      <c r="I242">
        <f>XLOOKUP(D242,Products!$A$2:$A$15,Products!$B$2:$B$15,"Not found")</f>
        <v/>
      </c>
    </row>
    <row r="243">
      <c r="A243" t="n">
        <v>104562</v>
      </c>
      <c r="B243" s="1" t="n">
        <v>45673</v>
      </c>
      <c r="C243" t="inlineStr">
        <is>
          <t>S01</t>
        </is>
      </c>
      <c r="D243" t="inlineStr">
        <is>
          <t>P302</t>
        </is>
      </c>
      <c r="E243" t="n">
        <v>1</v>
      </c>
      <c r="F243" t="n">
        <v>24</v>
      </c>
      <c r="G243" t="n">
        <v>0</v>
      </c>
      <c r="H243">
        <f>E243*F243*(1-G243)</f>
        <v/>
      </c>
      <c r="I243">
        <f>XLOOKUP(D243,Products!$A$2:$A$15,Products!$B$2:$B$15,"Not found")</f>
        <v/>
      </c>
    </row>
    <row r="244">
      <c r="A244" t="n">
        <v>104563</v>
      </c>
      <c r="B244" s="1" t="n">
        <v>45673</v>
      </c>
      <c r="C244" t="inlineStr">
        <is>
          <t>S01</t>
        </is>
      </c>
      <c r="D244" t="inlineStr">
        <is>
          <t>P204</t>
        </is>
      </c>
      <c r="E244" t="n">
        <v>1</v>
      </c>
      <c r="F244" t="n">
        <v>229</v>
      </c>
      <c r="G244" t="n">
        <v>0</v>
      </c>
      <c r="H244">
        <f>E244*F244*(1-G244)</f>
        <v/>
      </c>
      <c r="I244">
        <f>XLOOKUP(D244,Products!$A$2:$A$15,Products!$B$2:$B$15,"Not found")</f>
        <v/>
      </c>
    </row>
    <row r="245">
      <c r="A245" t="n">
        <v>104564</v>
      </c>
      <c r="B245" s="1" t="n">
        <v>45673</v>
      </c>
      <c r="C245" t="inlineStr">
        <is>
          <t>S02</t>
        </is>
      </c>
      <c r="D245" t="inlineStr">
        <is>
          <t>P203</t>
        </is>
      </c>
      <c r="E245" t="n">
        <v>4</v>
      </c>
      <c r="F245" t="n">
        <v>19.5</v>
      </c>
      <c r="G245" t="n">
        <v>0</v>
      </c>
      <c r="H245">
        <f>E245*F245*(1-G245)</f>
        <v/>
      </c>
      <c r="I245">
        <f>XLOOKUP(D245,Products!$A$2:$A$15,Products!$B$2:$B$15,"Not found")</f>
        <v/>
      </c>
    </row>
    <row r="246">
      <c r="A246" t="n">
        <v>104565</v>
      </c>
      <c r="B246" s="1" t="n">
        <v>45673</v>
      </c>
      <c r="C246" t="inlineStr">
        <is>
          <t>S02</t>
        </is>
      </c>
      <c r="D246" t="inlineStr">
        <is>
          <t>P302</t>
        </is>
      </c>
      <c r="E246" t="n">
        <v>3</v>
      </c>
      <c r="F246" t="n">
        <v>24</v>
      </c>
      <c r="G246" t="n">
        <v>0</v>
      </c>
      <c r="H246">
        <f>E246*F246*(1-G246)</f>
        <v/>
      </c>
      <c r="I246">
        <f>XLOOKUP(D246,Products!$A$2:$A$15,Products!$B$2:$B$15,"Not found")</f>
        <v/>
      </c>
    </row>
    <row r="247">
      <c r="A247" t="n">
        <v>104566</v>
      </c>
      <c r="B247" s="1" t="n">
        <v>45673</v>
      </c>
      <c r="C247" t="inlineStr">
        <is>
          <t>S02</t>
        </is>
      </c>
      <c r="D247" t="inlineStr">
        <is>
          <t>P102</t>
        </is>
      </c>
      <c r="E247" t="n">
        <v>3</v>
      </c>
      <c r="F247" t="n">
        <v>14.5</v>
      </c>
      <c r="G247" t="n">
        <v>0.1</v>
      </c>
      <c r="H247">
        <f>E247*F247*(1-G247)</f>
        <v/>
      </c>
      <c r="I247">
        <f>XLOOKUP(D247,Products!$A$2:$A$15,Products!$B$2:$B$15,"Not found")</f>
        <v/>
      </c>
    </row>
    <row r="248">
      <c r="A248" t="n">
        <v>104567</v>
      </c>
      <c r="B248" s="1" t="n">
        <v>45673</v>
      </c>
      <c r="C248" t="inlineStr">
        <is>
          <t>S03</t>
        </is>
      </c>
      <c r="D248" t="inlineStr">
        <is>
          <t>P303</t>
        </is>
      </c>
      <c r="E248" t="n">
        <v>4</v>
      </c>
      <c r="F248" t="n">
        <v>12</v>
      </c>
      <c r="G248" t="n">
        <v>0</v>
      </c>
      <c r="H248">
        <f>E248*F248*(1-G248)</f>
        <v/>
      </c>
      <c r="I248">
        <f>XLOOKUP(D248,Products!$A$2:$A$15,Products!$B$2:$B$15,"Not found")</f>
        <v/>
      </c>
    </row>
    <row r="249">
      <c r="A249" t="n">
        <v>104568</v>
      </c>
      <c r="B249" s="1" t="n">
        <v>45673</v>
      </c>
      <c r="C249" t="inlineStr">
        <is>
          <t>S04</t>
        </is>
      </c>
      <c r="D249" t="inlineStr">
        <is>
          <t>P303</t>
        </is>
      </c>
      <c r="E249" t="n">
        <v>2</v>
      </c>
      <c r="F249" t="n">
        <v>12</v>
      </c>
      <c r="G249" t="n">
        <v>0</v>
      </c>
      <c r="H249">
        <f>E249*F249*(1-G249)</f>
        <v/>
      </c>
      <c r="I249">
        <f>XLOOKUP(D249,Products!$A$2:$A$15,Products!$B$2:$B$15,"Not found")</f>
        <v/>
      </c>
    </row>
    <row r="250">
      <c r="A250" t="n">
        <v>104569</v>
      </c>
      <c r="B250" s="1" t="n">
        <v>45673</v>
      </c>
      <c r="C250" t="inlineStr">
        <is>
          <t>S04</t>
        </is>
      </c>
      <c r="D250" t="inlineStr">
        <is>
          <t>P102</t>
        </is>
      </c>
      <c r="E250" t="n">
        <v>2</v>
      </c>
      <c r="F250" t="n">
        <v>14.5</v>
      </c>
      <c r="G250" t="n">
        <v>0</v>
      </c>
      <c r="H250">
        <f>E250*F250*(1-G250)</f>
        <v/>
      </c>
      <c r="I250">
        <f>XLOOKUP(D250,Products!$A$2:$A$15,Products!$B$2:$B$15,"Not found")</f>
        <v/>
      </c>
    </row>
    <row r="251">
      <c r="A251" t="n">
        <v>104570</v>
      </c>
      <c r="B251" s="1" t="n">
        <v>45673</v>
      </c>
      <c r="C251" t="inlineStr">
        <is>
          <t>S04</t>
        </is>
      </c>
      <c r="D251" t="inlineStr">
        <is>
          <t>P301</t>
        </is>
      </c>
      <c r="E251" t="n">
        <v>1</v>
      </c>
      <c r="F251" t="n">
        <v>119</v>
      </c>
      <c r="G251" t="n">
        <v>0.15</v>
      </c>
      <c r="H251">
        <f>E251*F251*(1-G251)</f>
        <v/>
      </c>
      <c r="I251">
        <f>XLOOKUP(D251,Products!$A$2:$A$15,Products!$B$2:$B$15,"Not found")</f>
        <v/>
      </c>
    </row>
    <row r="252">
      <c r="A252" t="n">
        <v>104571</v>
      </c>
      <c r="B252" s="1" t="n">
        <v>45673</v>
      </c>
      <c r="C252" t="inlineStr">
        <is>
          <t>S04</t>
        </is>
      </c>
      <c r="D252" t="inlineStr">
        <is>
          <t>P104</t>
        </is>
      </c>
      <c r="E252" t="n">
        <v>1</v>
      </c>
      <c r="F252" t="n">
        <v>189</v>
      </c>
      <c r="G252" t="n">
        <v>0.1</v>
      </c>
      <c r="H252">
        <f>E252*F252*(1-G252)</f>
        <v/>
      </c>
      <c r="I252">
        <f>XLOOKUP(D252,Products!$A$2:$A$15,Products!$B$2:$B$15,"Not found")</f>
        <v/>
      </c>
    </row>
    <row r="253">
      <c r="A253" t="n">
        <v>104572</v>
      </c>
      <c r="B253" s="1" t="n">
        <v>45673</v>
      </c>
      <c r="C253" t="inlineStr">
        <is>
          <t>S05</t>
        </is>
      </c>
      <c r="D253" t="inlineStr">
        <is>
          <t>P103</t>
        </is>
      </c>
      <c r="E253" t="n">
        <v>2</v>
      </c>
      <c r="F253" t="n">
        <v>29</v>
      </c>
      <c r="G253" t="n">
        <v>0.1</v>
      </c>
      <c r="H253">
        <f>E253*F253*(1-G253)</f>
        <v/>
      </c>
      <c r="I253">
        <f>XLOOKUP(D253,Products!$A$2:$A$15,Products!$B$2:$B$15,"Not found")</f>
        <v/>
      </c>
    </row>
    <row r="254">
      <c r="A254" t="n">
        <v>104573</v>
      </c>
      <c r="B254" s="1" t="n">
        <v>45673</v>
      </c>
      <c r="C254" t="inlineStr">
        <is>
          <t>S05</t>
        </is>
      </c>
      <c r="D254" t="inlineStr">
        <is>
          <t>P204</t>
        </is>
      </c>
      <c r="E254" t="n">
        <v>1</v>
      </c>
      <c r="F254" t="n">
        <v>229</v>
      </c>
      <c r="G254" t="n">
        <v>0</v>
      </c>
      <c r="H254">
        <f>E254*F254*(1-G254)</f>
        <v/>
      </c>
      <c r="I254">
        <f>XLOOKUP(D254,Products!$A$2:$A$15,Products!$B$2:$B$15,"Not found")</f>
        <v/>
      </c>
    </row>
    <row r="255">
      <c r="A255" t="n">
        <v>104574</v>
      </c>
      <c r="B255" s="1" t="n">
        <v>45673</v>
      </c>
      <c r="C255" t="inlineStr">
        <is>
          <t>S06</t>
        </is>
      </c>
      <c r="D255" t="inlineStr">
        <is>
          <t>P301</t>
        </is>
      </c>
      <c r="E255" t="n">
        <v>1</v>
      </c>
      <c r="F255" t="n">
        <v>119</v>
      </c>
      <c r="G255" t="n">
        <v>0</v>
      </c>
      <c r="H255">
        <f>E255*F255*(1-G255)</f>
        <v/>
      </c>
      <c r="I255">
        <f>XLOOKUP(D255,Products!$A$2:$A$15,Products!$B$2:$B$15,"Not found")</f>
        <v/>
      </c>
    </row>
    <row r="256">
      <c r="A256" t="n">
        <v>104575</v>
      </c>
      <c r="B256" s="1" t="n">
        <v>45673</v>
      </c>
      <c r="C256" t="inlineStr">
        <is>
          <t>S06</t>
        </is>
      </c>
      <c r="D256" t="inlineStr">
        <is>
          <t>P102</t>
        </is>
      </c>
      <c r="E256" t="n">
        <v>3</v>
      </c>
      <c r="F256" t="n">
        <v>14.5</v>
      </c>
      <c r="G256" t="n">
        <v>0</v>
      </c>
      <c r="H256">
        <f>E256*F256*(1-G256)</f>
        <v/>
      </c>
      <c r="I256">
        <f>XLOOKUP(D256,Products!$A$2:$A$15,Products!$B$2:$B$15,"Not found")</f>
        <v/>
      </c>
    </row>
    <row r="257">
      <c r="A257" t="n">
        <v>104576</v>
      </c>
      <c r="B257" s="1" t="n">
        <v>45674</v>
      </c>
      <c r="C257" t="inlineStr">
        <is>
          <t>S01</t>
        </is>
      </c>
      <c r="D257" t="inlineStr">
        <is>
          <t>P301</t>
        </is>
      </c>
      <c r="E257" t="n">
        <v>1</v>
      </c>
      <c r="F257" t="n">
        <v>119</v>
      </c>
      <c r="G257" t="n">
        <v>0</v>
      </c>
      <c r="H257">
        <f>E257*F257*(1-G257)</f>
        <v/>
      </c>
      <c r="I257">
        <f>XLOOKUP(D257,Products!$A$2:$A$15,Products!$B$2:$B$15,"Not found")</f>
        <v/>
      </c>
    </row>
    <row r="258">
      <c r="A258" t="n">
        <v>104577</v>
      </c>
      <c r="B258" s="1" t="n">
        <v>45674</v>
      </c>
      <c r="C258" t="inlineStr">
        <is>
          <t>S02</t>
        </is>
      </c>
      <c r="D258" t="inlineStr">
        <is>
          <t>P303</t>
        </is>
      </c>
      <c r="E258" t="n">
        <v>1</v>
      </c>
      <c r="F258" t="n">
        <v>12</v>
      </c>
      <c r="G258" t="n">
        <v>0.2</v>
      </c>
      <c r="H258">
        <f>E258*F258*(1-G258)</f>
        <v/>
      </c>
      <c r="I258">
        <f>XLOOKUP(D258,Products!$A$2:$A$15,Products!$B$2:$B$15,"Not found")</f>
        <v/>
      </c>
    </row>
    <row r="259">
      <c r="A259" t="n">
        <v>104578</v>
      </c>
      <c r="B259" s="1" t="n">
        <v>45674</v>
      </c>
      <c r="C259" t="inlineStr">
        <is>
          <t>S02</t>
        </is>
      </c>
      <c r="D259" t="inlineStr">
        <is>
          <t>P102</t>
        </is>
      </c>
      <c r="E259" t="n">
        <v>4</v>
      </c>
      <c r="F259" t="n">
        <v>14.5</v>
      </c>
      <c r="G259" t="n">
        <v>0</v>
      </c>
      <c r="H259">
        <f>E259*F259*(1-G259)</f>
        <v/>
      </c>
      <c r="I259">
        <f>XLOOKUP(D259,Products!$A$2:$A$15,Products!$B$2:$B$15,"Not found")</f>
        <v/>
      </c>
    </row>
    <row r="260">
      <c r="A260" t="n">
        <v>104579</v>
      </c>
      <c r="B260" s="1" t="n">
        <v>45674</v>
      </c>
      <c r="C260" t="inlineStr">
        <is>
          <t>S02</t>
        </is>
      </c>
      <c r="D260" t="inlineStr">
        <is>
          <t>P103</t>
        </is>
      </c>
      <c r="E260" t="n">
        <v>3</v>
      </c>
      <c r="F260" t="n">
        <v>29</v>
      </c>
      <c r="G260" t="n">
        <v>0.1</v>
      </c>
      <c r="H260">
        <f>E260*F260*(1-G260)</f>
        <v/>
      </c>
      <c r="I260">
        <f>XLOOKUP(D260,Products!$A$2:$A$15,Products!$B$2:$B$15,"Not found")</f>
        <v/>
      </c>
    </row>
    <row r="261">
      <c r="A261" t="n">
        <v>104580</v>
      </c>
      <c r="B261" s="1" t="n">
        <v>45674</v>
      </c>
      <c r="C261" t="inlineStr">
        <is>
          <t>S03</t>
        </is>
      </c>
      <c r="D261" t="inlineStr">
        <is>
          <t>P201</t>
        </is>
      </c>
      <c r="E261" t="n">
        <v>1</v>
      </c>
      <c r="F261" t="n">
        <v>149</v>
      </c>
      <c r="G261" t="n">
        <v>0.1</v>
      </c>
      <c r="H261">
        <f>E261*F261*(1-G261)</f>
        <v/>
      </c>
      <c r="I261">
        <f>XLOOKUP(D261,Products!$A$2:$A$15,Products!$B$2:$B$15,"Not found")</f>
        <v/>
      </c>
    </row>
    <row r="262">
      <c r="A262" t="n">
        <v>104581</v>
      </c>
      <c r="B262" s="1" t="n">
        <v>45674</v>
      </c>
      <c r="C262" t="inlineStr">
        <is>
          <t>S03</t>
        </is>
      </c>
      <c r="D262" t="inlineStr">
        <is>
          <t>P301</t>
        </is>
      </c>
      <c r="E262" t="n">
        <v>1</v>
      </c>
      <c r="F262" t="n">
        <v>119</v>
      </c>
      <c r="G262" t="n">
        <v>0</v>
      </c>
      <c r="H262">
        <f>E262*F262*(1-G262)</f>
        <v/>
      </c>
      <c r="I262">
        <f>XLOOKUP(D262,Products!$A$2:$A$15,Products!$B$2:$B$15,"Not found")</f>
        <v/>
      </c>
    </row>
    <row r="263">
      <c r="A263" t="n">
        <v>104582</v>
      </c>
      <c r="B263" s="1" t="n">
        <v>45674</v>
      </c>
      <c r="C263" t="inlineStr">
        <is>
          <t>S03</t>
        </is>
      </c>
      <c r="D263" t="inlineStr">
        <is>
          <t>P102</t>
        </is>
      </c>
      <c r="E263" t="n">
        <v>1</v>
      </c>
      <c r="F263" t="n">
        <v>14.5</v>
      </c>
      <c r="G263" t="n">
        <v>0.2</v>
      </c>
      <c r="H263">
        <f>E263*F263*(1-G263)</f>
        <v/>
      </c>
      <c r="I263">
        <f>XLOOKUP(D263,Products!$A$2:$A$15,Products!$B$2:$B$15,"Not found")</f>
        <v/>
      </c>
    </row>
    <row r="264">
      <c r="A264" t="n">
        <v>104583</v>
      </c>
      <c r="B264" s="1" t="n">
        <v>45674</v>
      </c>
      <c r="C264" t="inlineStr">
        <is>
          <t>S04</t>
        </is>
      </c>
      <c r="D264" t="inlineStr">
        <is>
          <t>P302</t>
        </is>
      </c>
      <c r="E264" t="n">
        <v>1</v>
      </c>
      <c r="F264" t="n">
        <v>24</v>
      </c>
      <c r="G264" t="n">
        <v>0</v>
      </c>
      <c r="H264">
        <f>E264*F264*(1-G264)</f>
        <v/>
      </c>
      <c r="I264">
        <f>XLOOKUP(D264,Products!$A$2:$A$15,Products!$B$2:$B$15,"Not found")</f>
        <v/>
      </c>
    </row>
    <row r="265">
      <c r="A265" t="n">
        <v>104584</v>
      </c>
      <c r="B265" s="1" t="n">
        <v>45674</v>
      </c>
      <c r="C265" t="inlineStr">
        <is>
          <t>S04</t>
        </is>
      </c>
      <c r="D265" t="inlineStr">
        <is>
          <t>P302</t>
        </is>
      </c>
      <c r="E265" t="n">
        <v>1</v>
      </c>
      <c r="F265" t="n">
        <v>24</v>
      </c>
      <c r="G265" t="n">
        <v>0</v>
      </c>
      <c r="H265">
        <f>E265*F265*(1-G265)</f>
        <v/>
      </c>
      <c r="I265">
        <f>XLOOKUP(D265,Products!$A$2:$A$15,Products!$B$2:$B$15,"Not found")</f>
        <v/>
      </c>
    </row>
    <row r="266">
      <c r="A266" t="n">
        <v>104585</v>
      </c>
      <c r="B266" s="1" t="n">
        <v>45674</v>
      </c>
      <c r="C266" t="inlineStr">
        <is>
          <t>S05</t>
        </is>
      </c>
      <c r="D266" t="inlineStr">
        <is>
          <t>P101</t>
        </is>
      </c>
      <c r="E266" t="n">
        <v>3</v>
      </c>
      <c r="F266" t="n">
        <v>39</v>
      </c>
      <c r="G266" t="n">
        <v>0</v>
      </c>
      <c r="H266">
        <f>E266*F266*(1-G266)</f>
        <v/>
      </c>
      <c r="I266">
        <f>XLOOKUP(D266,Products!$A$2:$A$15,Products!$B$2:$B$15,"Not found")</f>
        <v/>
      </c>
    </row>
    <row r="267">
      <c r="A267" t="n">
        <v>104586</v>
      </c>
      <c r="B267" s="1" t="n">
        <v>45674</v>
      </c>
      <c r="C267" t="inlineStr">
        <is>
          <t>S05</t>
        </is>
      </c>
      <c r="D267" t="inlineStr">
        <is>
          <t>P202</t>
        </is>
      </c>
      <c r="E267" t="n">
        <v>2</v>
      </c>
      <c r="F267" t="n">
        <v>79</v>
      </c>
      <c r="G267" t="n">
        <v>0.1</v>
      </c>
      <c r="H267">
        <f>E267*F267*(1-G267)</f>
        <v/>
      </c>
      <c r="I267">
        <f>XLOOKUP(D267,Products!$A$2:$A$15,Products!$B$2:$B$15,"Not found")</f>
        <v/>
      </c>
    </row>
    <row r="268">
      <c r="A268" t="n">
        <v>104587</v>
      </c>
      <c r="B268" s="1" t="n">
        <v>45674</v>
      </c>
      <c r="C268" t="inlineStr">
        <is>
          <t>S06</t>
        </is>
      </c>
      <c r="D268" t="inlineStr">
        <is>
          <t>P102</t>
        </is>
      </c>
      <c r="E268" t="n">
        <v>1</v>
      </c>
      <c r="F268" t="n">
        <v>14.5</v>
      </c>
      <c r="G268" t="n">
        <v>0.15</v>
      </c>
      <c r="H268">
        <f>E268*F268*(1-G268)</f>
        <v/>
      </c>
      <c r="I268">
        <f>XLOOKUP(D268,Products!$A$2:$A$15,Products!$B$2:$B$15,"Not found")</f>
        <v/>
      </c>
    </row>
    <row r="269">
      <c r="A269" t="n">
        <v>104588</v>
      </c>
      <c r="B269" s="1" t="n">
        <v>45674</v>
      </c>
      <c r="C269" t="inlineStr">
        <is>
          <t>S06</t>
        </is>
      </c>
      <c r="D269" t="inlineStr">
        <is>
          <t>P102</t>
        </is>
      </c>
      <c r="E269" t="n">
        <v>2</v>
      </c>
      <c r="F269" t="n">
        <v>14.5</v>
      </c>
      <c r="G269" t="n">
        <v>0.15</v>
      </c>
      <c r="H269">
        <f>E269*F269*(1-G269)</f>
        <v/>
      </c>
      <c r="I269">
        <f>XLOOKUP(D269,Products!$A$2:$A$15,Products!$B$2:$B$15,"Not found")</f>
        <v/>
      </c>
    </row>
    <row r="270">
      <c r="A270" t="n">
        <v>104589</v>
      </c>
      <c r="B270" s="1" t="n">
        <v>45674</v>
      </c>
      <c r="C270" t="inlineStr">
        <is>
          <t>S06</t>
        </is>
      </c>
      <c r="D270" t="inlineStr">
        <is>
          <t>P204</t>
        </is>
      </c>
      <c r="E270" t="n">
        <v>1</v>
      </c>
      <c r="F270" t="n">
        <v>229</v>
      </c>
      <c r="G270" t="n">
        <v>0</v>
      </c>
      <c r="H270">
        <f>E270*F270*(1-G270)</f>
        <v/>
      </c>
      <c r="I270">
        <f>XLOOKUP(D270,Products!$A$2:$A$15,Products!$B$2:$B$15,"Not found")</f>
        <v/>
      </c>
    </row>
    <row r="271">
      <c r="A271" t="n">
        <v>104590</v>
      </c>
      <c r="B271" s="1" t="n">
        <v>45675</v>
      </c>
      <c r="C271" t="inlineStr">
        <is>
          <t>S01</t>
        </is>
      </c>
      <c r="D271" t="inlineStr">
        <is>
          <t>P204</t>
        </is>
      </c>
      <c r="E271" t="n">
        <v>1</v>
      </c>
      <c r="F271" t="n">
        <v>229</v>
      </c>
      <c r="G271" t="n">
        <v>0</v>
      </c>
      <c r="H271">
        <f>E271*F271*(1-G271)</f>
        <v/>
      </c>
      <c r="I271">
        <f>XLOOKUP(D271,Products!$A$2:$A$15,Products!$B$2:$B$15,"Not found")</f>
        <v/>
      </c>
    </row>
    <row r="272">
      <c r="A272" t="n">
        <v>104591</v>
      </c>
      <c r="B272" s="1" t="n">
        <v>45675</v>
      </c>
      <c r="C272" t="inlineStr">
        <is>
          <t>S01</t>
        </is>
      </c>
      <c r="D272" t="inlineStr">
        <is>
          <t>P401</t>
        </is>
      </c>
      <c r="E272" t="n">
        <v>1</v>
      </c>
      <c r="F272" t="n">
        <v>549</v>
      </c>
      <c r="G272" t="n">
        <v>0</v>
      </c>
      <c r="H272">
        <f>E272*F272*(1-G272)</f>
        <v/>
      </c>
      <c r="I272">
        <f>XLOOKUP(D272,Products!$A$2:$A$15,Products!$B$2:$B$15,"Not found")</f>
        <v/>
      </c>
    </row>
    <row r="273">
      <c r="A273" t="n">
        <v>104592</v>
      </c>
      <c r="B273" s="1" t="n">
        <v>45675</v>
      </c>
      <c r="C273" t="inlineStr">
        <is>
          <t>S01</t>
        </is>
      </c>
      <c r="D273" t="inlineStr">
        <is>
          <t>P101</t>
        </is>
      </c>
      <c r="E273" t="n">
        <v>1</v>
      </c>
      <c r="F273" t="n">
        <v>39</v>
      </c>
      <c r="G273" t="n">
        <v>0.15</v>
      </c>
      <c r="H273">
        <f>E273*F273*(1-G273)</f>
        <v/>
      </c>
      <c r="I273">
        <f>XLOOKUP(D273,Products!$A$2:$A$15,Products!$B$2:$B$15,"Not found")</f>
        <v/>
      </c>
    </row>
    <row r="274">
      <c r="A274" t="n">
        <v>104593</v>
      </c>
      <c r="B274" s="1" t="n">
        <v>45675</v>
      </c>
      <c r="C274" t="inlineStr">
        <is>
          <t>S01</t>
        </is>
      </c>
      <c r="D274" t="inlineStr">
        <is>
          <t>P203</t>
        </is>
      </c>
      <c r="E274" t="n">
        <v>3</v>
      </c>
      <c r="F274" t="n">
        <v>19.5</v>
      </c>
      <c r="G274" t="n">
        <v>0.15</v>
      </c>
      <c r="H274">
        <f>E274*F274*(1-G274)</f>
        <v/>
      </c>
      <c r="I274">
        <f>XLOOKUP(D274,Products!$A$2:$A$15,Products!$B$2:$B$15,"Not found")</f>
        <v/>
      </c>
    </row>
    <row r="275">
      <c r="A275" t="n">
        <v>104594</v>
      </c>
      <c r="B275" s="1" t="n">
        <v>45675</v>
      </c>
      <c r="C275" t="inlineStr">
        <is>
          <t>S01</t>
        </is>
      </c>
      <c r="D275" t="inlineStr">
        <is>
          <t>P301</t>
        </is>
      </c>
      <c r="E275" t="n">
        <v>1</v>
      </c>
      <c r="F275" t="n">
        <v>119</v>
      </c>
      <c r="G275" t="n">
        <v>0</v>
      </c>
      <c r="H275">
        <f>E275*F275*(1-G275)</f>
        <v/>
      </c>
      <c r="I275">
        <f>XLOOKUP(D275,Products!$A$2:$A$15,Products!$B$2:$B$15,"Not found")</f>
        <v/>
      </c>
    </row>
    <row r="276">
      <c r="A276" t="n">
        <v>104595</v>
      </c>
      <c r="B276" s="1" t="n">
        <v>45675</v>
      </c>
      <c r="C276" t="inlineStr">
        <is>
          <t>S01</t>
        </is>
      </c>
      <c r="D276" t="inlineStr">
        <is>
          <t>P102</t>
        </is>
      </c>
      <c r="E276" t="n">
        <v>3</v>
      </c>
      <c r="F276" t="n">
        <v>14.5</v>
      </c>
      <c r="G276" t="n">
        <v>0.15</v>
      </c>
      <c r="H276">
        <f>E276*F276*(1-G276)</f>
        <v/>
      </c>
      <c r="I276">
        <f>XLOOKUP(D276,Products!$A$2:$A$15,Products!$B$2:$B$15,"Not found")</f>
        <v/>
      </c>
    </row>
    <row r="277">
      <c r="A277" t="n">
        <v>104596</v>
      </c>
      <c r="B277" s="1" t="n">
        <v>45675</v>
      </c>
      <c r="C277" t="inlineStr">
        <is>
          <t>S02</t>
        </is>
      </c>
      <c r="D277" t="inlineStr">
        <is>
          <t>P103</t>
        </is>
      </c>
      <c r="E277" t="n">
        <v>1</v>
      </c>
      <c r="F277" t="n">
        <v>29</v>
      </c>
      <c r="G277" t="n">
        <v>0.1</v>
      </c>
      <c r="H277">
        <f>E277*F277*(1-G277)</f>
        <v/>
      </c>
      <c r="I277">
        <f>XLOOKUP(D277,Products!$A$2:$A$15,Products!$B$2:$B$15,"Not found")</f>
        <v/>
      </c>
    </row>
    <row r="278">
      <c r="A278" t="n">
        <v>104597</v>
      </c>
      <c r="B278" s="1" t="n">
        <v>45675</v>
      </c>
      <c r="C278" t="inlineStr">
        <is>
          <t>S02</t>
        </is>
      </c>
      <c r="D278" t="inlineStr">
        <is>
          <t>P102</t>
        </is>
      </c>
      <c r="E278" t="n">
        <v>2</v>
      </c>
      <c r="F278" t="n">
        <v>14.5</v>
      </c>
      <c r="G278" t="n">
        <v>0</v>
      </c>
      <c r="H278">
        <f>E278*F278*(1-G278)</f>
        <v/>
      </c>
      <c r="I278">
        <f>XLOOKUP(D278,Products!$A$2:$A$15,Products!$B$2:$B$15,"Not found")</f>
        <v/>
      </c>
    </row>
    <row r="279">
      <c r="A279" t="n">
        <v>104598</v>
      </c>
      <c r="B279" s="1" t="n">
        <v>45675</v>
      </c>
      <c r="C279" t="inlineStr">
        <is>
          <t>S03</t>
        </is>
      </c>
      <c r="D279" t="inlineStr">
        <is>
          <t>P203</t>
        </is>
      </c>
      <c r="E279" t="n">
        <v>1</v>
      </c>
      <c r="F279" t="n">
        <v>19.5</v>
      </c>
      <c r="G279" t="n">
        <v>0</v>
      </c>
      <c r="H279">
        <f>E279*F279*(1-G279)</f>
        <v/>
      </c>
      <c r="I279">
        <f>XLOOKUP(D279,Products!$A$2:$A$15,Products!$B$2:$B$15,"Not found")</f>
        <v/>
      </c>
    </row>
    <row r="280">
      <c r="A280" t="n">
        <v>104599</v>
      </c>
      <c r="B280" s="1" t="n">
        <v>45675</v>
      </c>
      <c r="C280" t="inlineStr">
        <is>
          <t>S03</t>
        </is>
      </c>
      <c r="D280" t="inlineStr">
        <is>
          <t>P301</t>
        </is>
      </c>
      <c r="E280" t="n">
        <v>1</v>
      </c>
      <c r="F280" t="n">
        <v>119</v>
      </c>
      <c r="G280" t="n">
        <v>0.15</v>
      </c>
      <c r="H280">
        <f>E280*F280*(1-G280)</f>
        <v/>
      </c>
      <c r="I280">
        <f>XLOOKUP(D280,Products!$A$2:$A$15,Products!$B$2:$B$15,"Not found")</f>
        <v/>
      </c>
    </row>
    <row r="281">
      <c r="A281" t="n">
        <v>104600</v>
      </c>
      <c r="B281" s="1" t="n">
        <v>45675</v>
      </c>
      <c r="C281" t="inlineStr">
        <is>
          <t>S03</t>
        </is>
      </c>
      <c r="D281" t="inlineStr">
        <is>
          <t>P202</t>
        </is>
      </c>
      <c r="E281" t="n">
        <v>4</v>
      </c>
      <c r="F281" t="n">
        <v>79</v>
      </c>
      <c r="G281" t="n">
        <v>0.2</v>
      </c>
      <c r="H281">
        <f>E281*F281*(1-G281)</f>
        <v/>
      </c>
      <c r="I281">
        <f>XLOOKUP(D281,Products!$A$2:$A$15,Products!$B$2:$B$15,"Not found")</f>
        <v/>
      </c>
    </row>
    <row r="282">
      <c r="A282" t="n">
        <v>104601</v>
      </c>
      <c r="B282" s="1" t="n">
        <v>45675</v>
      </c>
      <c r="C282" t="inlineStr">
        <is>
          <t>S03</t>
        </is>
      </c>
      <c r="D282" t="inlineStr">
        <is>
          <t>P401</t>
        </is>
      </c>
      <c r="E282" t="n">
        <v>1</v>
      </c>
      <c r="F282" t="n">
        <v>549</v>
      </c>
      <c r="G282" t="n">
        <v>0.1</v>
      </c>
      <c r="H282">
        <f>E282*F282*(1-G282)</f>
        <v/>
      </c>
      <c r="I282">
        <f>XLOOKUP(D282,Products!$A$2:$A$15,Products!$B$2:$B$15,"Not found")</f>
        <v/>
      </c>
    </row>
    <row r="283">
      <c r="A283" t="n">
        <v>104602</v>
      </c>
      <c r="B283" s="1" t="n">
        <v>45675</v>
      </c>
      <c r="C283" t="inlineStr">
        <is>
          <t>S04</t>
        </is>
      </c>
      <c r="D283" t="inlineStr">
        <is>
          <t>P302</t>
        </is>
      </c>
      <c r="E283" t="n">
        <v>1</v>
      </c>
      <c r="F283" t="n">
        <v>24</v>
      </c>
      <c r="G283" t="n">
        <v>0</v>
      </c>
      <c r="H283">
        <f>E283*F283*(1-G283)</f>
        <v/>
      </c>
      <c r="I283">
        <f>XLOOKUP(D283,Products!$A$2:$A$15,Products!$B$2:$B$15,"Not found")</f>
        <v/>
      </c>
    </row>
    <row r="284">
      <c r="A284" t="n">
        <v>104603</v>
      </c>
      <c r="B284" s="1" t="n">
        <v>45675</v>
      </c>
      <c r="C284" t="inlineStr">
        <is>
          <t>S05</t>
        </is>
      </c>
      <c r="D284" t="inlineStr">
        <is>
          <t>P102</t>
        </is>
      </c>
      <c r="E284" t="n">
        <v>1</v>
      </c>
      <c r="F284" t="n">
        <v>14.5</v>
      </c>
      <c r="G284" t="n">
        <v>0</v>
      </c>
      <c r="H284">
        <f>E284*F284*(1-G284)</f>
        <v/>
      </c>
      <c r="I284">
        <f>XLOOKUP(D284,Products!$A$2:$A$15,Products!$B$2:$B$15,"Not found")</f>
        <v/>
      </c>
    </row>
    <row r="285">
      <c r="A285" t="n">
        <v>104604</v>
      </c>
      <c r="B285" s="1" t="n">
        <v>45675</v>
      </c>
      <c r="C285" t="inlineStr">
        <is>
          <t>S05</t>
        </is>
      </c>
      <c r="D285" t="inlineStr">
        <is>
          <t>P102</t>
        </is>
      </c>
      <c r="E285" t="n">
        <v>2</v>
      </c>
      <c r="F285" t="n">
        <v>14.5</v>
      </c>
      <c r="G285" t="n">
        <v>0.1</v>
      </c>
      <c r="H285">
        <f>E285*F285*(1-G285)</f>
        <v/>
      </c>
      <c r="I285">
        <f>XLOOKUP(D285,Products!$A$2:$A$15,Products!$B$2:$B$15,"Not found")</f>
        <v/>
      </c>
    </row>
    <row r="286">
      <c r="A286" t="n">
        <v>104605</v>
      </c>
      <c r="B286" s="1" t="n">
        <v>45675</v>
      </c>
      <c r="C286" t="inlineStr">
        <is>
          <t>S05</t>
        </is>
      </c>
      <c r="D286" t="inlineStr">
        <is>
          <t>P302</t>
        </is>
      </c>
      <c r="E286" t="n">
        <v>1</v>
      </c>
      <c r="F286" t="n">
        <v>24</v>
      </c>
      <c r="G286" t="n">
        <v>0.2</v>
      </c>
      <c r="H286">
        <f>E286*F286*(1-G286)</f>
        <v/>
      </c>
      <c r="I286">
        <f>XLOOKUP(D286,Products!$A$2:$A$15,Products!$B$2:$B$15,"Not found")</f>
        <v/>
      </c>
    </row>
    <row r="287">
      <c r="A287" t="n">
        <v>104606</v>
      </c>
      <c r="B287" s="1" t="n">
        <v>45675</v>
      </c>
      <c r="C287" t="inlineStr">
        <is>
          <t>S06</t>
        </is>
      </c>
      <c r="D287" t="inlineStr">
        <is>
          <t>P203</t>
        </is>
      </c>
      <c r="E287" t="n">
        <v>1</v>
      </c>
      <c r="F287" t="n">
        <v>19.5</v>
      </c>
      <c r="G287" t="n">
        <v>0.15</v>
      </c>
      <c r="H287">
        <f>E287*F287*(1-G287)</f>
        <v/>
      </c>
      <c r="I287">
        <f>XLOOKUP(D287,Products!$A$2:$A$15,Products!$B$2:$B$15,"Not found")</f>
        <v/>
      </c>
    </row>
    <row r="288">
      <c r="A288" t="n">
        <v>104607</v>
      </c>
      <c r="B288" s="1" t="n">
        <v>45675</v>
      </c>
      <c r="C288" t="inlineStr">
        <is>
          <t>S06</t>
        </is>
      </c>
      <c r="D288" t="inlineStr">
        <is>
          <t>P102</t>
        </is>
      </c>
      <c r="E288" t="n">
        <v>1</v>
      </c>
      <c r="F288" t="n">
        <v>14.5</v>
      </c>
      <c r="G288" t="n">
        <v>0</v>
      </c>
      <c r="H288">
        <f>E288*F288*(1-G288)</f>
        <v/>
      </c>
      <c r="I288">
        <f>XLOOKUP(D288,Products!$A$2:$A$15,Products!$B$2:$B$15,"Not found")</f>
        <v/>
      </c>
    </row>
    <row r="289">
      <c r="A289" t="n">
        <v>104608</v>
      </c>
      <c r="B289" s="1" t="n">
        <v>45675</v>
      </c>
      <c r="C289" t="inlineStr">
        <is>
          <t>S06</t>
        </is>
      </c>
      <c r="D289" t="inlineStr">
        <is>
          <t>P303</t>
        </is>
      </c>
      <c r="E289" t="n">
        <v>1</v>
      </c>
      <c r="F289" t="n">
        <v>12</v>
      </c>
      <c r="G289" t="n">
        <v>0</v>
      </c>
      <c r="H289">
        <f>E289*F289*(1-G289)</f>
        <v/>
      </c>
      <c r="I289">
        <f>XLOOKUP(D289,Products!$A$2:$A$15,Products!$B$2:$B$15,"Not found")</f>
        <v/>
      </c>
    </row>
    <row r="290">
      <c r="A290" t="n">
        <v>104609</v>
      </c>
      <c r="B290" s="1" t="n">
        <v>45676</v>
      </c>
      <c r="C290" t="inlineStr">
        <is>
          <t>S01</t>
        </is>
      </c>
      <c r="D290" t="inlineStr">
        <is>
          <t>P101</t>
        </is>
      </c>
      <c r="E290" t="n">
        <v>4</v>
      </c>
      <c r="F290" t="n">
        <v>39</v>
      </c>
      <c r="G290" t="n">
        <v>0</v>
      </c>
      <c r="H290">
        <f>E290*F290*(1-G290)</f>
        <v/>
      </c>
      <c r="I290">
        <f>XLOOKUP(D290,Products!$A$2:$A$15,Products!$B$2:$B$15,"Not found")</f>
        <v/>
      </c>
    </row>
    <row r="291">
      <c r="A291" t="n">
        <v>104610</v>
      </c>
      <c r="B291" s="1" t="n">
        <v>45676</v>
      </c>
      <c r="C291" t="inlineStr">
        <is>
          <t>S01</t>
        </is>
      </c>
      <c r="D291" t="inlineStr">
        <is>
          <t>P204</t>
        </is>
      </c>
      <c r="E291" t="n">
        <v>1</v>
      </c>
      <c r="F291" t="n">
        <v>229</v>
      </c>
      <c r="G291" t="n">
        <v>0</v>
      </c>
      <c r="H291">
        <f>E291*F291*(1-G291)</f>
        <v/>
      </c>
      <c r="I291">
        <f>XLOOKUP(D291,Products!$A$2:$A$15,Products!$B$2:$B$15,"Not found")</f>
        <v/>
      </c>
    </row>
    <row r="292">
      <c r="A292" t="n">
        <v>104611</v>
      </c>
      <c r="B292" s="1" t="n">
        <v>45676</v>
      </c>
      <c r="C292" t="inlineStr">
        <is>
          <t>S01</t>
        </is>
      </c>
      <c r="D292" t="inlineStr">
        <is>
          <t>P303</t>
        </is>
      </c>
      <c r="E292" t="n">
        <v>4</v>
      </c>
      <c r="F292" t="n">
        <v>12</v>
      </c>
      <c r="G292" t="n">
        <v>0.1</v>
      </c>
      <c r="H292">
        <f>E292*F292*(1-G292)</f>
        <v/>
      </c>
      <c r="I292">
        <f>XLOOKUP(D292,Products!$A$2:$A$15,Products!$B$2:$B$15,"Not found")</f>
        <v/>
      </c>
    </row>
    <row r="293">
      <c r="A293" t="n">
        <v>104612</v>
      </c>
      <c r="B293" s="1" t="n">
        <v>45676</v>
      </c>
      <c r="C293" t="inlineStr">
        <is>
          <t>S01</t>
        </is>
      </c>
      <c r="D293" t="inlineStr">
        <is>
          <t>P102</t>
        </is>
      </c>
      <c r="E293" t="n">
        <v>1</v>
      </c>
      <c r="F293" t="n">
        <v>14.5</v>
      </c>
      <c r="G293" t="n">
        <v>0</v>
      </c>
      <c r="H293">
        <f>E293*F293*(1-G293)</f>
        <v/>
      </c>
      <c r="I293">
        <f>XLOOKUP(D293,Products!$A$2:$A$15,Products!$B$2:$B$15,"Not found")</f>
        <v/>
      </c>
    </row>
    <row r="294">
      <c r="A294" t="n">
        <v>104613</v>
      </c>
      <c r="B294" s="1" t="n">
        <v>45676</v>
      </c>
      <c r="C294" t="inlineStr">
        <is>
          <t>S01</t>
        </is>
      </c>
      <c r="D294" t="inlineStr">
        <is>
          <t>P201</t>
        </is>
      </c>
      <c r="E294" t="n">
        <v>1</v>
      </c>
      <c r="F294" t="n">
        <v>149</v>
      </c>
      <c r="G294" t="n">
        <v>0</v>
      </c>
      <c r="H294">
        <f>E294*F294*(1-G294)</f>
        <v/>
      </c>
      <c r="I294">
        <f>XLOOKUP(D294,Products!$A$2:$A$15,Products!$B$2:$B$15,"Not found")</f>
        <v/>
      </c>
    </row>
    <row r="295">
      <c r="A295" t="n">
        <v>104614</v>
      </c>
      <c r="B295" s="1" t="n">
        <v>45676</v>
      </c>
      <c r="C295" t="inlineStr">
        <is>
          <t>S01</t>
        </is>
      </c>
      <c r="D295" t="inlineStr">
        <is>
          <t>P301</t>
        </is>
      </c>
      <c r="E295" t="n">
        <v>1</v>
      </c>
      <c r="F295" t="n">
        <v>119</v>
      </c>
      <c r="G295" t="n">
        <v>0</v>
      </c>
      <c r="H295">
        <f>E295*F295*(1-G295)</f>
        <v/>
      </c>
      <c r="I295">
        <f>XLOOKUP(D295,Products!$A$2:$A$15,Products!$B$2:$B$15,"Not found")</f>
        <v/>
      </c>
    </row>
    <row r="296">
      <c r="A296" t="n">
        <v>104615</v>
      </c>
      <c r="B296" s="1" t="n">
        <v>45676</v>
      </c>
      <c r="C296" t="inlineStr">
        <is>
          <t>S01</t>
        </is>
      </c>
      <c r="D296" t="inlineStr">
        <is>
          <t>P102</t>
        </is>
      </c>
      <c r="E296" t="n">
        <v>1</v>
      </c>
      <c r="F296" t="n">
        <v>14.5</v>
      </c>
      <c r="G296" t="n">
        <v>0.2</v>
      </c>
      <c r="H296">
        <f>E296*F296*(1-G296)</f>
        <v/>
      </c>
      <c r="I296">
        <f>XLOOKUP(D296,Products!$A$2:$A$15,Products!$B$2:$B$15,"Not found")</f>
        <v/>
      </c>
    </row>
    <row r="297">
      <c r="A297" t="n">
        <v>104616</v>
      </c>
      <c r="B297" s="1" t="n">
        <v>45676</v>
      </c>
      <c r="C297" t="inlineStr">
        <is>
          <t>S01</t>
        </is>
      </c>
      <c r="D297" t="inlineStr">
        <is>
          <t>P302</t>
        </is>
      </c>
      <c r="E297" t="n">
        <v>4</v>
      </c>
      <c r="F297" t="n">
        <v>24</v>
      </c>
      <c r="G297" t="n">
        <v>0</v>
      </c>
      <c r="H297">
        <f>E297*F297*(1-G297)</f>
        <v/>
      </c>
      <c r="I297">
        <f>XLOOKUP(D297,Products!$A$2:$A$15,Products!$B$2:$B$15,"Not found")</f>
        <v/>
      </c>
    </row>
    <row r="298">
      <c r="A298" t="n">
        <v>104617</v>
      </c>
      <c r="B298" s="1" t="n">
        <v>45676</v>
      </c>
      <c r="C298" t="inlineStr">
        <is>
          <t>S02</t>
        </is>
      </c>
      <c r="D298" t="inlineStr">
        <is>
          <t>P101</t>
        </is>
      </c>
      <c r="E298" t="n">
        <v>4</v>
      </c>
      <c r="F298" t="n">
        <v>39</v>
      </c>
      <c r="G298" t="n">
        <v>0</v>
      </c>
      <c r="H298">
        <f>E298*F298*(1-G298)</f>
        <v/>
      </c>
      <c r="I298">
        <f>XLOOKUP(D298,Products!$A$2:$A$15,Products!$B$2:$B$15,"Not found")</f>
        <v/>
      </c>
    </row>
    <row r="299">
      <c r="A299" t="n">
        <v>104618</v>
      </c>
      <c r="B299" s="1" t="n">
        <v>45676</v>
      </c>
      <c r="C299" t="inlineStr">
        <is>
          <t>S03</t>
        </is>
      </c>
      <c r="D299" t="inlineStr">
        <is>
          <t>P203</t>
        </is>
      </c>
      <c r="E299" t="n">
        <v>4</v>
      </c>
      <c r="F299" t="n">
        <v>19.5</v>
      </c>
      <c r="G299" t="n">
        <v>0</v>
      </c>
      <c r="H299">
        <f>E299*F299*(1-G299)</f>
        <v/>
      </c>
      <c r="I299">
        <f>XLOOKUP(D299,Products!$A$2:$A$15,Products!$B$2:$B$15,"Not found")</f>
        <v/>
      </c>
    </row>
    <row r="300">
      <c r="A300" t="n">
        <v>104619</v>
      </c>
      <c r="B300" s="1" t="n">
        <v>45676</v>
      </c>
      <c r="C300" t="inlineStr">
        <is>
          <t>S03</t>
        </is>
      </c>
      <c r="D300" t="inlineStr">
        <is>
          <t>P302</t>
        </is>
      </c>
      <c r="E300" t="n">
        <v>4</v>
      </c>
      <c r="F300" t="n">
        <v>24</v>
      </c>
      <c r="G300" t="n">
        <v>0.1</v>
      </c>
      <c r="H300">
        <f>E300*F300*(1-G300)</f>
        <v/>
      </c>
      <c r="I300">
        <f>XLOOKUP(D300,Products!$A$2:$A$15,Products!$B$2:$B$15,"Not found")</f>
        <v/>
      </c>
    </row>
    <row r="301">
      <c r="A301" t="n">
        <v>104620</v>
      </c>
      <c r="B301" s="1" t="n">
        <v>45676</v>
      </c>
      <c r="C301" t="inlineStr">
        <is>
          <t>S03</t>
        </is>
      </c>
      <c r="D301" t="inlineStr">
        <is>
          <t>P303</t>
        </is>
      </c>
      <c r="E301" t="n">
        <v>2</v>
      </c>
      <c r="F301" t="n">
        <v>12</v>
      </c>
      <c r="G301" t="n">
        <v>0</v>
      </c>
      <c r="H301">
        <f>E301*F301*(1-G301)</f>
        <v/>
      </c>
      <c r="I301">
        <f>XLOOKUP(D301,Products!$A$2:$A$15,Products!$B$2:$B$15,"Not found")</f>
        <v/>
      </c>
    </row>
    <row r="302">
      <c r="A302" t="n">
        <v>104621</v>
      </c>
      <c r="B302" s="1" t="n">
        <v>45676</v>
      </c>
      <c r="C302" t="inlineStr">
        <is>
          <t>S04</t>
        </is>
      </c>
      <c r="D302" t="inlineStr">
        <is>
          <t>P204</t>
        </is>
      </c>
      <c r="E302" t="n">
        <v>1</v>
      </c>
      <c r="F302" t="n">
        <v>229</v>
      </c>
      <c r="G302" t="n">
        <v>0</v>
      </c>
      <c r="H302">
        <f>E302*F302*(1-G302)</f>
        <v/>
      </c>
      <c r="I302">
        <f>XLOOKUP(D302,Products!$A$2:$A$15,Products!$B$2:$B$15,"Not found")</f>
        <v/>
      </c>
    </row>
    <row r="303">
      <c r="A303" t="n">
        <v>104622</v>
      </c>
      <c r="B303" s="1" t="n">
        <v>45676</v>
      </c>
      <c r="C303" t="inlineStr">
        <is>
          <t>S04</t>
        </is>
      </c>
      <c r="D303" t="inlineStr">
        <is>
          <t>P101</t>
        </is>
      </c>
      <c r="E303" t="n">
        <v>1</v>
      </c>
      <c r="F303" t="n">
        <v>39</v>
      </c>
      <c r="G303" t="n">
        <v>0.1</v>
      </c>
      <c r="H303">
        <f>E303*F303*(1-G303)</f>
        <v/>
      </c>
      <c r="I303">
        <f>XLOOKUP(D303,Products!$A$2:$A$15,Products!$B$2:$B$15,"Not found")</f>
        <v/>
      </c>
    </row>
    <row r="304">
      <c r="A304" t="n">
        <v>104623</v>
      </c>
      <c r="B304" s="1" t="n">
        <v>45676</v>
      </c>
      <c r="C304" t="inlineStr">
        <is>
          <t>S05</t>
        </is>
      </c>
      <c r="D304" t="inlineStr">
        <is>
          <t>P203</t>
        </is>
      </c>
      <c r="E304" t="n">
        <v>2</v>
      </c>
      <c r="F304" t="n">
        <v>19.5</v>
      </c>
      <c r="G304" t="n">
        <v>0.1</v>
      </c>
      <c r="H304">
        <f>E304*F304*(1-G304)</f>
        <v/>
      </c>
      <c r="I304">
        <f>XLOOKUP(D304,Products!$A$2:$A$15,Products!$B$2:$B$15,"Not found")</f>
        <v/>
      </c>
    </row>
    <row r="305">
      <c r="A305" t="n">
        <v>104624</v>
      </c>
      <c r="B305" s="1" t="n">
        <v>45676</v>
      </c>
      <c r="C305" t="inlineStr">
        <is>
          <t>S05</t>
        </is>
      </c>
      <c r="D305" t="inlineStr">
        <is>
          <t>P101</t>
        </is>
      </c>
      <c r="E305" t="n">
        <v>1</v>
      </c>
      <c r="F305" t="n">
        <v>39</v>
      </c>
      <c r="G305" t="n">
        <v>0.2</v>
      </c>
      <c r="H305">
        <f>E305*F305*(1-G305)</f>
        <v/>
      </c>
      <c r="I305">
        <f>XLOOKUP(D305,Products!$A$2:$A$15,Products!$B$2:$B$15,"Not found")</f>
        <v/>
      </c>
    </row>
    <row r="306">
      <c r="A306" t="n">
        <v>104625</v>
      </c>
      <c r="B306" s="1" t="n">
        <v>45676</v>
      </c>
      <c r="C306" t="inlineStr">
        <is>
          <t>S06</t>
        </is>
      </c>
      <c r="D306" t="inlineStr">
        <is>
          <t>P301</t>
        </is>
      </c>
      <c r="E306" t="n">
        <v>1</v>
      </c>
      <c r="F306" t="n">
        <v>119</v>
      </c>
      <c r="G306" t="n">
        <v>0</v>
      </c>
      <c r="H306">
        <f>E306*F306*(1-G306)</f>
        <v/>
      </c>
      <c r="I306">
        <f>XLOOKUP(D306,Products!$A$2:$A$15,Products!$B$2:$B$15,"Not found")</f>
        <v/>
      </c>
    </row>
    <row r="307">
      <c r="A307" t="n">
        <v>104626</v>
      </c>
      <c r="B307" s="1" t="n">
        <v>45677</v>
      </c>
      <c r="C307" t="inlineStr">
        <is>
          <t>S01</t>
        </is>
      </c>
      <c r="D307" t="inlineStr">
        <is>
          <t>P101</t>
        </is>
      </c>
      <c r="E307" t="n">
        <v>4</v>
      </c>
      <c r="F307" t="n">
        <v>39</v>
      </c>
      <c r="G307" t="n">
        <v>0</v>
      </c>
      <c r="H307">
        <f>E307*F307*(1-G307)</f>
        <v/>
      </c>
      <c r="I307">
        <f>XLOOKUP(D307,Products!$A$2:$A$15,Products!$B$2:$B$15,"Not found")</f>
        <v/>
      </c>
    </row>
    <row r="308">
      <c r="A308" t="n">
        <v>104627</v>
      </c>
      <c r="B308" s="1" t="n">
        <v>45677</v>
      </c>
      <c r="C308" t="inlineStr">
        <is>
          <t>S01</t>
        </is>
      </c>
      <c r="D308" t="inlineStr">
        <is>
          <t>P203</t>
        </is>
      </c>
      <c r="E308" t="n">
        <v>1</v>
      </c>
      <c r="F308" t="n">
        <v>19.5</v>
      </c>
      <c r="G308" t="n">
        <v>0</v>
      </c>
      <c r="H308">
        <f>E308*F308*(1-G308)</f>
        <v/>
      </c>
      <c r="I308">
        <f>XLOOKUP(D308,Products!$A$2:$A$15,Products!$B$2:$B$15,"Not found")</f>
        <v/>
      </c>
    </row>
    <row r="309">
      <c r="A309" t="n">
        <v>104628</v>
      </c>
      <c r="B309" s="1" t="n">
        <v>45677</v>
      </c>
      <c r="C309" t="inlineStr">
        <is>
          <t>S01</t>
        </is>
      </c>
      <c r="D309" t="inlineStr">
        <is>
          <t>P303</t>
        </is>
      </c>
      <c r="E309" t="n">
        <v>1</v>
      </c>
      <c r="F309" t="n">
        <v>12</v>
      </c>
      <c r="G309" t="n">
        <v>0</v>
      </c>
      <c r="H309">
        <f>E309*F309*(1-G309)</f>
        <v/>
      </c>
      <c r="I309">
        <f>XLOOKUP(D309,Products!$A$2:$A$15,Products!$B$2:$B$15,"Not found")</f>
        <v/>
      </c>
    </row>
    <row r="310">
      <c r="A310" t="n">
        <v>104629</v>
      </c>
      <c r="B310" s="1" t="n">
        <v>45677</v>
      </c>
      <c r="C310" t="inlineStr">
        <is>
          <t>S01</t>
        </is>
      </c>
      <c r="D310" t="inlineStr">
        <is>
          <t>P102</t>
        </is>
      </c>
      <c r="E310" t="n">
        <v>2</v>
      </c>
      <c r="F310" t="n">
        <v>14.5</v>
      </c>
      <c r="G310" t="n">
        <v>0</v>
      </c>
      <c r="H310">
        <f>E310*F310*(1-G310)</f>
        <v/>
      </c>
      <c r="I310">
        <f>XLOOKUP(D310,Products!$A$2:$A$15,Products!$B$2:$B$15,"Not found")</f>
        <v/>
      </c>
    </row>
    <row r="311">
      <c r="A311" t="n">
        <v>104630</v>
      </c>
      <c r="B311" s="1" t="n">
        <v>45677</v>
      </c>
      <c r="C311" t="inlineStr">
        <is>
          <t>S02</t>
        </is>
      </c>
      <c r="D311" t="inlineStr">
        <is>
          <t>P102</t>
        </is>
      </c>
      <c r="E311" t="n">
        <v>2</v>
      </c>
      <c r="F311" t="n">
        <v>14.5</v>
      </c>
      <c r="G311" t="n">
        <v>0</v>
      </c>
      <c r="H311">
        <f>E311*F311*(1-G311)</f>
        <v/>
      </c>
      <c r="I311">
        <f>XLOOKUP(D311,Products!$A$2:$A$15,Products!$B$2:$B$15,"Not found")</f>
        <v/>
      </c>
    </row>
    <row r="312">
      <c r="A312" t="n">
        <v>104631</v>
      </c>
      <c r="B312" s="1" t="n">
        <v>45677</v>
      </c>
      <c r="C312" t="inlineStr">
        <is>
          <t>S03</t>
        </is>
      </c>
      <c r="D312" t="inlineStr">
        <is>
          <t>P203</t>
        </is>
      </c>
      <c r="E312" t="n">
        <v>1</v>
      </c>
      <c r="F312" t="n">
        <v>19.5</v>
      </c>
      <c r="G312" t="n">
        <v>0</v>
      </c>
      <c r="H312">
        <f>E312*F312*(1-G312)</f>
        <v/>
      </c>
      <c r="I312">
        <f>XLOOKUP(D312,Products!$A$2:$A$15,Products!$B$2:$B$15,"Not found")</f>
        <v/>
      </c>
    </row>
    <row r="313">
      <c r="A313" t="n">
        <v>104632</v>
      </c>
      <c r="B313" s="1" t="n">
        <v>45677</v>
      </c>
      <c r="C313" t="inlineStr">
        <is>
          <t>S03</t>
        </is>
      </c>
      <c r="D313" t="inlineStr">
        <is>
          <t>P203</t>
        </is>
      </c>
      <c r="E313" t="n">
        <v>1</v>
      </c>
      <c r="F313" t="n">
        <v>19.5</v>
      </c>
      <c r="G313" t="n">
        <v>0</v>
      </c>
      <c r="H313">
        <f>E313*F313*(1-G313)</f>
        <v/>
      </c>
      <c r="I313">
        <f>XLOOKUP(D313,Products!$A$2:$A$15,Products!$B$2:$B$15,"Not found")</f>
        <v/>
      </c>
    </row>
    <row r="314">
      <c r="A314" t="n">
        <v>104633</v>
      </c>
      <c r="B314" s="1" t="n">
        <v>45677</v>
      </c>
      <c r="C314" t="inlineStr">
        <is>
          <t>S04</t>
        </is>
      </c>
      <c r="D314" t="inlineStr">
        <is>
          <t>P102</t>
        </is>
      </c>
      <c r="E314" t="n">
        <v>3</v>
      </c>
      <c r="F314" t="n">
        <v>14.5</v>
      </c>
      <c r="G314" t="n">
        <v>0.2</v>
      </c>
      <c r="H314">
        <f>E314*F314*(1-G314)</f>
        <v/>
      </c>
      <c r="I314">
        <f>XLOOKUP(D314,Products!$A$2:$A$15,Products!$B$2:$B$15,"Not found")</f>
        <v/>
      </c>
    </row>
    <row r="315">
      <c r="A315" t="n">
        <v>104634</v>
      </c>
      <c r="B315" s="1" t="n">
        <v>45677</v>
      </c>
      <c r="C315" t="inlineStr">
        <is>
          <t>S05</t>
        </is>
      </c>
      <c r="D315" t="inlineStr">
        <is>
          <t>P102</t>
        </is>
      </c>
      <c r="E315" t="n">
        <v>2</v>
      </c>
      <c r="F315" t="n">
        <v>14.5</v>
      </c>
      <c r="G315" t="n">
        <v>0</v>
      </c>
      <c r="H315">
        <f>E315*F315*(1-G315)</f>
        <v/>
      </c>
      <c r="I315">
        <f>XLOOKUP(D315,Products!$A$2:$A$15,Products!$B$2:$B$15,"Not found")</f>
        <v/>
      </c>
    </row>
    <row r="316">
      <c r="A316" t="n">
        <v>104635</v>
      </c>
      <c r="B316" s="1" t="n">
        <v>45677</v>
      </c>
      <c r="C316" t="inlineStr">
        <is>
          <t>S05</t>
        </is>
      </c>
      <c r="D316" t="inlineStr">
        <is>
          <t>P203</t>
        </is>
      </c>
      <c r="E316" t="n">
        <v>3</v>
      </c>
      <c r="F316" t="n">
        <v>19.5</v>
      </c>
      <c r="G316" t="n">
        <v>0.1</v>
      </c>
      <c r="H316">
        <f>E316*F316*(1-G316)</f>
        <v/>
      </c>
      <c r="I316">
        <f>XLOOKUP(D316,Products!$A$2:$A$15,Products!$B$2:$B$15,"Not found")</f>
        <v/>
      </c>
    </row>
    <row r="317">
      <c r="A317" t="n">
        <v>104636</v>
      </c>
      <c r="B317" s="1" t="n">
        <v>45677</v>
      </c>
      <c r="C317" t="inlineStr">
        <is>
          <t>S06</t>
        </is>
      </c>
      <c r="D317" t="inlineStr">
        <is>
          <t>P103</t>
        </is>
      </c>
      <c r="E317" t="n">
        <v>1</v>
      </c>
      <c r="F317" t="n">
        <v>29</v>
      </c>
      <c r="G317" t="n">
        <v>0.2</v>
      </c>
      <c r="H317">
        <f>E317*F317*(1-G317)</f>
        <v/>
      </c>
      <c r="I317">
        <f>XLOOKUP(D317,Products!$A$2:$A$15,Products!$B$2:$B$15,"Not found")</f>
        <v/>
      </c>
    </row>
    <row r="318">
      <c r="A318" t="n">
        <v>104637</v>
      </c>
      <c r="B318" s="1" t="n">
        <v>45677</v>
      </c>
      <c r="C318" t="inlineStr">
        <is>
          <t>S06</t>
        </is>
      </c>
      <c r="D318" t="inlineStr">
        <is>
          <t>P303</t>
        </is>
      </c>
      <c r="E318" t="n">
        <v>4</v>
      </c>
      <c r="F318" t="n">
        <v>12</v>
      </c>
      <c r="G318" t="n">
        <v>0.1</v>
      </c>
      <c r="H318">
        <f>E318*F318*(1-G318)</f>
        <v/>
      </c>
      <c r="I318">
        <f>XLOOKUP(D318,Products!$A$2:$A$15,Products!$B$2:$B$15,"Not found")</f>
        <v/>
      </c>
    </row>
    <row r="319">
      <c r="A319" t="n">
        <v>104638</v>
      </c>
      <c r="B319" s="1" t="n">
        <v>45678</v>
      </c>
      <c r="C319" t="inlineStr">
        <is>
          <t>S01</t>
        </is>
      </c>
      <c r="D319" t="inlineStr">
        <is>
          <t>P101</t>
        </is>
      </c>
      <c r="E319" t="n">
        <v>3</v>
      </c>
      <c r="F319" t="n">
        <v>39</v>
      </c>
      <c r="G319" t="n">
        <v>0</v>
      </c>
      <c r="H319">
        <f>E319*F319*(1-G319)</f>
        <v/>
      </c>
      <c r="I319">
        <f>XLOOKUP(D319,Products!$A$2:$A$15,Products!$B$2:$B$15,"Not found")</f>
        <v/>
      </c>
    </row>
    <row r="320">
      <c r="A320" t="n">
        <v>104639</v>
      </c>
      <c r="B320" s="1" t="n">
        <v>45678</v>
      </c>
      <c r="C320" t="inlineStr">
        <is>
          <t>S01</t>
        </is>
      </c>
      <c r="D320" t="inlineStr">
        <is>
          <t>P303</t>
        </is>
      </c>
      <c r="E320" t="n">
        <v>2</v>
      </c>
      <c r="F320" t="n">
        <v>12</v>
      </c>
      <c r="G320" t="n">
        <v>0</v>
      </c>
      <c r="H320">
        <f>E320*F320*(1-G320)</f>
        <v/>
      </c>
      <c r="I320">
        <f>XLOOKUP(D320,Products!$A$2:$A$15,Products!$B$2:$B$15,"Not found")</f>
        <v/>
      </c>
    </row>
    <row r="321">
      <c r="A321" t="n">
        <v>104640</v>
      </c>
      <c r="B321" s="1" t="n">
        <v>45678</v>
      </c>
      <c r="C321" t="inlineStr">
        <is>
          <t>S01</t>
        </is>
      </c>
      <c r="D321" t="inlineStr">
        <is>
          <t>P203</t>
        </is>
      </c>
      <c r="E321" t="n">
        <v>3</v>
      </c>
      <c r="F321" t="n">
        <v>19.5</v>
      </c>
      <c r="G321" t="n">
        <v>0.1</v>
      </c>
      <c r="H321">
        <f>E321*F321*(1-G321)</f>
        <v/>
      </c>
      <c r="I321">
        <f>XLOOKUP(D321,Products!$A$2:$A$15,Products!$B$2:$B$15,"Not found")</f>
        <v/>
      </c>
    </row>
    <row r="322">
      <c r="A322" t="n">
        <v>104641</v>
      </c>
      <c r="B322" s="1" t="n">
        <v>45678</v>
      </c>
      <c r="C322" t="inlineStr">
        <is>
          <t>S01</t>
        </is>
      </c>
      <c r="D322" t="inlineStr">
        <is>
          <t>P403</t>
        </is>
      </c>
      <c r="E322" t="n">
        <v>3</v>
      </c>
      <c r="F322" t="n">
        <v>89</v>
      </c>
      <c r="G322" t="n">
        <v>0.15</v>
      </c>
      <c r="H322">
        <f>E322*F322*(1-G322)</f>
        <v/>
      </c>
      <c r="I322">
        <f>XLOOKUP(D322,Products!$A$2:$A$15,Products!$B$2:$B$15,"Not found")</f>
        <v/>
      </c>
    </row>
    <row r="323">
      <c r="A323" t="n">
        <v>104642</v>
      </c>
      <c r="B323" s="1" t="n">
        <v>45678</v>
      </c>
      <c r="C323" t="inlineStr">
        <is>
          <t>S02</t>
        </is>
      </c>
      <c r="D323" t="inlineStr">
        <is>
          <t>P301</t>
        </is>
      </c>
      <c r="E323" t="n">
        <v>1</v>
      </c>
      <c r="F323" t="n">
        <v>119</v>
      </c>
      <c r="G323" t="n">
        <v>0.2</v>
      </c>
      <c r="H323">
        <f>E323*F323*(1-G323)</f>
        <v/>
      </c>
      <c r="I323">
        <f>XLOOKUP(D323,Products!$A$2:$A$15,Products!$B$2:$B$15,"Not found")</f>
        <v/>
      </c>
    </row>
    <row r="324">
      <c r="A324" t="n">
        <v>104643</v>
      </c>
      <c r="B324" s="1" t="n">
        <v>45678</v>
      </c>
      <c r="C324" t="inlineStr">
        <is>
          <t>S02</t>
        </is>
      </c>
      <c r="D324" t="inlineStr">
        <is>
          <t>P104</t>
        </is>
      </c>
      <c r="E324" t="n">
        <v>1</v>
      </c>
      <c r="F324" t="n">
        <v>189</v>
      </c>
      <c r="G324" t="n">
        <v>0</v>
      </c>
      <c r="H324">
        <f>E324*F324*(1-G324)</f>
        <v/>
      </c>
      <c r="I324">
        <f>XLOOKUP(D324,Products!$A$2:$A$15,Products!$B$2:$B$15,"Not found")</f>
        <v/>
      </c>
    </row>
    <row r="325">
      <c r="A325" t="n">
        <v>104644</v>
      </c>
      <c r="B325" s="1" t="n">
        <v>45678</v>
      </c>
      <c r="C325" t="inlineStr">
        <is>
          <t>S03</t>
        </is>
      </c>
      <c r="D325" t="inlineStr">
        <is>
          <t>P202</t>
        </is>
      </c>
      <c r="E325" t="n">
        <v>1</v>
      </c>
      <c r="F325" t="n">
        <v>79</v>
      </c>
      <c r="G325" t="n">
        <v>0</v>
      </c>
      <c r="H325">
        <f>E325*F325*(1-G325)</f>
        <v/>
      </c>
      <c r="I325">
        <f>XLOOKUP(D325,Products!$A$2:$A$15,Products!$B$2:$B$15,"Not found")</f>
        <v/>
      </c>
    </row>
    <row r="326">
      <c r="A326" t="n">
        <v>104645</v>
      </c>
      <c r="B326" s="1" t="n">
        <v>45678</v>
      </c>
      <c r="C326" t="inlineStr">
        <is>
          <t>S04</t>
        </is>
      </c>
      <c r="D326" t="inlineStr">
        <is>
          <t>P104</t>
        </is>
      </c>
      <c r="E326" t="n">
        <v>1</v>
      </c>
      <c r="F326" t="n">
        <v>189</v>
      </c>
      <c r="G326" t="n">
        <v>0.1</v>
      </c>
      <c r="H326">
        <f>E326*F326*(1-G326)</f>
        <v/>
      </c>
      <c r="I326">
        <f>XLOOKUP(D326,Products!$A$2:$A$15,Products!$B$2:$B$15,"Not found")</f>
        <v/>
      </c>
    </row>
    <row r="327">
      <c r="A327" t="n">
        <v>104646</v>
      </c>
      <c r="B327" s="1" t="n">
        <v>45678</v>
      </c>
      <c r="C327" t="inlineStr">
        <is>
          <t>S04</t>
        </is>
      </c>
      <c r="D327" t="inlineStr">
        <is>
          <t>P201</t>
        </is>
      </c>
      <c r="E327" t="n">
        <v>1</v>
      </c>
      <c r="F327" t="n">
        <v>149</v>
      </c>
      <c r="G327" t="n">
        <v>0.2</v>
      </c>
      <c r="H327">
        <f>E327*F327*(1-G327)</f>
        <v/>
      </c>
      <c r="I327">
        <f>XLOOKUP(D327,Products!$A$2:$A$15,Products!$B$2:$B$15,"Not found")</f>
        <v/>
      </c>
    </row>
    <row r="328">
      <c r="A328" t="n">
        <v>104647</v>
      </c>
      <c r="B328" s="1" t="n">
        <v>45678</v>
      </c>
      <c r="C328" t="inlineStr">
        <is>
          <t>S04</t>
        </is>
      </c>
      <c r="D328" t="inlineStr">
        <is>
          <t>P101</t>
        </is>
      </c>
      <c r="E328" t="n">
        <v>2</v>
      </c>
      <c r="F328" t="n">
        <v>39</v>
      </c>
      <c r="G328" t="n">
        <v>0</v>
      </c>
      <c r="H328">
        <f>E328*F328*(1-G328)</f>
        <v/>
      </c>
      <c r="I328">
        <f>XLOOKUP(D328,Products!$A$2:$A$15,Products!$B$2:$B$15,"Not found")</f>
        <v/>
      </c>
    </row>
    <row r="329">
      <c r="A329" t="n">
        <v>104648</v>
      </c>
      <c r="B329" s="1" t="n">
        <v>45678</v>
      </c>
      <c r="C329" t="inlineStr">
        <is>
          <t>S04</t>
        </is>
      </c>
      <c r="D329" t="inlineStr">
        <is>
          <t>P104</t>
        </is>
      </c>
      <c r="E329" t="n">
        <v>1</v>
      </c>
      <c r="F329" t="n">
        <v>189</v>
      </c>
      <c r="G329" t="n">
        <v>0</v>
      </c>
      <c r="H329">
        <f>E329*F329*(1-G329)</f>
        <v/>
      </c>
      <c r="I329">
        <f>XLOOKUP(D329,Products!$A$2:$A$15,Products!$B$2:$B$15,"Not found")</f>
        <v/>
      </c>
    </row>
    <row r="330">
      <c r="A330" t="n">
        <v>104649</v>
      </c>
      <c r="B330" s="1" t="n">
        <v>45678</v>
      </c>
      <c r="C330" t="inlineStr">
        <is>
          <t>S05</t>
        </is>
      </c>
      <c r="D330" t="inlineStr">
        <is>
          <t>P203</t>
        </is>
      </c>
      <c r="E330" t="n">
        <v>2</v>
      </c>
      <c r="F330" t="n">
        <v>19.5</v>
      </c>
      <c r="G330" t="n">
        <v>0</v>
      </c>
      <c r="H330">
        <f>E330*F330*(1-G330)</f>
        <v/>
      </c>
      <c r="I330">
        <f>XLOOKUP(D330,Products!$A$2:$A$15,Products!$B$2:$B$15,"Not found")</f>
        <v/>
      </c>
    </row>
    <row r="331">
      <c r="A331" t="n">
        <v>104650</v>
      </c>
      <c r="B331" s="1" t="n">
        <v>45678</v>
      </c>
      <c r="C331" t="inlineStr">
        <is>
          <t>S06</t>
        </is>
      </c>
      <c r="D331" t="inlineStr">
        <is>
          <t>P301</t>
        </is>
      </c>
      <c r="E331" t="n">
        <v>1</v>
      </c>
      <c r="F331" t="n">
        <v>119</v>
      </c>
      <c r="G331" t="n">
        <v>0.15</v>
      </c>
      <c r="H331">
        <f>E331*F331*(1-G331)</f>
        <v/>
      </c>
      <c r="I331">
        <f>XLOOKUP(D331,Products!$A$2:$A$15,Products!$B$2:$B$15,"Not found")</f>
        <v/>
      </c>
    </row>
    <row r="332">
      <c r="A332" t="n">
        <v>104651</v>
      </c>
      <c r="B332" s="1" t="n">
        <v>45679</v>
      </c>
      <c r="C332" t="inlineStr">
        <is>
          <t>S01</t>
        </is>
      </c>
      <c r="D332" t="inlineStr">
        <is>
          <t>P401</t>
        </is>
      </c>
      <c r="E332" t="n">
        <v>1</v>
      </c>
      <c r="F332" t="n">
        <v>549</v>
      </c>
      <c r="G332" t="n">
        <v>0</v>
      </c>
      <c r="H332">
        <f>E332*F332*(1-G332)</f>
        <v/>
      </c>
      <c r="I332">
        <f>XLOOKUP(D332,Products!$A$2:$A$15,Products!$B$2:$B$15,"Not found")</f>
        <v/>
      </c>
    </row>
    <row r="333">
      <c r="A333" t="n">
        <v>104652</v>
      </c>
      <c r="B333" s="1" t="n">
        <v>45679</v>
      </c>
      <c r="C333" t="inlineStr">
        <is>
          <t>S01</t>
        </is>
      </c>
      <c r="D333" t="inlineStr">
        <is>
          <t>P203</t>
        </is>
      </c>
      <c r="E333" t="n">
        <v>2</v>
      </c>
      <c r="F333" t="n">
        <v>19.5</v>
      </c>
      <c r="G333" t="n">
        <v>0.15</v>
      </c>
      <c r="H333">
        <f>E333*F333*(1-G333)</f>
        <v/>
      </c>
      <c r="I333">
        <f>XLOOKUP(D333,Products!$A$2:$A$15,Products!$B$2:$B$15,"Not found")</f>
        <v/>
      </c>
    </row>
    <row r="334">
      <c r="A334" t="n">
        <v>104653</v>
      </c>
      <c r="B334" s="1" t="n">
        <v>45679</v>
      </c>
      <c r="C334" t="inlineStr">
        <is>
          <t>S01</t>
        </is>
      </c>
      <c r="D334" t="inlineStr">
        <is>
          <t>P303</t>
        </is>
      </c>
      <c r="E334" t="n">
        <v>1</v>
      </c>
      <c r="F334" t="n">
        <v>12</v>
      </c>
      <c r="G334" t="n">
        <v>0</v>
      </c>
      <c r="H334">
        <f>E334*F334*(1-G334)</f>
        <v/>
      </c>
      <c r="I334">
        <f>XLOOKUP(D334,Products!$A$2:$A$15,Products!$B$2:$B$15,"Not found")</f>
        <v/>
      </c>
    </row>
    <row r="335">
      <c r="A335" t="n">
        <v>104654</v>
      </c>
      <c r="B335" s="1" t="n">
        <v>45679</v>
      </c>
      <c r="C335" t="inlineStr">
        <is>
          <t>S01</t>
        </is>
      </c>
      <c r="D335" t="inlineStr">
        <is>
          <t>P303</t>
        </is>
      </c>
      <c r="E335" t="n">
        <v>2</v>
      </c>
      <c r="F335" t="n">
        <v>12</v>
      </c>
      <c r="G335" t="n">
        <v>0</v>
      </c>
      <c r="H335">
        <f>E335*F335*(1-G335)</f>
        <v/>
      </c>
      <c r="I335">
        <f>XLOOKUP(D335,Products!$A$2:$A$15,Products!$B$2:$B$15,"Not found")</f>
        <v/>
      </c>
    </row>
    <row r="336">
      <c r="A336" t="n">
        <v>104655</v>
      </c>
      <c r="B336" s="1" t="n">
        <v>45679</v>
      </c>
      <c r="C336" t="inlineStr">
        <is>
          <t>S01</t>
        </is>
      </c>
      <c r="D336" t="inlineStr">
        <is>
          <t>P102</t>
        </is>
      </c>
      <c r="E336" t="n">
        <v>3</v>
      </c>
      <c r="F336" t="n">
        <v>14.5</v>
      </c>
      <c r="G336" t="n">
        <v>0.15</v>
      </c>
      <c r="H336">
        <f>E336*F336*(1-G336)</f>
        <v/>
      </c>
      <c r="I336">
        <f>XLOOKUP(D336,Products!$A$2:$A$15,Products!$B$2:$B$15,"Not found")</f>
        <v/>
      </c>
    </row>
    <row r="337">
      <c r="A337" t="n">
        <v>104656</v>
      </c>
      <c r="B337" s="1" t="n">
        <v>45679</v>
      </c>
      <c r="C337" t="inlineStr">
        <is>
          <t>S02</t>
        </is>
      </c>
      <c r="D337" t="inlineStr">
        <is>
          <t>P203</t>
        </is>
      </c>
      <c r="E337" t="n">
        <v>4</v>
      </c>
      <c r="F337" t="n">
        <v>19.5</v>
      </c>
      <c r="G337" t="n">
        <v>0</v>
      </c>
      <c r="H337">
        <f>E337*F337*(1-G337)</f>
        <v/>
      </c>
      <c r="I337">
        <f>XLOOKUP(D337,Products!$A$2:$A$15,Products!$B$2:$B$15,"Not found")</f>
        <v/>
      </c>
    </row>
    <row r="338">
      <c r="A338" t="n">
        <v>104657</v>
      </c>
      <c r="B338" s="1" t="n">
        <v>45679</v>
      </c>
      <c r="C338" t="inlineStr">
        <is>
          <t>S03</t>
        </is>
      </c>
      <c r="D338" t="inlineStr">
        <is>
          <t>P101</t>
        </is>
      </c>
      <c r="E338" t="n">
        <v>1</v>
      </c>
      <c r="F338" t="n">
        <v>39</v>
      </c>
      <c r="G338" t="n">
        <v>0.15</v>
      </c>
      <c r="H338">
        <f>E338*F338*(1-G338)</f>
        <v/>
      </c>
      <c r="I338">
        <f>XLOOKUP(D338,Products!$A$2:$A$15,Products!$B$2:$B$15,"Not found")</f>
        <v/>
      </c>
    </row>
    <row r="339">
      <c r="A339" t="n">
        <v>104658</v>
      </c>
      <c r="B339" s="1" t="n">
        <v>45679</v>
      </c>
      <c r="C339" t="inlineStr">
        <is>
          <t>S04</t>
        </is>
      </c>
      <c r="D339" t="inlineStr">
        <is>
          <t>P203</t>
        </is>
      </c>
      <c r="E339" t="n">
        <v>2</v>
      </c>
      <c r="F339" t="n">
        <v>19.5</v>
      </c>
      <c r="G339" t="n">
        <v>0</v>
      </c>
      <c r="H339">
        <f>E339*F339*(1-G339)</f>
        <v/>
      </c>
      <c r="I339">
        <f>XLOOKUP(D339,Products!$A$2:$A$15,Products!$B$2:$B$15,"Not found")</f>
        <v/>
      </c>
    </row>
    <row r="340">
      <c r="A340" t="n">
        <v>104659</v>
      </c>
      <c r="B340" s="1" t="n">
        <v>45679</v>
      </c>
      <c r="C340" t="inlineStr">
        <is>
          <t>S04</t>
        </is>
      </c>
      <c r="D340" t="inlineStr">
        <is>
          <t>P201</t>
        </is>
      </c>
      <c r="E340" t="n">
        <v>1</v>
      </c>
      <c r="F340" t="n">
        <v>149</v>
      </c>
      <c r="G340" t="n">
        <v>0</v>
      </c>
      <c r="H340">
        <f>E340*F340*(1-G340)</f>
        <v/>
      </c>
      <c r="I340">
        <f>XLOOKUP(D340,Products!$A$2:$A$15,Products!$B$2:$B$15,"Not found")</f>
        <v/>
      </c>
    </row>
    <row r="341">
      <c r="A341" t="n">
        <v>104660</v>
      </c>
      <c r="B341" s="1" t="n">
        <v>45679</v>
      </c>
      <c r="C341" t="inlineStr">
        <is>
          <t>S05</t>
        </is>
      </c>
      <c r="D341" t="inlineStr">
        <is>
          <t>P104</t>
        </is>
      </c>
      <c r="E341" t="n">
        <v>1</v>
      </c>
      <c r="F341" t="n">
        <v>189</v>
      </c>
      <c r="G341" t="n">
        <v>0.15</v>
      </c>
      <c r="H341">
        <f>E341*F341*(1-G341)</f>
        <v/>
      </c>
      <c r="I341">
        <f>XLOOKUP(D341,Products!$A$2:$A$15,Products!$B$2:$B$15,"Not found")</f>
        <v/>
      </c>
    </row>
    <row r="342">
      <c r="A342" t="n">
        <v>104661</v>
      </c>
      <c r="B342" s="1" t="n">
        <v>45679</v>
      </c>
      <c r="C342" t="inlineStr">
        <is>
          <t>S05</t>
        </is>
      </c>
      <c r="D342" t="inlineStr">
        <is>
          <t>P203</t>
        </is>
      </c>
      <c r="E342" t="n">
        <v>2</v>
      </c>
      <c r="F342" t="n">
        <v>19.5</v>
      </c>
      <c r="G342" t="n">
        <v>0.1</v>
      </c>
      <c r="H342">
        <f>E342*F342*(1-G342)</f>
        <v/>
      </c>
      <c r="I342">
        <f>XLOOKUP(D342,Products!$A$2:$A$15,Products!$B$2:$B$15,"Not found")</f>
        <v/>
      </c>
    </row>
    <row r="343">
      <c r="A343" t="n">
        <v>104662</v>
      </c>
      <c r="B343" s="1" t="n">
        <v>45679</v>
      </c>
      <c r="C343" t="inlineStr">
        <is>
          <t>S05</t>
        </is>
      </c>
      <c r="D343" t="inlineStr">
        <is>
          <t>P203</t>
        </is>
      </c>
      <c r="E343" t="n">
        <v>3</v>
      </c>
      <c r="F343" t="n">
        <v>19.5</v>
      </c>
      <c r="G343" t="n">
        <v>0.1</v>
      </c>
      <c r="H343">
        <f>E343*F343*(1-G343)</f>
        <v/>
      </c>
      <c r="I343">
        <f>XLOOKUP(D343,Products!$A$2:$A$15,Products!$B$2:$B$15,"Not found")</f>
        <v/>
      </c>
    </row>
    <row r="344">
      <c r="A344" t="n">
        <v>104663</v>
      </c>
      <c r="B344" s="1" t="n">
        <v>45679</v>
      </c>
      <c r="C344" t="inlineStr">
        <is>
          <t>S05</t>
        </is>
      </c>
      <c r="D344" t="inlineStr">
        <is>
          <t>P103</t>
        </is>
      </c>
      <c r="E344" t="n">
        <v>4</v>
      </c>
      <c r="F344" t="n">
        <v>29</v>
      </c>
      <c r="G344" t="n">
        <v>0</v>
      </c>
      <c r="H344">
        <f>E344*F344*(1-G344)</f>
        <v/>
      </c>
      <c r="I344">
        <f>XLOOKUP(D344,Products!$A$2:$A$15,Products!$B$2:$B$15,"Not found")</f>
        <v/>
      </c>
    </row>
    <row r="345">
      <c r="A345" t="n">
        <v>104664</v>
      </c>
      <c r="B345" s="1" t="n">
        <v>45679</v>
      </c>
      <c r="C345" t="inlineStr">
        <is>
          <t>S05</t>
        </is>
      </c>
      <c r="D345" t="inlineStr">
        <is>
          <t>P203</t>
        </is>
      </c>
      <c r="E345" t="n">
        <v>2</v>
      </c>
      <c r="F345" t="n">
        <v>19.5</v>
      </c>
      <c r="G345" t="n">
        <v>0.15</v>
      </c>
      <c r="H345">
        <f>E345*F345*(1-G345)</f>
        <v/>
      </c>
      <c r="I345">
        <f>XLOOKUP(D345,Products!$A$2:$A$15,Products!$B$2:$B$15,"Not found")</f>
        <v/>
      </c>
    </row>
    <row r="346">
      <c r="A346" t="n">
        <v>104665</v>
      </c>
      <c r="B346" s="1" t="n">
        <v>45679</v>
      </c>
      <c r="C346" t="inlineStr">
        <is>
          <t>S06</t>
        </is>
      </c>
      <c r="D346" t="inlineStr">
        <is>
          <t>P102</t>
        </is>
      </c>
      <c r="E346" t="n">
        <v>2</v>
      </c>
      <c r="F346" t="n">
        <v>14.5</v>
      </c>
      <c r="G346" t="n">
        <v>0</v>
      </c>
      <c r="H346">
        <f>E346*F346*(1-G346)</f>
        <v/>
      </c>
      <c r="I346">
        <f>XLOOKUP(D346,Products!$A$2:$A$15,Products!$B$2:$B$15,"Not found")</f>
        <v/>
      </c>
    </row>
    <row r="347">
      <c r="A347" t="n">
        <v>104666</v>
      </c>
      <c r="B347" s="1" t="n">
        <v>45680</v>
      </c>
      <c r="C347" t="inlineStr">
        <is>
          <t>S01</t>
        </is>
      </c>
      <c r="D347" t="inlineStr">
        <is>
          <t>P104</t>
        </is>
      </c>
      <c r="E347" t="n">
        <v>1</v>
      </c>
      <c r="F347" t="n">
        <v>189</v>
      </c>
      <c r="G347" t="n">
        <v>0</v>
      </c>
      <c r="H347">
        <f>E347*F347*(1-G347)</f>
        <v/>
      </c>
      <c r="I347">
        <f>XLOOKUP(D347,Products!$A$2:$A$15,Products!$B$2:$B$15,"Not found")</f>
        <v/>
      </c>
    </row>
    <row r="348">
      <c r="A348" t="n">
        <v>104667</v>
      </c>
      <c r="B348" s="1" t="n">
        <v>45680</v>
      </c>
      <c r="C348" t="inlineStr">
        <is>
          <t>S01</t>
        </is>
      </c>
      <c r="D348" t="inlineStr">
        <is>
          <t>P203</t>
        </is>
      </c>
      <c r="E348" t="n">
        <v>1</v>
      </c>
      <c r="F348" t="n">
        <v>19.5</v>
      </c>
      <c r="G348" t="n">
        <v>0</v>
      </c>
      <c r="H348">
        <f>E348*F348*(1-G348)</f>
        <v/>
      </c>
      <c r="I348">
        <f>XLOOKUP(D348,Products!$A$2:$A$15,Products!$B$2:$B$15,"Not found")</f>
        <v/>
      </c>
    </row>
    <row r="349">
      <c r="A349" t="n">
        <v>104668</v>
      </c>
      <c r="B349" s="1" t="n">
        <v>45680</v>
      </c>
      <c r="C349" t="inlineStr">
        <is>
          <t>S01</t>
        </is>
      </c>
      <c r="D349" t="inlineStr">
        <is>
          <t>P102</t>
        </is>
      </c>
      <c r="E349" t="n">
        <v>4</v>
      </c>
      <c r="F349" t="n">
        <v>14.5</v>
      </c>
      <c r="G349" t="n">
        <v>0.1</v>
      </c>
      <c r="H349">
        <f>E349*F349*(1-G349)</f>
        <v/>
      </c>
      <c r="I349">
        <f>XLOOKUP(D349,Products!$A$2:$A$15,Products!$B$2:$B$15,"Not found")</f>
        <v/>
      </c>
    </row>
    <row r="350">
      <c r="A350" t="n">
        <v>104669</v>
      </c>
      <c r="B350" s="1" t="n">
        <v>45680</v>
      </c>
      <c r="C350" t="inlineStr">
        <is>
          <t>S02</t>
        </is>
      </c>
      <c r="D350" t="inlineStr">
        <is>
          <t>P203</t>
        </is>
      </c>
      <c r="E350" t="n">
        <v>1</v>
      </c>
      <c r="F350" t="n">
        <v>19.5</v>
      </c>
      <c r="G350" t="n">
        <v>0</v>
      </c>
      <c r="H350">
        <f>E350*F350*(1-G350)</f>
        <v/>
      </c>
      <c r="I350">
        <f>XLOOKUP(D350,Products!$A$2:$A$15,Products!$B$2:$B$15,"Not found")</f>
        <v/>
      </c>
    </row>
    <row r="351">
      <c r="A351" t="n">
        <v>104670</v>
      </c>
      <c r="B351" s="1" t="n">
        <v>45680</v>
      </c>
      <c r="C351" t="inlineStr">
        <is>
          <t>S03</t>
        </is>
      </c>
      <c r="D351" t="inlineStr">
        <is>
          <t>P204</t>
        </is>
      </c>
      <c r="E351" t="n">
        <v>1</v>
      </c>
      <c r="F351" t="n">
        <v>229</v>
      </c>
      <c r="G351" t="n">
        <v>0</v>
      </c>
      <c r="H351">
        <f>E351*F351*(1-G351)</f>
        <v/>
      </c>
      <c r="I351">
        <f>XLOOKUP(D351,Products!$A$2:$A$15,Products!$B$2:$B$15,"Not found")</f>
        <v/>
      </c>
    </row>
    <row r="352">
      <c r="A352" t="n">
        <v>104671</v>
      </c>
      <c r="B352" s="1" t="n">
        <v>45680</v>
      </c>
      <c r="C352" t="inlineStr">
        <is>
          <t>S03</t>
        </is>
      </c>
      <c r="D352" t="inlineStr">
        <is>
          <t>P303</t>
        </is>
      </c>
      <c r="E352" t="n">
        <v>3</v>
      </c>
      <c r="F352" t="n">
        <v>12</v>
      </c>
      <c r="G352" t="n">
        <v>0</v>
      </c>
      <c r="H352">
        <f>E352*F352*(1-G352)</f>
        <v/>
      </c>
      <c r="I352">
        <f>XLOOKUP(D352,Products!$A$2:$A$15,Products!$B$2:$B$15,"Not found")</f>
        <v/>
      </c>
    </row>
    <row r="353">
      <c r="A353" t="n">
        <v>104672</v>
      </c>
      <c r="B353" s="1" t="n">
        <v>45680</v>
      </c>
      <c r="C353" t="inlineStr">
        <is>
          <t>S04</t>
        </is>
      </c>
      <c r="D353" t="inlineStr">
        <is>
          <t>P102</t>
        </is>
      </c>
      <c r="E353" t="n">
        <v>2</v>
      </c>
      <c r="F353" t="n">
        <v>14.5</v>
      </c>
      <c r="G353" t="n">
        <v>0</v>
      </c>
      <c r="H353">
        <f>E353*F353*(1-G353)</f>
        <v/>
      </c>
      <c r="I353">
        <f>XLOOKUP(D353,Products!$A$2:$A$15,Products!$B$2:$B$15,"Not found")</f>
        <v/>
      </c>
    </row>
    <row r="354">
      <c r="A354" t="n">
        <v>104673</v>
      </c>
      <c r="B354" s="1" t="n">
        <v>45680</v>
      </c>
      <c r="C354" t="inlineStr">
        <is>
          <t>S06</t>
        </is>
      </c>
      <c r="D354" t="inlineStr">
        <is>
          <t>P102</t>
        </is>
      </c>
      <c r="E354" t="n">
        <v>1</v>
      </c>
      <c r="F354" t="n">
        <v>14.5</v>
      </c>
      <c r="G354" t="n">
        <v>0</v>
      </c>
      <c r="H354">
        <f>E354*F354*(1-G354)</f>
        <v/>
      </c>
      <c r="I354">
        <f>XLOOKUP(D354,Products!$A$2:$A$15,Products!$B$2:$B$15,"Not found")</f>
        <v/>
      </c>
    </row>
    <row r="355">
      <c r="A355" t="n">
        <v>104674</v>
      </c>
      <c r="B355" s="1" t="n">
        <v>45680</v>
      </c>
      <c r="C355" t="inlineStr">
        <is>
          <t>S06</t>
        </is>
      </c>
      <c r="D355" t="inlineStr">
        <is>
          <t>P202</t>
        </is>
      </c>
      <c r="E355" t="n">
        <v>4</v>
      </c>
      <c r="F355" t="n">
        <v>79</v>
      </c>
      <c r="G355" t="n">
        <v>0</v>
      </c>
      <c r="H355">
        <f>E355*F355*(1-G355)</f>
        <v/>
      </c>
      <c r="I355">
        <f>XLOOKUP(D355,Products!$A$2:$A$15,Products!$B$2:$B$15,"Not found")</f>
        <v/>
      </c>
    </row>
    <row r="356">
      <c r="A356" t="n">
        <v>104675</v>
      </c>
      <c r="B356" s="1" t="n">
        <v>45681</v>
      </c>
      <c r="C356" t="inlineStr">
        <is>
          <t>S01</t>
        </is>
      </c>
      <c r="D356" t="inlineStr">
        <is>
          <t>P302</t>
        </is>
      </c>
      <c r="E356" t="n">
        <v>2</v>
      </c>
      <c r="F356" t="n">
        <v>24</v>
      </c>
      <c r="G356" t="n">
        <v>0</v>
      </c>
      <c r="H356">
        <f>E356*F356*(1-G356)</f>
        <v/>
      </c>
      <c r="I356">
        <f>XLOOKUP(D356,Products!$A$2:$A$15,Products!$B$2:$B$15,"Not found")</f>
        <v/>
      </c>
    </row>
    <row r="357">
      <c r="A357" t="n">
        <v>104676</v>
      </c>
      <c r="B357" s="1" t="n">
        <v>45681</v>
      </c>
      <c r="C357" t="inlineStr">
        <is>
          <t>S01</t>
        </is>
      </c>
      <c r="D357" t="inlineStr">
        <is>
          <t>P204</t>
        </is>
      </c>
      <c r="E357" t="n">
        <v>1</v>
      </c>
      <c r="F357" t="n">
        <v>229</v>
      </c>
      <c r="G357" t="n">
        <v>0</v>
      </c>
      <c r="H357">
        <f>E357*F357*(1-G357)</f>
        <v/>
      </c>
      <c r="I357">
        <f>XLOOKUP(D357,Products!$A$2:$A$15,Products!$B$2:$B$15,"Not found")</f>
        <v/>
      </c>
    </row>
    <row r="358">
      <c r="A358" t="n">
        <v>104677</v>
      </c>
      <c r="B358" s="1" t="n">
        <v>45681</v>
      </c>
      <c r="C358" t="inlineStr">
        <is>
          <t>S01</t>
        </is>
      </c>
      <c r="D358" t="inlineStr">
        <is>
          <t>P202</t>
        </is>
      </c>
      <c r="E358" t="n">
        <v>1</v>
      </c>
      <c r="F358" t="n">
        <v>79</v>
      </c>
      <c r="G358" t="n">
        <v>0.1</v>
      </c>
      <c r="H358">
        <f>E358*F358*(1-G358)</f>
        <v/>
      </c>
      <c r="I358">
        <f>XLOOKUP(D358,Products!$A$2:$A$15,Products!$B$2:$B$15,"Not found")</f>
        <v/>
      </c>
    </row>
    <row r="359">
      <c r="A359" t="n">
        <v>104678</v>
      </c>
      <c r="B359" s="1" t="n">
        <v>45681</v>
      </c>
      <c r="C359" t="inlineStr">
        <is>
          <t>S01</t>
        </is>
      </c>
      <c r="D359" t="inlineStr">
        <is>
          <t>P302</t>
        </is>
      </c>
      <c r="E359" t="n">
        <v>1</v>
      </c>
      <c r="F359" t="n">
        <v>24</v>
      </c>
      <c r="G359" t="n">
        <v>0</v>
      </c>
      <c r="H359">
        <f>E359*F359*(1-G359)</f>
        <v/>
      </c>
      <c r="I359">
        <f>XLOOKUP(D359,Products!$A$2:$A$15,Products!$B$2:$B$15,"Not found")</f>
        <v/>
      </c>
    </row>
    <row r="360">
      <c r="A360" t="n">
        <v>104679</v>
      </c>
      <c r="B360" s="1" t="n">
        <v>45681</v>
      </c>
      <c r="C360" t="inlineStr">
        <is>
          <t>S01</t>
        </is>
      </c>
      <c r="D360" t="inlineStr">
        <is>
          <t>P203</t>
        </is>
      </c>
      <c r="E360" t="n">
        <v>2</v>
      </c>
      <c r="F360" t="n">
        <v>19.5</v>
      </c>
      <c r="G360" t="n">
        <v>0.2</v>
      </c>
      <c r="H360">
        <f>E360*F360*(1-G360)</f>
        <v/>
      </c>
      <c r="I360">
        <f>XLOOKUP(D360,Products!$A$2:$A$15,Products!$B$2:$B$15,"Not found")</f>
        <v/>
      </c>
    </row>
    <row r="361">
      <c r="A361" t="n">
        <v>104680</v>
      </c>
      <c r="B361" s="1" t="n">
        <v>45681</v>
      </c>
      <c r="C361" t="inlineStr">
        <is>
          <t>S01</t>
        </is>
      </c>
      <c r="D361" t="inlineStr">
        <is>
          <t>P303</t>
        </is>
      </c>
      <c r="E361" t="n">
        <v>3</v>
      </c>
      <c r="F361" t="n">
        <v>12</v>
      </c>
      <c r="G361" t="n">
        <v>0</v>
      </c>
      <c r="H361">
        <f>E361*F361*(1-G361)</f>
        <v/>
      </c>
      <c r="I361">
        <f>XLOOKUP(D361,Products!$A$2:$A$15,Products!$B$2:$B$15,"Not found")</f>
        <v/>
      </c>
    </row>
    <row r="362">
      <c r="A362" t="n">
        <v>104681</v>
      </c>
      <c r="B362" s="1" t="n">
        <v>45681</v>
      </c>
      <c r="C362" t="inlineStr">
        <is>
          <t>S01</t>
        </is>
      </c>
      <c r="D362" t="inlineStr">
        <is>
          <t>P204</t>
        </is>
      </c>
      <c r="E362" t="n">
        <v>1</v>
      </c>
      <c r="F362" t="n">
        <v>229</v>
      </c>
      <c r="G362" t="n">
        <v>0</v>
      </c>
      <c r="H362">
        <f>E362*F362*(1-G362)</f>
        <v/>
      </c>
      <c r="I362">
        <f>XLOOKUP(D362,Products!$A$2:$A$15,Products!$B$2:$B$15,"Not found")</f>
        <v/>
      </c>
    </row>
    <row r="363">
      <c r="A363" t="n">
        <v>104682</v>
      </c>
      <c r="B363" s="1" t="n">
        <v>45681</v>
      </c>
      <c r="C363" t="inlineStr">
        <is>
          <t>S02</t>
        </is>
      </c>
      <c r="D363" t="inlineStr">
        <is>
          <t>P203</t>
        </is>
      </c>
      <c r="E363" t="n">
        <v>4</v>
      </c>
      <c r="F363" t="n">
        <v>19.5</v>
      </c>
      <c r="G363" t="n">
        <v>0</v>
      </c>
      <c r="H363">
        <f>E363*F363*(1-G363)</f>
        <v/>
      </c>
      <c r="I363">
        <f>XLOOKUP(D363,Products!$A$2:$A$15,Products!$B$2:$B$15,"Not found")</f>
        <v/>
      </c>
    </row>
    <row r="364">
      <c r="A364" t="n">
        <v>104683</v>
      </c>
      <c r="B364" s="1" t="n">
        <v>45681</v>
      </c>
      <c r="C364" t="inlineStr">
        <is>
          <t>S02</t>
        </is>
      </c>
      <c r="D364" t="inlineStr">
        <is>
          <t>P203</t>
        </is>
      </c>
      <c r="E364" t="n">
        <v>2</v>
      </c>
      <c r="F364" t="n">
        <v>19.5</v>
      </c>
      <c r="G364" t="n">
        <v>0</v>
      </c>
      <c r="H364">
        <f>E364*F364*(1-G364)</f>
        <v/>
      </c>
      <c r="I364">
        <f>XLOOKUP(D364,Products!$A$2:$A$15,Products!$B$2:$B$15,"Not found")</f>
        <v/>
      </c>
    </row>
    <row r="365">
      <c r="A365" t="n">
        <v>104684</v>
      </c>
      <c r="B365" s="1" t="n">
        <v>45681</v>
      </c>
      <c r="C365" t="inlineStr">
        <is>
          <t>S02</t>
        </is>
      </c>
      <c r="D365" t="inlineStr">
        <is>
          <t>P403</t>
        </is>
      </c>
      <c r="E365" t="n">
        <v>2</v>
      </c>
      <c r="F365" t="n">
        <v>89</v>
      </c>
      <c r="G365" t="n">
        <v>0.2</v>
      </c>
      <c r="H365">
        <f>E365*F365*(1-G365)</f>
        <v/>
      </c>
      <c r="I365">
        <f>XLOOKUP(D365,Products!$A$2:$A$15,Products!$B$2:$B$15,"Not found")</f>
        <v/>
      </c>
    </row>
    <row r="366">
      <c r="A366" t="n">
        <v>104685</v>
      </c>
      <c r="B366" s="1" t="n">
        <v>45681</v>
      </c>
      <c r="C366" t="inlineStr">
        <is>
          <t>S02</t>
        </is>
      </c>
      <c r="D366" t="inlineStr">
        <is>
          <t>P102</t>
        </is>
      </c>
      <c r="E366" t="n">
        <v>1</v>
      </c>
      <c r="F366" t="n">
        <v>14.5</v>
      </c>
      <c r="G366" t="n">
        <v>0.1</v>
      </c>
      <c r="H366">
        <f>E366*F366*(1-G366)</f>
        <v/>
      </c>
      <c r="I366">
        <f>XLOOKUP(D366,Products!$A$2:$A$15,Products!$B$2:$B$15,"Not found")</f>
        <v/>
      </c>
    </row>
    <row r="367">
      <c r="A367" t="n">
        <v>104686</v>
      </c>
      <c r="B367" s="1" t="n">
        <v>45681</v>
      </c>
      <c r="C367" t="inlineStr">
        <is>
          <t>S03</t>
        </is>
      </c>
      <c r="D367" t="inlineStr">
        <is>
          <t>P101</t>
        </is>
      </c>
      <c r="E367" t="n">
        <v>2</v>
      </c>
      <c r="F367" t="n">
        <v>39</v>
      </c>
      <c r="G367" t="n">
        <v>0</v>
      </c>
      <c r="H367">
        <f>E367*F367*(1-G367)</f>
        <v/>
      </c>
      <c r="I367">
        <f>XLOOKUP(D367,Products!$A$2:$A$15,Products!$B$2:$B$15,"Not found")</f>
        <v/>
      </c>
    </row>
    <row r="368">
      <c r="A368" t="n">
        <v>104687</v>
      </c>
      <c r="B368" s="1" t="n">
        <v>45681</v>
      </c>
      <c r="C368" t="inlineStr">
        <is>
          <t>S03</t>
        </is>
      </c>
      <c r="D368" t="inlineStr">
        <is>
          <t>P301</t>
        </is>
      </c>
      <c r="E368" t="n">
        <v>1</v>
      </c>
      <c r="F368" t="n">
        <v>119</v>
      </c>
      <c r="G368" t="n">
        <v>0</v>
      </c>
      <c r="H368">
        <f>E368*F368*(1-G368)</f>
        <v/>
      </c>
      <c r="I368">
        <f>XLOOKUP(D368,Products!$A$2:$A$15,Products!$B$2:$B$15,"Not found")</f>
        <v/>
      </c>
    </row>
    <row r="369">
      <c r="A369" t="n">
        <v>104688</v>
      </c>
      <c r="B369" s="1" t="n">
        <v>45681</v>
      </c>
      <c r="C369" t="inlineStr">
        <is>
          <t>S04</t>
        </is>
      </c>
      <c r="D369" t="inlineStr">
        <is>
          <t>P203</t>
        </is>
      </c>
      <c r="E369" t="n">
        <v>2</v>
      </c>
      <c r="F369" t="n">
        <v>19.5</v>
      </c>
      <c r="G369" t="n">
        <v>0.2</v>
      </c>
      <c r="H369">
        <f>E369*F369*(1-G369)</f>
        <v/>
      </c>
      <c r="I369">
        <f>XLOOKUP(D369,Products!$A$2:$A$15,Products!$B$2:$B$15,"Not found")</f>
        <v/>
      </c>
    </row>
    <row r="370">
      <c r="A370" t="n">
        <v>104689</v>
      </c>
      <c r="B370" s="1" t="n">
        <v>45681</v>
      </c>
      <c r="C370" t="inlineStr">
        <is>
          <t>S04</t>
        </is>
      </c>
      <c r="D370" t="inlineStr">
        <is>
          <t>P303</t>
        </is>
      </c>
      <c r="E370" t="n">
        <v>3</v>
      </c>
      <c r="F370" t="n">
        <v>12</v>
      </c>
      <c r="G370" t="n">
        <v>0</v>
      </c>
      <c r="H370">
        <f>E370*F370*(1-G370)</f>
        <v/>
      </c>
      <c r="I370">
        <f>XLOOKUP(D370,Products!$A$2:$A$15,Products!$B$2:$B$15,"Not found")</f>
        <v/>
      </c>
    </row>
    <row r="371">
      <c r="A371" t="n">
        <v>104690</v>
      </c>
      <c r="B371" s="1" t="n">
        <v>45681</v>
      </c>
      <c r="C371" t="inlineStr">
        <is>
          <t>S04</t>
        </is>
      </c>
      <c r="D371" t="inlineStr">
        <is>
          <t>P203</t>
        </is>
      </c>
      <c r="E371" t="n">
        <v>1</v>
      </c>
      <c r="F371" t="n">
        <v>19.5</v>
      </c>
      <c r="G371" t="n">
        <v>0</v>
      </c>
      <c r="H371">
        <f>E371*F371*(1-G371)</f>
        <v/>
      </c>
      <c r="I371">
        <f>XLOOKUP(D371,Products!$A$2:$A$15,Products!$B$2:$B$15,"Not found")</f>
        <v/>
      </c>
    </row>
    <row r="372">
      <c r="A372" t="n">
        <v>104691</v>
      </c>
      <c r="B372" s="1" t="n">
        <v>45681</v>
      </c>
      <c r="C372" t="inlineStr">
        <is>
          <t>S05</t>
        </is>
      </c>
      <c r="D372" t="inlineStr">
        <is>
          <t>P101</t>
        </is>
      </c>
      <c r="E372" t="n">
        <v>3</v>
      </c>
      <c r="F372" t="n">
        <v>39</v>
      </c>
      <c r="G372" t="n">
        <v>0</v>
      </c>
      <c r="H372">
        <f>E372*F372*(1-G372)</f>
        <v/>
      </c>
      <c r="I372">
        <f>XLOOKUP(D372,Products!$A$2:$A$15,Products!$B$2:$B$15,"Not found")</f>
        <v/>
      </c>
    </row>
    <row r="373">
      <c r="A373" t="n">
        <v>104692</v>
      </c>
      <c r="B373" s="1" t="n">
        <v>45682</v>
      </c>
      <c r="C373" t="inlineStr">
        <is>
          <t>S01</t>
        </is>
      </c>
      <c r="D373" t="inlineStr">
        <is>
          <t>P303</t>
        </is>
      </c>
      <c r="E373" t="n">
        <v>4</v>
      </c>
      <c r="F373" t="n">
        <v>12</v>
      </c>
      <c r="G373" t="n">
        <v>0</v>
      </c>
      <c r="H373">
        <f>E373*F373*(1-G373)</f>
        <v/>
      </c>
      <c r="I373">
        <f>XLOOKUP(D373,Products!$A$2:$A$15,Products!$B$2:$B$15,"Not found")</f>
        <v/>
      </c>
    </row>
    <row r="374">
      <c r="A374" t="n">
        <v>104693</v>
      </c>
      <c r="B374" s="1" t="n">
        <v>45682</v>
      </c>
      <c r="C374" t="inlineStr">
        <is>
          <t>S01</t>
        </is>
      </c>
      <c r="D374" t="inlineStr">
        <is>
          <t>P102</t>
        </is>
      </c>
      <c r="E374" t="n">
        <v>3</v>
      </c>
      <c r="F374" t="n">
        <v>14.5</v>
      </c>
      <c r="G374" t="n">
        <v>0.15</v>
      </c>
      <c r="H374">
        <f>E374*F374*(1-G374)</f>
        <v/>
      </c>
      <c r="I374">
        <f>XLOOKUP(D374,Products!$A$2:$A$15,Products!$B$2:$B$15,"Not found")</f>
        <v/>
      </c>
    </row>
    <row r="375">
      <c r="A375" t="n">
        <v>104694</v>
      </c>
      <c r="B375" s="1" t="n">
        <v>45682</v>
      </c>
      <c r="C375" t="inlineStr">
        <is>
          <t>S01</t>
        </is>
      </c>
      <c r="D375" t="inlineStr">
        <is>
          <t>P303</t>
        </is>
      </c>
      <c r="E375" t="n">
        <v>1</v>
      </c>
      <c r="F375" t="n">
        <v>12</v>
      </c>
      <c r="G375" t="n">
        <v>0.1</v>
      </c>
      <c r="H375">
        <f>E375*F375*(1-G375)</f>
        <v/>
      </c>
      <c r="I375">
        <f>XLOOKUP(D375,Products!$A$2:$A$15,Products!$B$2:$B$15,"Not found")</f>
        <v/>
      </c>
    </row>
    <row r="376">
      <c r="A376" t="n">
        <v>104695</v>
      </c>
      <c r="B376" s="1" t="n">
        <v>45682</v>
      </c>
      <c r="C376" t="inlineStr">
        <is>
          <t>S01</t>
        </is>
      </c>
      <c r="D376" t="inlineStr">
        <is>
          <t>P203</t>
        </is>
      </c>
      <c r="E376" t="n">
        <v>3</v>
      </c>
      <c r="F376" t="n">
        <v>19.5</v>
      </c>
      <c r="G376" t="n">
        <v>0.2</v>
      </c>
      <c r="H376">
        <f>E376*F376*(1-G376)</f>
        <v/>
      </c>
      <c r="I376">
        <f>XLOOKUP(D376,Products!$A$2:$A$15,Products!$B$2:$B$15,"Not found")</f>
        <v/>
      </c>
    </row>
    <row r="377">
      <c r="A377" t="n">
        <v>104696</v>
      </c>
      <c r="B377" s="1" t="n">
        <v>45682</v>
      </c>
      <c r="C377" t="inlineStr">
        <is>
          <t>S01</t>
        </is>
      </c>
      <c r="D377" t="inlineStr">
        <is>
          <t>P101</t>
        </is>
      </c>
      <c r="E377" t="n">
        <v>2</v>
      </c>
      <c r="F377" t="n">
        <v>39</v>
      </c>
      <c r="G377" t="n">
        <v>0</v>
      </c>
      <c r="H377">
        <f>E377*F377*(1-G377)</f>
        <v/>
      </c>
      <c r="I377">
        <f>XLOOKUP(D377,Products!$A$2:$A$15,Products!$B$2:$B$15,"Not found")</f>
        <v/>
      </c>
    </row>
    <row r="378">
      <c r="A378" t="n">
        <v>104697</v>
      </c>
      <c r="B378" s="1" t="n">
        <v>45682</v>
      </c>
      <c r="C378" t="inlineStr">
        <is>
          <t>S01</t>
        </is>
      </c>
      <c r="D378" t="inlineStr">
        <is>
          <t>P201</t>
        </is>
      </c>
      <c r="E378" t="n">
        <v>1</v>
      </c>
      <c r="F378" t="n">
        <v>149</v>
      </c>
      <c r="G378" t="n">
        <v>0</v>
      </c>
      <c r="H378">
        <f>E378*F378*(1-G378)</f>
        <v/>
      </c>
      <c r="I378">
        <f>XLOOKUP(D378,Products!$A$2:$A$15,Products!$B$2:$B$15,"Not found")</f>
        <v/>
      </c>
    </row>
    <row r="379">
      <c r="A379" t="n">
        <v>104698</v>
      </c>
      <c r="B379" s="1" t="n">
        <v>45682</v>
      </c>
      <c r="C379" t="inlineStr">
        <is>
          <t>S01</t>
        </is>
      </c>
      <c r="D379" t="inlineStr">
        <is>
          <t>P303</t>
        </is>
      </c>
      <c r="E379" t="n">
        <v>3</v>
      </c>
      <c r="F379" t="n">
        <v>12</v>
      </c>
      <c r="G379" t="n">
        <v>0</v>
      </c>
      <c r="H379">
        <f>E379*F379*(1-G379)</f>
        <v/>
      </c>
      <c r="I379">
        <f>XLOOKUP(D379,Products!$A$2:$A$15,Products!$B$2:$B$15,"Not found")</f>
        <v/>
      </c>
    </row>
    <row r="380">
      <c r="A380" t="n">
        <v>104699</v>
      </c>
      <c r="B380" s="1" t="n">
        <v>45682</v>
      </c>
      <c r="C380" t="inlineStr">
        <is>
          <t>S01</t>
        </is>
      </c>
      <c r="D380" t="inlineStr">
        <is>
          <t>P102</t>
        </is>
      </c>
      <c r="E380" t="n">
        <v>3</v>
      </c>
      <c r="F380" t="n">
        <v>14.5</v>
      </c>
      <c r="G380" t="n">
        <v>0</v>
      </c>
      <c r="H380">
        <f>E380*F380*(1-G380)</f>
        <v/>
      </c>
      <c r="I380">
        <f>XLOOKUP(D380,Products!$A$2:$A$15,Products!$B$2:$B$15,"Not found")</f>
        <v/>
      </c>
    </row>
    <row r="381">
      <c r="A381" t="n">
        <v>104700</v>
      </c>
      <c r="B381" s="1" t="n">
        <v>45682</v>
      </c>
      <c r="C381" t="inlineStr">
        <is>
          <t>S01</t>
        </is>
      </c>
      <c r="D381" t="inlineStr">
        <is>
          <t>P401</t>
        </is>
      </c>
      <c r="E381" t="n">
        <v>1</v>
      </c>
      <c r="F381" t="n">
        <v>549</v>
      </c>
      <c r="G381" t="n">
        <v>0.2</v>
      </c>
      <c r="H381">
        <f>E381*F381*(1-G381)</f>
        <v/>
      </c>
      <c r="I381">
        <f>XLOOKUP(D381,Products!$A$2:$A$15,Products!$B$2:$B$15,"Not found")</f>
        <v/>
      </c>
    </row>
    <row r="382">
      <c r="A382" t="n">
        <v>104701</v>
      </c>
      <c r="B382" s="1" t="n">
        <v>45682</v>
      </c>
      <c r="C382" t="inlineStr">
        <is>
          <t>S02</t>
        </is>
      </c>
      <c r="D382" t="inlineStr">
        <is>
          <t>P101</t>
        </is>
      </c>
      <c r="E382" t="n">
        <v>2</v>
      </c>
      <c r="F382" t="n">
        <v>39</v>
      </c>
      <c r="G382" t="n">
        <v>0</v>
      </c>
      <c r="H382">
        <f>E382*F382*(1-G382)</f>
        <v/>
      </c>
      <c r="I382">
        <f>XLOOKUP(D382,Products!$A$2:$A$15,Products!$B$2:$B$15,"Not found")</f>
        <v/>
      </c>
    </row>
    <row r="383">
      <c r="A383" t="n">
        <v>104702</v>
      </c>
      <c r="B383" s="1" t="n">
        <v>45682</v>
      </c>
      <c r="C383" t="inlineStr">
        <is>
          <t>S02</t>
        </is>
      </c>
      <c r="D383" t="inlineStr">
        <is>
          <t>P103</t>
        </is>
      </c>
      <c r="E383" t="n">
        <v>2</v>
      </c>
      <c r="F383" t="n">
        <v>29</v>
      </c>
      <c r="G383" t="n">
        <v>0.1</v>
      </c>
      <c r="H383">
        <f>E383*F383*(1-G383)</f>
        <v/>
      </c>
      <c r="I383">
        <f>XLOOKUP(D383,Products!$A$2:$A$15,Products!$B$2:$B$15,"Not found")</f>
        <v/>
      </c>
    </row>
    <row r="384">
      <c r="A384" t="n">
        <v>104703</v>
      </c>
      <c r="B384" s="1" t="n">
        <v>45682</v>
      </c>
      <c r="C384" t="inlineStr">
        <is>
          <t>S02</t>
        </is>
      </c>
      <c r="D384" t="inlineStr">
        <is>
          <t>P201</t>
        </is>
      </c>
      <c r="E384" t="n">
        <v>1</v>
      </c>
      <c r="F384" t="n">
        <v>149</v>
      </c>
      <c r="G384" t="n">
        <v>0</v>
      </c>
      <c r="H384">
        <f>E384*F384*(1-G384)</f>
        <v/>
      </c>
      <c r="I384">
        <f>XLOOKUP(D384,Products!$A$2:$A$15,Products!$B$2:$B$15,"Not found")</f>
        <v/>
      </c>
    </row>
    <row r="385">
      <c r="A385" t="n">
        <v>104704</v>
      </c>
      <c r="B385" s="1" t="n">
        <v>45682</v>
      </c>
      <c r="C385" t="inlineStr">
        <is>
          <t>S02</t>
        </is>
      </c>
      <c r="D385" t="inlineStr">
        <is>
          <t>P102</t>
        </is>
      </c>
      <c r="E385" t="n">
        <v>1</v>
      </c>
      <c r="F385" t="n">
        <v>14.5</v>
      </c>
      <c r="G385" t="n">
        <v>0</v>
      </c>
      <c r="H385">
        <f>E385*F385*(1-G385)</f>
        <v/>
      </c>
      <c r="I385">
        <f>XLOOKUP(D385,Products!$A$2:$A$15,Products!$B$2:$B$15,"Not found")</f>
        <v/>
      </c>
    </row>
    <row r="386">
      <c r="A386" t="n">
        <v>104705</v>
      </c>
      <c r="B386" s="1" t="n">
        <v>45682</v>
      </c>
      <c r="C386" t="inlineStr">
        <is>
          <t>S03</t>
        </is>
      </c>
      <c r="D386" t="inlineStr">
        <is>
          <t>P303</t>
        </is>
      </c>
      <c r="E386" t="n">
        <v>1</v>
      </c>
      <c r="F386" t="n">
        <v>12</v>
      </c>
      <c r="G386" t="n">
        <v>0</v>
      </c>
      <c r="H386">
        <f>E386*F386*(1-G386)</f>
        <v/>
      </c>
      <c r="I386">
        <f>XLOOKUP(D386,Products!$A$2:$A$15,Products!$B$2:$B$15,"Not found")</f>
        <v/>
      </c>
    </row>
    <row r="387">
      <c r="A387" t="n">
        <v>104706</v>
      </c>
      <c r="B387" s="1" t="n">
        <v>45682</v>
      </c>
      <c r="C387" t="inlineStr">
        <is>
          <t>S04</t>
        </is>
      </c>
      <c r="D387" t="inlineStr">
        <is>
          <t>P303</t>
        </is>
      </c>
      <c r="E387" t="n">
        <v>4</v>
      </c>
      <c r="F387" t="n">
        <v>12</v>
      </c>
      <c r="G387" t="n">
        <v>0</v>
      </c>
      <c r="H387">
        <f>E387*F387*(1-G387)</f>
        <v/>
      </c>
      <c r="I387">
        <f>XLOOKUP(D387,Products!$A$2:$A$15,Products!$B$2:$B$15,"Not found")</f>
        <v/>
      </c>
    </row>
    <row r="388">
      <c r="A388" t="n">
        <v>104707</v>
      </c>
      <c r="B388" s="1" t="n">
        <v>45682</v>
      </c>
      <c r="C388" t="inlineStr">
        <is>
          <t>S04</t>
        </is>
      </c>
      <c r="D388" t="inlineStr">
        <is>
          <t>P203</t>
        </is>
      </c>
      <c r="E388" t="n">
        <v>4</v>
      </c>
      <c r="F388" t="n">
        <v>19.5</v>
      </c>
      <c r="G388" t="n">
        <v>0</v>
      </c>
      <c r="H388">
        <f>E388*F388*(1-G388)</f>
        <v/>
      </c>
      <c r="I388">
        <f>XLOOKUP(D388,Products!$A$2:$A$15,Products!$B$2:$B$15,"Not found")</f>
        <v/>
      </c>
    </row>
    <row r="389">
      <c r="A389" t="n">
        <v>104708</v>
      </c>
      <c r="B389" s="1" t="n">
        <v>45682</v>
      </c>
      <c r="C389" t="inlineStr">
        <is>
          <t>S04</t>
        </is>
      </c>
      <c r="D389" t="inlineStr">
        <is>
          <t>P301</t>
        </is>
      </c>
      <c r="E389" t="n">
        <v>1</v>
      </c>
      <c r="F389" t="n">
        <v>119</v>
      </c>
      <c r="G389" t="n">
        <v>0</v>
      </c>
      <c r="H389">
        <f>E389*F389*(1-G389)</f>
        <v/>
      </c>
      <c r="I389">
        <f>XLOOKUP(D389,Products!$A$2:$A$15,Products!$B$2:$B$15,"Not found")</f>
        <v/>
      </c>
    </row>
    <row r="390">
      <c r="A390" t="n">
        <v>104709</v>
      </c>
      <c r="B390" s="1" t="n">
        <v>45682</v>
      </c>
      <c r="C390" t="inlineStr">
        <is>
          <t>S04</t>
        </is>
      </c>
      <c r="D390" t="inlineStr">
        <is>
          <t>P302</t>
        </is>
      </c>
      <c r="E390" t="n">
        <v>1</v>
      </c>
      <c r="F390" t="n">
        <v>24</v>
      </c>
      <c r="G390" t="n">
        <v>0</v>
      </c>
      <c r="H390">
        <f>E390*F390*(1-G390)</f>
        <v/>
      </c>
      <c r="I390">
        <f>XLOOKUP(D390,Products!$A$2:$A$15,Products!$B$2:$B$15,"Not found")</f>
        <v/>
      </c>
    </row>
    <row r="391">
      <c r="A391" t="n">
        <v>104710</v>
      </c>
      <c r="B391" s="1" t="n">
        <v>45682</v>
      </c>
      <c r="C391" t="inlineStr">
        <is>
          <t>S04</t>
        </is>
      </c>
      <c r="D391" t="inlineStr">
        <is>
          <t>P403</t>
        </is>
      </c>
      <c r="E391" t="n">
        <v>1</v>
      </c>
      <c r="F391" t="n">
        <v>89</v>
      </c>
      <c r="G391" t="n">
        <v>0</v>
      </c>
      <c r="H391">
        <f>E391*F391*(1-G391)</f>
        <v/>
      </c>
      <c r="I391">
        <f>XLOOKUP(D391,Products!$A$2:$A$15,Products!$B$2:$B$15,"Not found")</f>
        <v/>
      </c>
    </row>
    <row r="392">
      <c r="A392" t="n">
        <v>104711</v>
      </c>
      <c r="B392" s="1" t="n">
        <v>45682</v>
      </c>
      <c r="C392" t="inlineStr">
        <is>
          <t>S05</t>
        </is>
      </c>
      <c r="D392" t="inlineStr">
        <is>
          <t>P201</t>
        </is>
      </c>
      <c r="E392" t="n">
        <v>1</v>
      </c>
      <c r="F392" t="n">
        <v>149</v>
      </c>
      <c r="G392" t="n">
        <v>0.2</v>
      </c>
      <c r="H392">
        <f>E392*F392*(1-G392)</f>
        <v/>
      </c>
      <c r="I392">
        <f>XLOOKUP(D392,Products!$A$2:$A$15,Products!$B$2:$B$15,"Not found")</f>
        <v/>
      </c>
    </row>
    <row r="393">
      <c r="A393" t="n">
        <v>104712</v>
      </c>
      <c r="B393" s="1" t="n">
        <v>45682</v>
      </c>
      <c r="C393" t="inlineStr">
        <is>
          <t>S05</t>
        </is>
      </c>
      <c r="D393" t="inlineStr">
        <is>
          <t>P104</t>
        </is>
      </c>
      <c r="E393" t="n">
        <v>1</v>
      </c>
      <c r="F393" t="n">
        <v>189</v>
      </c>
      <c r="G393" t="n">
        <v>0.1</v>
      </c>
      <c r="H393">
        <f>E393*F393*(1-G393)</f>
        <v/>
      </c>
      <c r="I393">
        <f>XLOOKUP(D393,Products!$A$2:$A$15,Products!$B$2:$B$15,"Not found")</f>
        <v/>
      </c>
    </row>
    <row r="394">
      <c r="A394" t="n">
        <v>104713</v>
      </c>
      <c r="B394" s="1" t="n">
        <v>45682</v>
      </c>
      <c r="C394" t="inlineStr">
        <is>
          <t>S05</t>
        </is>
      </c>
      <c r="D394" t="inlineStr">
        <is>
          <t>P201</t>
        </is>
      </c>
      <c r="E394" t="n">
        <v>1</v>
      </c>
      <c r="F394" t="n">
        <v>149</v>
      </c>
      <c r="G394" t="n">
        <v>0</v>
      </c>
      <c r="H394">
        <f>E394*F394*(1-G394)</f>
        <v/>
      </c>
      <c r="I394">
        <f>XLOOKUP(D394,Products!$A$2:$A$15,Products!$B$2:$B$15,"Not found")</f>
        <v/>
      </c>
    </row>
    <row r="395">
      <c r="A395" t="n">
        <v>104714</v>
      </c>
      <c r="B395" s="1" t="n">
        <v>45682</v>
      </c>
      <c r="C395" t="inlineStr">
        <is>
          <t>S06</t>
        </is>
      </c>
      <c r="D395" t="inlineStr">
        <is>
          <t>P203</t>
        </is>
      </c>
      <c r="E395" t="n">
        <v>1</v>
      </c>
      <c r="F395" t="n">
        <v>19.5</v>
      </c>
      <c r="G395" t="n">
        <v>0</v>
      </c>
      <c r="H395">
        <f>E395*F395*(1-G395)</f>
        <v/>
      </c>
      <c r="I395">
        <f>XLOOKUP(D395,Products!$A$2:$A$15,Products!$B$2:$B$15,"Not found")</f>
        <v/>
      </c>
    </row>
    <row r="396">
      <c r="A396" t="n">
        <v>104715</v>
      </c>
      <c r="B396" s="1" t="n">
        <v>45682</v>
      </c>
      <c r="C396" t="inlineStr">
        <is>
          <t>S06</t>
        </is>
      </c>
      <c r="D396" t="inlineStr">
        <is>
          <t>P203</t>
        </is>
      </c>
      <c r="E396" t="n">
        <v>2</v>
      </c>
      <c r="F396" t="n">
        <v>19.5</v>
      </c>
      <c r="G396" t="n">
        <v>0</v>
      </c>
      <c r="H396">
        <f>E396*F396*(1-G396)</f>
        <v/>
      </c>
      <c r="I396">
        <f>XLOOKUP(D396,Products!$A$2:$A$15,Products!$B$2:$B$15,"Not found")</f>
        <v/>
      </c>
    </row>
    <row r="397">
      <c r="A397" t="n">
        <v>104716</v>
      </c>
      <c r="B397" s="1" t="n">
        <v>45682</v>
      </c>
      <c r="C397" t="inlineStr">
        <is>
          <t>S06</t>
        </is>
      </c>
      <c r="D397" t="inlineStr">
        <is>
          <t>P303</t>
        </is>
      </c>
      <c r="E397" t="n">
        <v>2</v>
      </c>
      <c r="F397" t="n">
        <v>12</v>
      </c>
      <c r="G397" t="n">
        <v>0.15</v>
      </c>
      <c r="H397">
        <f>E397*F397*(1-G397)</f>
        <v/>
      </c>
      <c r="I397">
        <f>XLOOKUP(D397,Products!$A$2:$A$15,Products!$B$2:$B$15,"Not found")</f>
        <v/>
      </c>
    </row>
    <row r="398">
      <c r="A398" t="n">
        <v>104717</v>
      </c>
      <c r="B398" s="1" t="n">
        <v>45683</v>
      </c>
      <c r="C398" t="inlineStr">
        <is>
          <t>S01</t>
        </is>
      </c>
      <c r="D398" t="inlineStr">
        <is>
          <t>P201</t>
        </is>
      </c>
      <c r="E398" t="n">
        <v>1</v>
      </c>
      <c r="F398" t="n">
        <v>149</v>
      </c>
      <c r="G398" t="n">
        <v>0.15</v>
      </c>
      <c r="H398">
        <f>E398*F398*(1-G398)</f>
        <v/>
      </c>
      <c r="I398">
        <f>XLOOKUP(D398,Products!$A$2:$A$15,Products!$B$2:$B$15,"Not found")</f>
        <v/>
      </c>
    </row>
    <row r="399">
      <c r="A399" t="n">
        <v>104718</v>
      </c>
      <c r="B399" s="1" t="n">
        <v>45683</v>
      </c>
      <c r="C399" t="inlineStr">
        <is>
          <t>S01</t>
        </is>
      </c>
      <c r="D399" t="inlineStr">
        <is>
          <t>P102</t>
        </is>
      </c>
      <c r="E399" t="n">
        <v>4</v>
      </c>
      <c r="F399" t="n">
        <v>14.5</v>
      </c>
      <c r="G399" t="n">
        <v>0</v>
      </c>
      <c r="H399">
        <f>E399*F399*(1-G399)</f>
        <v/>
      </c>
      <c r="I399">
        <f>XLOOKUP(D399,Products!$A$2:$A$15,Products!$B$2:$B$15,"Not found")</f>
        <v/>
      </c>
    </row>
    <row r="400">
      <c r="A400" t="n">
        <v>104719</v>
      </c>
      <c r="B400" s="1" t="n">
        <v>45683</v>
      </c>
      <c r="C400" t="inlineStr">
        <is>
          <t>S01</t>
        </is>
      </c>
      <c r="D400" t="inlineStr">
        <is>
          <t>P303</t>
        </is>
      </c>
      <c r="E400" t="n">
        <v>1</v>
      </c>
      <c r="F400" t="n">
        <v>12</v>
      </c>
      <c r="G400" t="n">
        <v>0</v>
      </c>
      <c r="H400">
        <f>E400*F400*(1-G400)</f>
        <v/>
      </c>
      <c r="I400">
        <f>XLOOKUP(D400,Products!$A$2:$A$15,Products!$B$2:$B$15,"Not found")</f>
        <v/>
      </c>
    </row>
    <row r="401">
      <c r="A401" t="n">
        <v>104720</v>
      </c>
      <c r="B401" s="1" t="n">
        <v>45683</v>
      </c>
      <c r="C401" t="inlineStr">
        <is>
          <t>S01</t>
        </is>
      </c>
      <c r="D401" t="inlineStr">
        <is>
          <t>P303</t>
        </is>
      </c>
      <c r="E401" t="n">
        <v>1</v>
      </c>
      <c r="F401" t="n">
        <v>12</v>
      </c>
      <c r="G401" t="n">
        <v>0</v>
      </c>
      <c r="H401">
        <f>E401*F401*(1-G401)</f>
        <v/>
      </c>
      <c r="I401">
        <f>XLOOKUP(D401,Products!$A$2:$A$15,Products!$B$2:$B$15,"Not found")</f>
        <v/>
      </c>
    </row>
    <row r="402">
      <c r="A402" t="n">
        <v>104721</v>
      </c>
      <c r="B402" s="1" t="n">
        <v>45683</v>
      </c>
      <c r="C402" t="inlineStr">
        <is>
          <t>S01</t>
        </is>
      </c>
      <c r="D402" t="inlineStr">
        <is>
          <t>P303</t>
        </is>
      </c>
      <c r="E402" t="n">
        <v>2</v>
      </c>
      <c r="F402" t="n">
        <v>12</v>
      </c>
      <c r="G402" t="n">
        <v>0.1</v>
      </c>
      <c r="H402">
        <f>E402*F402*(1-G402)</f>
        <v/>
      </c>
      <c r="I402">
        <f>XLOOKUP(D402,Products!$A$2:$A$15,Products!$B$2:$B$15,"Not found")</f>
        <v/>
      </c>
    </row>
    <row r="403">
      <c r="A403" t="n">
        <v>104722</v>
      </c>
      <c r="B403" s="1" t="n">
        <v>45683</v>
      </c>
      <c r="C403" t="inlineStr">
        <is>
          <t>S01</t>
        </is>
      </c>
      <c r="D403" t="inlineStr">
        <is>
          <t>P104</t>
        </is>
      </c>
      <c r="E403" t="n">
        <v>1</v>
      </c>
      <c r="F403" t="n">
        <v>189</v>
      </c>
      <c r="G403" t="n">
        <v>0.1</v>
      </c>
      <c r="H403">
        <f>E403*F403*(1-G403)</f>
        <v/>
      </c>
      <c r="I403">
        <f>XLOOKUP(D403,Products!$A$2:$A$15,Products!$B$2:$B$15,"Not found")</f>
        <v/>
      </c>
    </row>
    <row r="404">
      <c r="A404" t="n">
        <v>104723</v>
      </c>
      <c r="B404" s="1" t="n">
        <v>45683</v>
      </c>
      <c r="C404" t="inlineStr">
        <is>
          <t>S01</t>
        </is>
      </c>
      <c r="D404" t="inlineStr">
        <is>
          <t>P301</t>
        </is>
      </c>
      <c r="E404" t="n">
        <v>1</v>
      </c>
      <c r="F404" t="n">
        <v>119</v>
      </c>
      <c r="G404" t="n">
        <v>0</v>
      </c>
      <c r="H404">
        <f>E404*F404*(1-G404)</f>
        <v/>
      </c>
      <c r="I404">
        <f>XLOOKUP(D404,Products!$A$2:$A$15,Products!$B$2:$B$15,"Not found")</f>
        <v/>
      </c>
    </row>
    <row r="405">
      <c r="A405" t="n">
        <v>104724</v>
      </c>
      <c r="B405" s="1" t="n">
        <v>45683</v>
      </c>
      <c r="C405" t="inlineStr">
        <is>
          <t>S02</t>
        </is>
      </c>
      <c r="D405" t="inlineStr">
        <is>
          <t>P204</t>
        </is>
      </c>
      <c r="E405" t="n">
        <v>1</v>
      </c>
      <c r="F405" t="n">
        <v>229</v>
      </c>
      <c r="G405" t="n">
        <v>0.2</v>
      </c>
      <c r="H405">
        <f>E405*F405*(1-G405)</f>
        <v/>
      </c>
      <c r="I405">
        <f>XLOOKUP(D405,Products!$A$2:$A$15,Products!$B$2:$B$15,"Not found")</f>
        <v/>
      </c>
    </row>
    <row r="406">
      <c r="A406" t="n">
        <v>104725</v>
      </c>
      <c r="B406" s="1" t="n">
        <v>45683</v>
      </c>
      <c r="C406" t="inlineStr">
        <is>
          <t>S02</t>
        </is>
      </c>
      <c r="D406" t="inlineStr">
        <is>
          <t>P301</t>
        </is>
      </c>
      <c r="E406" t="n">
        <v>1</v>
      </c>
      <c r="F406" t="n">
        <v>119</v>
      </c>
      <c r="G406" t="n">
        <v>0.2</v>
      </c>
      <c r="H406">
        <f>E406*F406*(1-G406)</f>
        <v/>
      </c>
      <c r="I406">
        <f>XLOOKUP(D406,Products!$A$2:$A$15,Products!$B$2:$B$15,"Not found")</f>
        <v/>
      </c>
    </row>
    <row r="407">
      <c r="A407" t="n">
        <v>104726</v>
      </c>
      <c r="B407" s="1" t="n">
        <v>45683</v>
      </c>
      <c r="C407" t="inlineStr">
        <is>
          <t>S02</t>
        </is>
      </c>
      <c r="D407" t="inlineStr">
        <is>
          <t>P301</t>
        </is>
      </c>
      <c r="E407" t="n">
        <v>1</v>
      </c>
      <c r="F407" t="n">
        <v>119</v>
      </c>
      <c r="G407" t="n">
        <v>0</v>
      </c>
      <c r="H407">
        <f>E407*F407*(1-G407)</f>
        <v/>
      </c>
      <c r="I407">
        <f>XLOOKUP(D407,Products!$A$2:$A$15,Products!$B$2:$B$15,"Not found")</f>
        <v/>
      </c>
    </row>
    <row r="408">
      <c r="A408" t="n">
        <v>104727</v>
      </c>
      <c r="B408" s="1" t="n">
        <v>45683</v>
      </c>
      <c r="C408" t="inlineStr">
        <is>
          <t>S03</t>
        </is>
      </c>
      <c r="D408" t="inlineStr">
        <is>
          <t>P202</t>
        </is>
      </c>
      <c r="E408" t="n">
        <v>2</v>
      </c>
      <c r="F408" t="n">
        <v>79</v>
      </c>
      <c r="G408" t="n">
        <v>0</v>
      </c>
      <c r="H408">
        <f>E408*F408*(1-G408)</f>
        <v/>
      </c>
      <c r="I408">
        <f>XLOOKUP(D408,Products!$A$2:$A$15,Products!$B$2:$B$15,"Not found")</f>
        <v/>
      </c>
    </row>
    <row r="409">
      <c r="A409" t="n">
        <v>104728</v>
      </c>
      <c r="B409" s="1" t="n">
        <v>45683</v>
      </c>
      <c r="C409" t="inlineStr">
        <is>
          <t>S04</t>
        </is>
      </c>
      <c r="D409" t="inlineStr">
        <is>
          <t>P102</t>
        </is>
      </c>
      <c r="E409" t="n">
        <v>1</v>
      </c>
      <c r="F409" t="n">
        <v>14.5</v>
      </c>
      <c r="G409" t="n">
        <v>0</v>
      </c>
      <c r="H409">
        <f>E409*F409*(1-G409)</f>
        <v/>
      </c>
      <c r="I409">
        <f>XLOOKUP(D409,Products!$A$2:$A$15,Products!$B$2:$B$15,"Not found")</f>
        <v/>
      </c>
    </row>
    <row r="410">
      <c r="A410" t="n">
        <v>104729</v>
      </c>
      <c r="B410" s="1" t="n">
        <v>45683</v>
      </c>
      <c r="C410" t="inlineStr">
        <is>
          <t>S04</t>
        </is>
      </c>
      <c r="D410" t="inlineStr">
        <is>
          <t>P302</t>
        </is>
      </c>
      <c r="E410" t="n">
        <v>2</v>
      </c>
      <c r="F410" t="n">
        <v>24</v>
      </c>
      <c r="G410" t="n">
        <v>0.1</v>
      </c>
      <c r="H410">
        <f>E410*F410*(1-G410)</f>
        <v/>
      </c>
      <c r="I410">
        <f>XLOOKUP(D410,Products!$A$2:$A$15,Products!$B$2:$B$15,"Not found")</f>
        <v/>
      </c>
    </row>
    <row r="411">
      <c r="A411" t="n">
        <v>104730</v>
      </c>
      <c r="B411" s="1" t="n">
        <v>45683</v>
      </c>
      <c r="C411" t="inlineStr">
        <is>
          <t>S04</t>
        </is>
      </c>
      <c r="D411" t="inlineStr">
        <is>
          <t>P102</t>
        </is>
      </c>
      <c r="E411" t="n">
        <v>1</v>
      </c>
      <c r="F411" t="n">
        <v>14.5</v>
      </c>
      <c r="G411" t="n">
        <v>0</v>
      </c>
      <c r="H411">
        <f>E411*F411*(1-G411)</f>
        <v/>
      </c>
      <c r="I411">
        <f>XLOOKUP(D411,Products!$A$2:$A$15,Products!$B$2:$B$15,"Not found")</f>
        <v/>
      </c>
    </row>
    <row r="412">
      <c r="A412" t="n">
        <v>104731</v>
      </c>
      <c r="B412" s="1" t="n">
        <v>45683</v>
      </c>
      <c r="C412" t="inlineStr">
        <is>
          <t>S05</t>
        </is>
      </c>
      <c r="D412" t="inlineStr">
        <is>
          <t>P301</t>
        </is>
      </c>
      <c r="E412" t="n">
        <v>1</v>
      </c>
      <c r="F412" t="n">
        <v>119</v>
      </c>
      <c r="G412" t="n">
        <v>0</v>
      </c>
      <c r="H412">
        <f>E412*F412*(1-G412)</f>
        <v/>
      </c>
      <c r="I412">
        <f>XLOOKUP(D412,Products!$A$2:$A$15,Products!$B$2:$B$15,"Not found")</f>
        <v/>
      </c>
    </row>
    <row r="413">
      <c r="A413" t="n">
        <v>104732</v>
      </c>
      <c r="B413" s="1" t="n">
        <v>45683</v>
      </c>
      <c r="C413" t="inlineStr">
        <is>
          <t>S06</t>
        </is>
      </c>
      <c r="D413" t="inlineStr">
        <is>
          <t>P202</t>
        </is>
      </c>
      <c r="E413" t="n">
        <v>1</v>
      </c>
      <c r="F413" t="n">
        <v>79</v>
      </c>
      <c r="G413" t="n">
        <v>0</v>
      </c>
      <c r="H413">
        <f>E413*F413*(1-G413)</f>
        <v/>
      </c>
      <c r="I413">
        <f>XLOOKUP(D413,Products!$A$2:$A$15,Products!$B$2:$B$15,"Not found")</f>
        <v/>
      </c>
    </row>
    <row r="414">
      <c r="A414" t="n">
        <v>104733</v>
      </c>
      <c r="B414" s="1" t="n">
        <v>45683</v>
      </c>
      <c r="C414" t="inlineStr">
        <is>
          <t>S06</t>
        </is>
      </c>
      <c r="D414" t="inlineStr">
        <is>
          <t>P202</t>
        </is>
      </c>
      <c r="E414" t="n">
        <v>1</v>
      </c>
      <c r="F414" t="n">
        <v>79</v>
      </c>
      <c r="G414" t="n">
        <v>0</v>
      </c>
      <c r="H414">
        <f>E414*F414*(1-G414)</f>
        <v/>
      </c>
      <c r="I414">
        <f>XLOOKUP(D414,Products!$A$2:$A$15,Products!$B$2:$B$15,"Not found")</f>
        <v/>
      </c>
    </row>
    <row r="415">
      <c r="A415" t="n">
        <v>104734</v>
      </c>
      <c r="B415" s="1" t="n">
        <v>45684</v>
      </c>
      <c r="C415" t="inlineStr">
        <is>
          <t>S01</t>
        </is>
      </c>
      <c r="D415" t="inlineStr">
        <is>
          <t>P302</t>
        </is>
      </c>
      <c r="E415" t="n">
        <v>2</v>
      </c>
      <c r="F415" t="n">
        <v>24</v>
      </c>
      <c r="G415" t="n">
        <v>0</v>
      </c>
      <c r="H415">
        <f>E415*F415*(1-G415)</f>
        <v/>
      </c>
      <c r="I415">
        <f>XLOOKUP(D415,Products!$A$2:$A$15,Products!$B$2:$B$15,"Not found")</f>
        <v/>
      </c>
    </row>
    <row r="416">
      <c r="A416" t="n">
        <v>104735</v>
      </c>
      <c r="B416" s="1" t="n">
        <v>45684</v>
      </c>
      <c r="C416" t="inlineStr">
        <is>
          <t>S01</t>
        </is>
      </c>
      <c r="D416" t="inlineStr">
        <is>
          <t>P103</t>
        </is>
      </c>
      <c r="E416" t="n">
        <v>3</v>
      </c>
      <c r="F416" t="n">
        <v>29</v>
      </c>
      <c r="G416" t="n">
        <v>0</v>
      </c>
      <c r="H416">
        <f>E416*F416*(1-G416)</f>
        <v/>
      </c>
      <c r="I416">
        <f>XLOOKUP(D416,Products!$A$2:$A$15,Products!$B$2:$B$15,"Not found")</f>
        <v/>
      </c>
    </row>
    <row r="417">
      <c r="A417" t="n">
        <v>104736</v>
      </c>
      <c r="B417" s="1" t="n">
        <v>45684</v>
      </c>
      <c r="C417" t="inlineStr">
        <is>
          <t>S01</t>
        </is>
      </c>
      <c r="D417" t="inlineStr">
        <is>
          <t>P201</t>
        </is>
      </c>
      <c r="E417" t="n">
        <v>1</v>
      </c>
      <c r="F417" t="n">
        <v>149</v>
      </c>
      <c r="G417" t="n">
        <v>0</v>
      </c>
      <c r="H417">
        <f>E417*F417*(1-G417)</f>
        <v/>
      </c>
      <c r="I417">
        <f>XLOOKUP(D417,Products!$A$2:$A$15,Products!$B$2:$B$15,"Not found")</f>
        <v/>
      </c>
    </row>
    <row r="418">
      <c r="A418" t="n">
        <v>104737</v>
      </c>
      <c r="B418" s="1" t="n">
        <v>45684</v>
      </c>
      <c r="C418" t="inlineStr">
        <is>
          <t>S01</t>
        </is>
      </c>
      <c r="D418" t="inlineStr">
        <is>
          <t>P101</t>
        </is>
      </c>
      <c r="E418" t="n">
        <v>3</v>
      </c>
      <c r="F418" t="n">
        <v>39</v>
      </c>
      <c r="G418" t="n">
        <v>0</v>
      </c>
      <c r="H418">
        <f>E418*F418*(1-G418)</f>
        <v/>
      </c>
      <c r="I418">
        <f>XLOOKUP(D418,Products!$A$2:$A$15,Products!$B$2:$B$15,"Not found")</f>
        <v/>
      </c>
    </row>
    <row r="419">
      <c r="A419" t="n">
        <v>104738</v>
      </c>
      <c r="B419" s="1" t="n">
        <v>45684</v>
      </c>
      <c r="C419" t="inlineStr">
        <is>
          <t>S03</t>
        </is>
      </c>
      <c r="D419" t="inlineStr">
        <is>
          <t>P301</t>
        </is>
      </c>
      <c r="E419" t="n">
        <v>1</v>
      </c>
      <c r="F419" t="n">
        <v>119</v>
      </c>
      <c r="G419" t="n">
        <v>0</v>
      </c>
      <c r="H419">
        <f>E419*F419*(1-G419)</f>
        <v/>
      </c>
      <c r="I419">
        <f>XLOOKUP(D419,Products!$A$2:$A$15,Products!$B$2:$B$15,"Not found")</f>
        <v/>
      </c>
    </row>
    <row r="420">
      <c r="A420" t="n">
        <v>104739</v>
      </c>
      <c r="B420" s="1" t="n">
        <v>45684</v>
      </c>
      <c r="C420" t="inlineStr">
        <is>
          <t>S03</t>
        </is>
      </c>
      <c r="D420" t="inlineStr">
        <is>
          <t>P403</t>
        </is>
      </c>
      <c r="E420" t="n">
        <v>1</v>
      </c>
      <c r="F420" t="n">
        <v>89</v>
      </c>
      <c r="G420" t="n">
        <v>0</v>
      </c>
      <c r="H420">
        <f>E420*F420*(1-G420)</f>
        <v/>
      </c>
      <c r="I420">
        <f>XLOOKUP(D420,Products!$A$2:$A$15,Products!$B$2:$B$15,"Not found")</f>
        <v/>
      </c>
    </row>
    <row r="421">
      <c r="A421" t="n">
        <v>104740</v>
      </c>
      <c r="B421" s="1" t="n">
        <v>45684</v>
      </c>
      <c r="C421" t="inlineStr">
        <is>
          <t>S05</t>
        </is>
      </c>
      <c r="D421" t="inlineStr">
        <is>
          <t>P302</t>
        </is>
      </c>
      <c r="E421" t="n">
        <v>1</v>
      </c>
      <c r="F421" t="n">
        <v>24</v>
      </c>
      <c r="G421" t="n">
        <v>0</v>
      </c>
      <c r="H421">
        <f>E421*F421*(1-G421)</f>
        <v/>
      </c>
      <c r="I421">
        <f>XLOOKUP(D421,Products!$A$2:$A$15,Products!$B$2:$B$15,"Not found")</f>
        <v/>
      </c>
    </row>
    <row r="422">
      <c r="A422" t="n">
        <v>104741</v>
      </c>
      <c r="B422" s="1" t="n">
        <v>45684</v>
      </c>
      <c r="C422" t="inlineStr">
        <is>
          <t>S05</t>
        </is>
      </c>
      <c r="D422" t="inlineStr">
        <is>
          <t>P301</t>
        </is>
      </c>
      <c r="E422" t="n">
        <v>1</v>
      </c>
      <c r="F422" t="n">
        <v>119</v>
      </c>
      <c r="G422" t="n">
        <v>0.2</v>
      </c>
      <c r="H422">
        <f>E422*F422*(1-G422)</f>
        <v/>
      </c>
      <c r="I422">
        <f>XLOOKUP(D422,Products!$A$2:$A$15,Products!$B$2:$B$15,"Not found")</f>
        <v/>
      </c>
    </row>
    <row r="423">
      <c r="A423" t="n">
        <v>104742</v>
      </c>
      <c r="B423" s="1" t="n">
        <v>45684</v>
      </c>
      <c r="C423" t="inlineStr">
        <is>
          <t>S06</t>
        </is>
      </c>
      <c r="D423" t="inlineStr">
        <is>
          <t>P403</t>
        </is>
      </c>
      <c r="E423" t="n">
        <v>1</v>
      </c>
      <c r="F423" t="n">
        <v>89</v>
      </c>
      <c r="G423" t="n">
        <v>0.2</v>
      </c>
      <c r="H423">
        <f>E423*F423*(1-G423)</f>
        <v/>
      </c>
      <c r="I423">
        <f>XLOOKUP(D423,Products!$A$2:$A$15,Products!$B$2:$B$15,"Not found")</f>
        <v/>
      </c>
    </row>
    <row r="424">
      <c r="A424" t="n">
        <v>104743</v>
      </c>
      <c r="B424" s="1" t="n">
        <v>45684</v>
      </c>
      <c r="C424" t="inlineStr">
        <is>
          <t>S06</t>
        </is>
      </c>
      <c r="D424" t="inlineStr">
        <is>
          <t>P402</t>
        </is>
      </c>
      <c r="E424" t="n">
        <v>1</v>
      </c>
      <c r="F424" t="n">
        <v>699</v>
      </c>
      <c r="G424" t="n">
        <v>0</v>
      </c>
      <c r="H424">
        <f>E424*F424*(1-G424)</f>
        <v/>
      </c>
      <c r="I424">
        <f>XLOOKUP(D424,Products!$A$2:$A$15,Products!$B$2:$B$15,"Not found")</f>
        <v/>
      </c>
    </row>
    <row r="425">
      <c r="A425" t="n">
        <v>104744</v>
      </c>
      <c r="B425" s="1" t="n">
        <v>45685</v>
      </c>
      <c r="C425" t="inlineStr">
        <is>
          <t>S01</t>
        </is>
      </c>
      <c r="D425" t="inlineStr">
        <is>
          <t>P203</t>
        </is>
      </c>
      <c r="E425" t="n">
        <v>3</v>
      </c>
      <c r="F425" t="n">
        <v>19.5</v>
      </c>
      <c r="G425" t="n">
        <v>0</v>
      </c>
      <c r="H425">
        <f>E425*F425*(1-G425)</f>
        <v/>
      </c>
      <c r="I425">
        <f>XLOOKUP(D425,Products!$A$2:$A$15,Products!$B$2:$B$15,"Not found")</f>
        <v/>
      </c>
    </row>
    <row r="426">
      <c r="A426" t="n">
        <v>104745</v>
      </c>
      <c r="B426" s="1" t="n">
        <v>45685</v>
      </c>
      <c r="C426" t="inlineStr">
        <is>
          <t>S01</t>
        </is>
      </c>
      <c r="D426" t="inlineStr">
        <is>
          <t>P302</t>
        </is>
      </c>
      <c r="E426" t="n">
        <v>3</v>
      </c>
      <c r="F426" t="n">
        <v>24</v>
      </c>
      <c r="G426" t="n">
        <v>0.2</v>
      </c>
      <c r="H426">
        <f>E426*F426*(1-G426)</f>
        <v/>
      </c>
      <c r="I426">
        <f>XLOOKUP(D426,Products!$A$2:$A$15,Products!$B$2:$B$15,"Not found")</f>
        <v/>
      </c>
    </row>
    <row r="427">
      <c r="A427" t="n">
        <v>104746</v>
      </c>
      <c r="B427" s="1" t="n">
        <v>45685</v>
      </c>
      <c r="C427" t="inlineStr">
        <is>
          <t>S02</t>
        </is>
      </c>
      <c r="D427" t="inlineStr">
        <is>
          <t>P203</t>
        </is>
      </c>
      <c r="E427" t="n">
        <v>1</v>
      </c>
      <c r="F427" t="n">
        <v>19.5</v>
      </c>
      <c r="G427" t="n">
        <v>0</v>
      </c>
      <c r="H427">
        <f>E427*F427*(1-G427)</f>
        <v/>
      </c>
      <c r="I427">
        <f>XLOOKUP(D427,Products!$A$2:$A$15,Products!$B$2:$B$15,"Not found")</f>
        <v/>
      </c>
    </row>
    <row r="428">
      <c r="A428" t="n">
        <v>104747</v>
      </c>
      <c r="B428" s="1" t="n">
        <v>45685</v>
      </c>
      <c r="C428" t="inlineStr">
        <is>
          <t>S02</t>
        </is>
      </c>
      <c r="D428" t="inlineStr">
        <is>
          <t>P202</t>
        </is>
      </c>
      <c r="E428" t="n">
        <v>1</v>
      </c>
      <c r="F428" t="n">
        <v>79</v>
      </c>
      <c r="G428" t="n">
        <v>0.2</v>
      </c>
      <c r="H428">
        <f>E428*F428*(1-G428)</f>
        <v/>
      </c>
      <c r="I428">
        <f>XLOOKUP(D428,Products!$A$2:$A$15,Products!$B$2:$B$15,"Not found")</f>
        <v/>
      </c>
    </row>
    <row r="429">
      <c r="A429" t="n">
        <v>104748</v>
      </c>
      <c r="B429" s="1" t="n">
        <v>45685</v>
      </c>
      <c r="C429" t="inlineStr">
        <is>
          <t>S03</t>
        </is>
      </c>
      <c r="D429" t="inlineStr">
        <is>
          <t>P303</t>
        </is>
      </c>
      <c r="E429" t="n">
        <v>2</v>
      </c>
      <c r="F429" t="n">
        <v>12</v>
      </c>
      <c r="G429" t="n">
        <v>0.1</v>
      </c>
      <c r="H429">
        <f>E429*F429*(1-G429)</f>
        <v/>
      </c>
      <c r="I429">
        <f>XLOOKUP(D429,Products!$A$2:$A$15,Products!$B$2:$B$15,"Not found")</f>
        <v/>
      </c>
    </row>
    <row r="430">
      <c r="A430" t="n">
        <v>104749</v>
      </c>
      <c r="B430" s="1" t="n">
        <v>45685</v>
      </c>
      <c r="C430" t="inlineStr">
        <is>
          <t>S03</t>
        </is>
      </c>
      <c r="D430" t="inlineStr">
        <is>
          <t>P101</t>
        </is>
      </c>
      <c r="E430" t="n">
        <v>1</v>
      </c>
      <c r="F430" t="n">
        <v>39</v>
      </c>
      <c r="G430" t="n">
        <v>0.1</v>
      </c>
      <c r="H430">
        <f>E430*F430*(1-G430)</f>
        <v/>
      </c>
      <c r="I430">
        <f>XLOOKUP(D430,Products!$A$2:$A$15,Products!$B$2:$B$15,"Not found")</f>
        <v/>
      </c>
    </row>
    <row r="431">
      <c r="A431" t="n">
        <v>104750</v>
      </c>
      <c r="B431" s="1" t="n">
        <v>45685</v>
      </c>
      <c r="C431" t="inlineStr">
        <is>
          <t>S04</t>
        </is>
      </c>
      <c r="D431" t="inlineStr">
        <is>
          <t>P103</t>
        </is>
      </c>
      <c r="E431" t="n">
        <v>2</v>
      </c>
      <c r="F431" t="n">
        <v>29</v>
      </c>
      <c r="G431" t="n">
        <v>0.15</v>
      </c>
      <c r="H431">
        <f>E431*F431*(1-G431)</f>
        <v/>
      </c>
      <c r="I431">
        <f>XLOOKUP(D431,Products!$A$2:$A$15,Products!$B$2:$B$15,"Not found")</f>
        <v/>
      </c>
    </row>
    <row r="432">
      <c r="A432" t="n">
        <v>104751</v>
      </c>
      <c r="B432" s="1" t="n">
        <v>45685</v>
      </c>
      <c r="C432" t="inlineStr">
        <is>
          <t>S04</t>
        </is>
      </c>
      <c r="D432" t="inlineStr">
        <is>
          <t>P202</t>
        </is>
      </c>
      <c r="E432" t="n">
        <v>4</v>
      </c>
      <c r="F432" t="n">
        <v>79</v>
      </c>
      <c r="G432" t="n">
        <v>0.2</v>
      </c>
      <c r="H432">
        <f>E432*F432*(1-G432)</f>
        <v/>
      </c>
      <c r="I432">
        <f>XLOOKUP(D432,Products!$A$2:$A$15,Products!$B$2:$B$15,"Not found")</f>
        <v/>
      </c>
    </row>
    <row r="433">
      <c r="A433" t="n">
        <v>104752</v>
      </c>
      <c r="B433" s="1" t="n">
        <v>45685</v>
      </c>
      <c r="C433" t="inlineStr">
        <is>
          <t>S04</t>
        </is>
      </c>
      <c r="D433" t="inlineStr">
        <is>
          <t>P201</t>
        </is>
      </c>
      <c r="E433" t="n">
        <v>1</v>
      </c>
      <c r="F433" t="n">
        <v>149</v>
      </c>
      <c r="G433" t="n">
        <v>0</v>
      </c>
      <c r="H433">
        <f>E433*F433*(1-G433)</f>
        <v/>
      </c>
      <c r="I433">
        <f>XLOOKUP(D433,Products!$A$2:$A$15,Products!$B$2:$B$15,"Not found")</f>
        <v/>
      </c>
    </row>
    <row r="434">
      <c r="A434" t="n">
        <v>104753</v>
      </c>
      <c r="B434" s="1" t="n">
        <v>45685</v>
      </c>
      <c r="C434" t="inlineStr">
        <is>
          <t>S06</t>
        </is>
      </c>
      <c r="D434" t="inlineStr">
        <is>
          <t>P102</t>
        </is>
      </c>
      <c r="E434" t="n">
        <v>1</v>
      </c>
      <c r="F434" t="n">
        <v>14.5</v>
      </c>
      <c r="G434" t="n">
        <v>0.15</v>
      </c>
      <c r="H434">
        <f>E434*F434*(1-G434)</f>
        <v/>
      </c>
      <c r="I434">
        <f>XLOOKUP(D434,Products!$A$2:$A$15,Products!$B$2:$B$15,"Not found")</f>
        <v/>
      </c>
    </row>
    <row r="435">
      <c r="A435" t="n">
        <v>104754</v>
      </c>
      <c r="B435" s="1" t="n">
        <v>45686</v>
      </c>
      <c r="C435" t="inlineStr">
        <is>
          <t>S01</t>
        </is>
      </c>
      <c r="D435" t="inlineStr">
        <is>
          <t>P103</t>
        </is>
      </c>
      <c r="E435" t="n">
        <v>1</v>
      </c>
      <c r="F435" t="n">
        <v>29</v>
      </c>
      <c r="G435" t="n">
        <v>0.2</v>
      </c>
      <c r="H435">
        <f>E435*F435*(1-G435)</f>
        <v/>
      </c>
      <c r="I435">
        <f>XLOOKUP(D435,Products!$A$2:$A$15,Products!$B$2:$B$15,"Not found")</f>
        <v/>
      </c>
    </row>
    <row r="436">
      <c r="A436" t="n">
        <v>104755</v>
      </c>
      <c r="B436" s="1" t="n">
        <v>45686</v>
      </c>
      <c r="C436" t="inlineStr">
        <is>
          <t>S01</t>
        </is>
      </c>
      <c r="D436" t="inlineStr">
        <is>
          <t>P303</t>
        </is>
      </c>
      <c r="E436" t="n">
        <v>1</v>
      </c>
      <c r="F436" t="n">
        <v>12</v>
      </c>
      <c r="G436" t="n">
        <v>0.15</v>
      </c>
      <c r="H436">
        <f>E436*F436*(1-G436)</f>
        <v/>
      </c>
      <c r="I436">
        <f>XLOOKUP(D436,Products!$A$2:$A$15,Products!$B$2:$B$15,"Not found")</f>
        <v/>
      </c>
    </row>
    <row r="437">
      <c r="A437" t="n">
        <v>104756</v>
      </c>
      <c r="B437" s="1" t="n">
        <v>45686</v>
      </c>
      <c r="C437" t="inlineStr">
        <is>
          <t>S02</t>
        </is>
      </c>
      <c r="D437" t="inlineStr">
        <is>
          <t>P104</t>
        </is>
      </c>
      <c r="E437" t="n">
        <v>1</v>
      </c>
      <c r="F437" t="n">
        <v>189</v>
      </c>
      <c r="G437" t="n">
        <v>0</v>
      </c>
      <c r="H437">
        <f>E437*F437*(1-G437)</f>
        <v/>
      </c>
      <c r="I437">
        <f>XLOOKUP(D437,Products!$A$2:$A$15,Products!$B$2:$B$15,"Not found")</f>
        <v/>
      </c>
    </row>
    <row r="438">
      <c r="A438" t="n">
        <v>104757</v>
      </c>
      <c r="B438" s="1" t="n">
        <v>45686</v>
      </c>
      <c r="C438" t="inlineStr">
        <is>
          <t>S02</t>
        </is>
      </c>
      <c r="D438" t="inlineStr">
        <is>
          <t>P402</t>
        </is>
      </c>
      <c r="E438" t="n">
        <v>1</v>
      </c>
      <c r="F438" t="n">
        <v>699</v>
      </c>
      <c r="G438" t="n">
        <v>0</v>
      </c>
      <c r="H438">
        <f>E438*F438*(1-G438)</f>
        <v/>
      </c>
      <c r="I438">
        <f>XLOOKUP(D438,Products!$A$2:$A$15,Products!$B$2:$B$15,"Not found")</f>
        <v/>
      </c>
    </row>
    <row r="439">
      <c r="A439" t="n">
        <v>104758</v>
      </c>
      <c r="B439" s="1" t="n">
        <v>45686</v>
      </c>
      <c r="C439" t="inlineStr">
        <is>
          <t>S02</t>
        </is>
      </c>
      <c r="D439" t="inlineStr">
        <is>
          <t>P203</t>
        </is>
      </c>
      <c r="E439" t="n">
        <v>2</v>
      </c>
      <c r="F439" t="n">
        <v>19.5</v>
      </c>
      <c r="G439" t="n">
        <v>0.15</v>
      </c>
      <c r="H439">
        <f>E439*F439*(1-G439)</f>
        <v/>
      </c>
      <c r="I439">
        <f>XLOOKUP(D439,Products!$A$2:$A$15,Products!$B$2:$B$15,"Not found")</f>
        <v/>
      </c>
    </row>
    <row r="440">
      <c r="A440" t="n">
        <v>104759</v>
      </c>
      <c r="B440" s="1" t="n">
        <v>45686</v>
      </c>
      <c r="C440" t="inlineStr">
        <is>
          <t>S02</t>
        </is>
      </c>
      <c r="D440" t="inlineStr">
        <is>
          <t>P204</t>
        </is>
      </c>
      <c r="E440" t="n">
        <v>1</v>
      </c>
      <c r="F440" t="n">
        <v>229</v>
      </c>
      <c r="G440" t="n">
        <v>0</v>
      </c>
      <c r="H440">
        <f>E440*F440*(1-G440)</f>
        <v/>
      </c>
      <c r="I440">
        <f>XLOOKUP(D440,Products!$A$2:$A$15,Products!$B$2:$B$15,"Not found")</f>
        <v/>
      </c>
    </row>
    <row r="441">
      <c r="A441" t="n">
        <v>104760</v>
      </c>
      <c r="B441" s="1" t="n">
        <v>45686</v>
      </c>
      <c r="C441" t="inlineStr">
        <is>
          <t>S02</t>
        </is>
      </c>
      <c r="D441" t="inlineStr">
        <is>
          <t>P203</t>
        </is>
      </c>
      <c r="E441" t="n">
        <v>1</v>
      </c>
      <c r="F441" t="n">
        <v>19.5</v>
      </c>
      <c r="G441" t="n">
        <v>0.15</v>
      </c>
      <c r="H441">
        <f>E441*F441*(1-G441)</f>
        <v/>
      </c>
      <c r="I441">
        <f>XLOOKUP(D441,Products!$A$2:$A$15,Products!$B$2:$B$15,"Not found")</f>
        <v/>
      </c>
    </row>
    <row r="442">
      <c r="A442" t="n">
        <v>104761</v>
      </c>
      <c r="B442" s="1" t="n">
        <v>45686</v>
      </c>
      <c r="C442" t="inlineStr">
        <is>
          <t>S04</t>
        </is>
      </c>
      <c r="D442" t="inlineStr">
        <is>
          <t>P103</t>
        </is>
      </c>
      <c r="E442" t="n">
        <v>3</v>
      </c>
      <c r="F442" t="n">
        <v>29</v>
      </c>
      <c r="G442" t="n">
        <v>0.2</v>
      </c>
      <c r="H442">
        <f>E442*F442*(1-G442)</f>
        <v/>
      </c>
      <c r="I442">
        <f>XLOOKUP(D442,Products!$A$2:$A$15,Products!$B$2:$B$15,"Not found")</f>
        <v/>
      </c>
    </row>
    <row r="443">
      <c r="A443" t="n">
        <v>104762</v>
      </c>
      <c r="B443" s="1" t="n">
        <v>45686</v>
      </c>
      <c r="C443" t="inlineStr">
        <is>
          <t>S04</t>
        </is>
      </c>
      <c r="D443" t="inlineStr">
        <is>
          <t>P302</t>
        </is>
      </c>
      <c r="E443" t="n">
        <v>4</v>
      </c>
      <c r="F443" t="n">
        <v>24</v>
      </c>
      <c r="G443" t="n">
        <v>0</v>
      </c>
      <c r="H443">
        <f>E443*F443*(1-G443)</f>
        <v/>
      </c>
      <c r="I443">
        <f>XLOOKUP(D443,Products!$A$2:$A$15,Products!$B$2:$B$15,"Not found")</f>
        <v/>
      </c>
    </row>
    <row r="444">
      <c r="A444" t="n">
        <v>104763</v>
      </c>
      <c r="B444" s="1" t="n">
        <v>45686</v>
      </c>
      <c r="C444" t="inlineStr">
        <is>
          <t>S05</t>
        </is>
      </c>
      <c r="D444" t="inlineStr">
        <is>
          <t>P102</t>
        </is>
      </c>
      <c r="E444" t="n">
        <v>2</v>
      </c>
      <c r="F444" t="n">
        <v>14.5</v>
      </c>
      <c r="G444" t="n">
        <v>0</v>
      </c>
      <c r="H444">
        <f>E444*F444*(1-G444)</f>
        <v/>
      </c>
      <c r="I444">
        <f>XLOOKUP(D444,Products!$A$2:$A$15,Products!$B$2:$B$15,"Not found")</f>
        <v/>
      </c>
    </row>
    <row r="445">
      <c r="A445" t="n">
        <v>104764</v>
      </c>
      <c r="B445" s="1" t="n">
        <v>45686</v>
      </c>
      <c r="C445" t="inlineStr">
        <is>
          <t>S05</t>
        </is>
      </c>
      <c r="D445" t="inlineStr">
        <is>
          <t>P302</t>
        </is>
      </c>
      <c r="E445" t="n">
        <v>3</v>
      </c>
      <c r="F445" t="n">
        <v>24</v>
      </c>
      <c r="G445" t="n">
        <v>0</v>
      </c>
      <c r="H445">
        <f>E445*F445*(1-G445)</f>
        <v/>
      </c>
      <c r="I445">
        <f>XLOOKUP(D445,Products!$A$2:$A$15,Products!$B$2:$B$15,"Not found")</f>
        <v/>
      </c>
    </row>
    <row r="446">
      <c r="A446" t="n">
        <v>104765</v>
      </c>
      <c r="B446" s="1" t="n">
        <v>45686</v>
      </c>
      <c r="C446" t="inlineStr">
        <is>
          <t>S05</t>
        </is>
      </c>
      <c r="D446" t="inlineStr">
        <is>
          <t>P203</t>
        </is>
      </c>
      <c r="E446" t="n">
        <v>4</v>
      </c>
      <c r="F446" t="n">
        <v>19.5</v>
      </c>
      <c r="G446" t="n">
        <v>0.2</v>
      </c>
      <c r="H446">
        <f>E446*F446*(1-G446)</f>
        <v/>
      </c>
      <c r="I446">
        <f>XLOOKUP(D446,Products!$A$2:$A$15,Products!$B$2:$B$15,"Not found")</f>
        <v/>
      </c>
    </row>
    <row r="447">
      <c r="A447" t="n">
        <v>104766</v>
      </c>
      <c r="B447" s="1" t="n">
        <v>45686</v>
      </c>
      <c r="C447" t="inlineStr">
        <is>
          <t>S06</t>
        </is>
      </c>
      <c r="D447" t="inlineStr">
        <is>
          <t>P102</t>
        </is>
      </c>
      <c r="E447" t="n">
        <v>2</v>
      </c>
      <c r="F447" t="n">
        <v>14.5</v>
      </c>
      <c r="G447" t="n">
        <v>0.2</v>
      </c>
      <c r="H447">
        <f>E447*F447*(1-G447)</f>
        <v/>
      </c>
      <c r="I447">
        <f>XLOOKUP(D447,Products!$A$2:$A$15,Products!$B$2:$B$15,"Not found")</f>
        <v/>
      </c>
    </row>
    <row r="448">
      <c r="A448" t="n">
        <v>104767</v>
      </c>
      <c r="B448" s="1" t="n">
        <v>45687</v>
      </c>
      <c r="C448" t="inlineStr">
        <is>
          <t>S01</t>
        </is>
      </c>
      <c r="D448" t="inlineStr">
        <is>
          <t>P202</t>
        </is>
      </c>
      <c r="E448" t="n">
        <v>1</v>
      </c>
      <c r="F448" t="n">
        <v>79</v>
      </c>
      <c r="G448" t="n">
        <v>0.2</v>
      </c>
      <c r="H448">
        <f>E448*F448*(1-G448)</f>
        <v/>
      </c>
      <c r="I448">
        <f>XLOOKUP(D448,Products!$A$2:$A$15,Products!$B$2:$B$15,"Not found")</f>
        <v/>
      </c>
    </row>
    <row r="449">
      <c r="A449" t="n">
        <v>104768</v>
      </c>
      <c r="B449" s="1" t="n">
        <v>45687</v>
      </c>
      <c r="C449" t="inlineStr">
        <is>
          <t>S01</t>
        </is>
      </c>
      <c r="D449" t="inlineStr">
        <is>
          <t>P301</t>
        </is>
      </c>
      <c r="E449" t="n">
        <v>1</v>
      </c>
      <c r="F449" t="n">
        <v>119</v>
      </c>
      <c r="G449" t="n">
        <v>0.2</v>
      </c>
      <c r="H449">
        <f>E449*F449*(1-G449)</f>
        <v/>
      </c>
      <c r="I449">
        <f>XLOOKUP(D449,Products!$A$2:$A$15,Products!$B$2:$B$15,"Not found")</f>
        <v/>
      </c>
    </row>
    <row r="450">
      <c r="A450" t="n">
        <v>104769</v>
      </c>
      <c r="B450" s="1" t="n">
        <v>45687</v>
      </c>
      <c r="C450" t="inlineStr">
        <is>
          <t>S01</t>
        </is>
      </c>
      <c r="D450" t="inlineStr">
        <is>
          <t>P102</t>
        </is>
      </c>
      <c r="E450" t="n">
        <v>3</v>
      </c>
      <c r="F450" t="n">
        <v>14.5</v>
      </c>
      <c r="G450" t="n">
        <v>0.1</v>
      </c>
      <c r="H450">
        <f>E450*F450*(1-G450)</f>
        <v/>
      </c>
      <c r="I450">
        <f>XLOOKUP(D450,Products!$A$2:$A$15,Products!$B$2:$B$15,"Not found")</f>
        <v/>
      </c>
    </row>
    <row r="451">
      <c r="A451" t="n">
        <v>104770</v>
      </c>
      <c r="B451" s="1" t="n">
        <v>45687</v>
      </c>
      <c r="C451" t="inlineStr">
        <is>
          <t>S01</t>
        </is>
      </c>
      <c r="D451" t="inlineStr">
        <is>
          <t>P301</t>
        </is>
      </c>
      <c r="E451" t="n">
        <v>1</v>
      </c>
      <c r="F451" t="n">
        <v>119</v>
      </c>
      <c r="G451" t="n">
        <v>0.2</v>
      </c>
      <c r="H451">
        <f>E451*F451*(1-G451)</f>
        <v/>
      </c>
      <c r="I451">
        <f>XLOOKUP(D451,Products!$A$2:$A$15,Products!$B$2:$B$15,"Not found")</f>
        <v/>
      </c>
    </row>
    <row r="452">
      <c r="A452" t="n">
        <v>104771</v>
      </c>
      <c r="B452" s="1" t="n">
        <v>45687</v>
      </c>
      <c r="C452" t="inlineStr">
        <is>
          <t>S02</t>
        </is>
      </c>
      <c r="D452" t="inlineStr">
        <is>
          <t>P102</t>
        </is>
      </c>
      <c r="E452" t="n">
        <v>4</v>
      </c>
      <c r="F452" t="n">
        <v>14.5</v>
      </c>
      <c r="G452" t="n">
        <v>0</v>
      </c>
      <c r="H452">
        <f>E452*F452*(1-G452)</f>
        <v/>
      </c>
      <c r="I452">
        <f>XLOOKUP(D452,Products!$A$2:$A$15,Products!$B$2:$B$15,"Not found")</f>
        <v/>
      </c>
    </row>
    <row r="453">
      <c r="A453" t="n">
        <v>104772</v>
      </c>
      <c r="B453" s="1" t="n">
        <v>45687</v>
      </c>
      <c r="C453" t="inlineStr">
        <is>
          <t>S03</t>
        </is>
      </c>
      <c r="D453" t="inlineStr">
        <is>
          <t>P302</t>
        </is>
      </c>
      <c r="E453" t="n">
        <v>4</v>
      </c>
      <c r="F453" t="n">
        <v>24</v>
      </c>
      <c r="G453" t="n">
        <v>0</v>
      </c>
      <c r="H453">
        <f>E453*F453*(1-G453)</f>
        <v/>
      </c>
      <c r="I453">
        <f>XLOOKUP(D453,Products!$A$2:$A$15,Products!$B$2:$B$15,"Not found")</f>
        <v/>
      </c>
    </row>
    <row r="454">
      <c r="A454" t="n">
        <v>104773</v>
      </c>
      <c r="B454" s="1" t="n">
        <v>45687</v>
      </c>
      <c r="C454" t="inlineStr">
        <is>
          <t>S03</t>
        </is>
      </c>
      <c r="D454" t="inlineStr">
        <is>
          <t>P203</t>
        </is>
      </c>
      <c r="E454" t="n">
        <v>1</v>
      </c>
      <c r="F454" t="n">
        <v>19.5</v>
      </c>
      <c r="G454" t="n">
        <v>0.1</v>
      </c>
      <c r="H454">
        <f>E454*F454*(1-G454)</f>
        <v/>
      </c>
      <c r="I454">
        <f>XLOOKUP(D454,Products!$A$2:$A$15,Products!$B$2:$B$15,"Not found")</f>
        <v/>
      </c>
    </row>
    <row r="455">
      <c r="A455" t="n">
        <v>104774</v>
      </c>
      <c r="B455" s="1" t="n">
        <v>45687</v>
      </c>
      <c r="C455" t="inlineStr">
        <is>
          <t>S03</t>
        </is>
      </c>
      <c r="D455" t="inlineStr">
        <is>
          <t>P201</t>
        </is>
      </c>
      <c r="E455" t="n">
        <v>1</v>
      </c>
      <c r="F455" t="n">
        <v>149</v>
      </c>
      <c r="G455" t="n">
        <v>0</v>
      </c>
      <c r="H455">
        <f>E455*F455*(1-G455)</f>
        <v/>
      </c>
      <c r="I455">
        <f>XLOOKUP(D455,Products!$A$2:$A$15,Products!$B$2:$B$15,"Not found")</f>
        <v/>
      </c>
    </row>
    <row r="456">
      <c r="A456" t="n">
        <v>104775</v>
      </c>
      <c r="B456" s="1" t="n">
        <v>45687</v>
      </c>
      <c r="C456" t="inlineStr">
        <is>
          <t>S04</t>
        </is>
      </c>
      <c r="D456" t="inlineStr">
        <is>
          <t>P301</t>
        </is>
      </c>
      <c r="E456" t="n">
        <v>1</v>
      </c>
      <c r="F456" t="n">
        <v>119</v>
      </c>
      <c r="G456" t="n">
        <v>0</v>
      </c>
      <c r="H456">
        <f>E456*F456*(1-G456)</f>
        <v/>
      </c>
      <c r="I456">
        <f>XLOOKUP(D456,Products!$A$2:$A$15,Products!$B$2:$B$15,"Not found")</f>
        <v/>
      </c>
    </row>
    <row r="457">
      <c r="A457" t="n">
        <v>104776</v>
      </c>
      <c r="B457" s="1" t="n">
        <v>45687</v>
      </c>
      <c r="C457" t="inlineStr">
        <is>
          <t>S04</t>
        </is>
      </c>
      <c r="D457" t="inlineStr">
        <is>
          <t>P101</t>
        </is>
      </c>
      <c r="E457" t="n">
        <v>4</v>
      </c>
      <c r="F457" t="n">
        <v>39</v>
      </c>
      <c r="G457" t="n">
        <v>0</v>
      </c>
      <c r="H457">
        <f>E457*F457*(1-G457)</f>
        <v/>
      </c>
      <c r="I457">
        <f>XLOOKUP(D457,Products!$A$2:$A$15,Products!$B$2:$B$15,"Not found")</f>
        <v/>
      </c>
    </row>
    <row r="458">
      <c r="A458" t="n">
        <v>104777</v>
      </c>
      <c r="B458" s="1" t="n">
        <v>45687</v>
      </c>
      <c r="C458" t="inlineStr">
        <is>
          <t>S04</t>
        </is>
      </c>
      <c r="D458" t="inlineStr">
        <is>
          <t>P302</t>
        </is>
      </c>
      <c r="E458" t="n">
        <v>1</v>
      </c>
      <c r="F458" t="n">
        <v>24</v>
      </c>
      <c r="G458" t="n">
        <v>0</v>
      </c>
      <c r="H458">
        <f>E458*F458*(1-G458)</f>
        <v/>
      </c>
      <c r="I458">
        <f>XLOOKUP(D458,Products!$A$2:$A$15,Products!$B$2:$B$15,"Not found")</f>
        <v/>
      </c>
    </row>
    <row r="459">
      <c r="A459" t="n">
        <v>104778</v>
      </c>
      <c r="B459" s="1" t="n">
        <v>45687</v>
      </c>
      <c r="C459" t="inlineStr">
        <is>
          <t>S04</t>
        </is>
      </c>
      <c r="D459" t="inlineStr">
        <is>
          <t>P203</t>
        </is>
      </c>
      <c r="E459" t="n">
        <v>2</v>
      </c>
      <c r="F459" t="n">
        <v>19.5</v>
      </c>
      <c r="G459" t="n">
        <v>0</v>
      </c>
      <c r="H459">
        <f>E459*F459*(1-G459)</f>
        <v/>
      </c>
      <c r="I459">
        <f>XLOOKUP(D459,Products!$A$2:$A$15,Products!$B$2:$B$15,"Not found")</f>
        <v/>
      </c>
    </row>
    <row r="460">
      <c r="A460" t="n">
        <v>104779</v>
      </c>
      <c r="B460" s="1" t="n">
        <v>45687</v>
      </c>
      <c r="C460" t="inlineStr">
        <is>
          <t>S04</t>
        </is>
      </c>
      <c r="D460" t="inlineStr">
        <is>
          <t>P201</t>
        </is>
      </c>
      <c r="E460" t="n">
        <v>1</v>
      </c>
      <c r="F460" t="n">
        <v>149</v>
      </c>
      <c r="G460" t="n">
        <v>0</v>
      </c>
      <c r="H460">
        <f>E460*F460*(1-G460)</f>
        <v/>
      </c>
      <c r="I460">
        <f>XLOOKUP(D460,Products!$A$2:$A$15,Products!$B$2:$B$15,"Not found")</f>
        <v/>
      </c>
    </row>
    <row r="461">
      <c r="A461" t="n">
        <v>104780</v>
      </c>
      <c r="B461" s="1" t="n">
        <v>45687</v>
      </c>
      <c r="C461" t="inlineStr">
        <is>
          <t>S05</t>
        </is>
      </c>
      <c r="D461" t="inlineStr">
        <is>
          <t>P102</t>
        </is>
      </c>
      <c r="E461" t="n">
        <v>4</v>
      </c>
      <c r="F461" t="n">
        <v>14.5</v>
      </c>
      <c r="G461" t="n">
        <v>0</v>
      </c>
      <c r="H461">
        <f>E461*F461*(1-G461)</f>
        <v/>
      </c>
      <c r="I461">
        <f>XLOOKUP(D461,Products!$A$2:$A$15,Products!$B$2:$B$15,"Not found")</f>
        <v/>
      </c>
    </row>
    <row r="462">
      <c r="A462" t="n">
        <v>104781</v>
      </c>
      <c r="B462" s="1" t="n">
        <v>45687</v>
      </c>
      <c r="C462" t="inlineStr">
        <is>
          <t>S05</t>
        </is>
      </c>
      <c r="D462" t="inlineStr">
        <is>
          <t>P203</t>
        </is>
      </c>
      <c r="E462" t="n">
        <v>3</v>
      </c>
      <c r="F462" t="n">
        <v>19.5</v>
      </c>
      <c r="G462" t="n">
        <v>0.2</v>
      </c>
      <c r="H462">
        <f>E462*F462*(1-G462)</f>
        <v/>
      </c>
      <c r="I462">
        <f>XLOOKUP(D462,Products!$A$2:$A$15,Products!$B$2:$B$15,"Not found")</f>
        <v/>
      </c>
    </row>
    <row r="463">
      <c r="A463" t="n">
        <v>104782</v>
      </c>
      <c r="B463" s="1" t="n">
        <v>45687</v>
      </c>
      <c r="C463" t="inlineStr">
        <is>
          <t>S06</t>
        </is>
      </c>
      <c r="D463" t="inlineStr">
        <is>
          <t>P203</t>
        </is>
      </c>
      <c r="E463" t="n">
        <v>1</v>
      </c>
      <c r="F463" t="n">
        <v>19.5</v>
      </c>
      <c r="G463" t="n">
        <v>0.2</v>
      </c>
      <c r="H463">
        <f>E463*F463*(1-G463)</f>
        <v/>
      </c>
      <c r="I463">
        <f>XLOOKUP(D463,Products!$A$2:$A$15,Products!$B$2:$B$15,"Not found")</f>
        <v/>
      </c>
    </row>
    <row r="464">
      <c r="A464" t="n">
        <v>104783</v>
      </c>
      <c r="B464" s="1" t="n">
        <v>45688</v>
      </c>
      <c r="C464" t="inlineStr">
        <is>
          <t>S01</t>
        </is>
      </c>
      <c r="D464" t="inlineStr">
        <is>
          <t>P303</t>
        </is>
      </c>
      <c r="E464" t="n">
        <v>1</v>
      </c>
      <c r="F464" t="n">
        <v>12</v>
      </c>
      <c r="G464" t="n">
        <v>0</v>
      </c>
      <c r="H464">
        <f>E464*F464*(1-G464)</f>
        <v/>
      </c>
      <c r="I464">
        <f>XLOOKUP(D464,Products!$A$2:$A$15,Products!$B$2:$B$15,"Not found")</f>
        <v/>
      </c>
    </row>
    <row r="465">
      <c r="A465" t="n">
        <v>104784</v>
      </c>
      <c r="B465" s="1" t="n">
        <v>45688</v>
      </c>
      <c r="C465" t="inlineStr">
        <is>
          <t>S01</t>
        </is>
      </c>
      <c r="D465" t="inlineStr">
        <is>
          <t>P401</t>
        </is>
      </c>
      <c r="E465" t="n">
        <v>1</v>
      </c>
      <c r="F465" t="n">
        <v>549</v>
      </c>
      <c r="G465" t="n">
        <v>0.2</v>
      </c>
      <c r="H465">
        <f>E465*F465*(1-G465)</f>
        <v/>
      </c>
      <c r="I465">
        <f>XLOOKUP(D465,Products!$A$2:$A$15,Products!$B$2:$B$15,"Not found")</f>
        <v/>
      </c>
    </row>
    <row r="466">
      <c r="A466" t="n">
        <v>104785</v>
      </c>
      <c r="B466" s="1" t="n">
        <v>45688</v>
      </c>
      <c r="C466" t="inlineStr">
        <is>
          <t>S01</t>
        </is>
      </c>
      <c r="D466" t="inlineStr">
        <is>
          <t>P102</t>
        </is>
      </c>
      <c r="E466" t="n">
        <v>2</v>
      </c>
      <c r="F466" t="n">
        <v>14.5</v>
      </c>
      <c r="G466" t="n">
        <v>0.15</v>
      </c>
      <c r="H466">
        <f>E466*F466*(1-G466)</f>
        <v/>
      </c>
      <c r="I466">
        <f>XLOOKUP(D466,Products!$A$2:$A$15,Products!$B$2:$B$15,"Not found")</f>
        <v/>
      </c>
    </row>
    <row r="467">
      <c r="A467" t="n">
        <v>104786</v>
      </c>
      <c r="B467" s="1" t="n">
        <v>45688</v>
      </c>
      <c r="C467" t="inlineStr">
        <is>
          <t>S01</t>
        </is>
      </c>
      <c r="D467" t="inlineStr">
        <is>
          <t>P101</t>
        </is>
      </c>
      <c r="E467" t="n">
        <v>2</v>
      </c>
      <c r="F467" t="n">
        <v>39</v>
      </c>
      <c r="G467" t="n">
        <v>0</v>
      </c>
      <c r="H467">
        <f>E467*F467*(1-G467)</f>
        <v/>
      </c>
      <c r="I467">
        <f>XLOOKUP(D467,Products!$A$2:$A$15,Products!$B$2:$B$15,"Not found")</f>
        <v/>
      </c>
    </row>
    <row r="468">
      <c r="A468" t="n">
        <v>104787</v>
      </c>
      <c r="B468" s="1" t="n">
        <v>45688</v>
      </c>
      <c r="C468" t="inlineStr">
        <is>
          <t>S02</t>
        </is>
      </c>
      <c r="D468" t="inlineStr">
        <is>
          <t>P301</t>
        </is>
      </c>
      <c r="E468" t="n">
        <v>1</v>
      </c>
      <c r="F468" t="n">
        <v>119</v>
      </c>
      <c r="G468" t="n">
        <v>0</v>
      </c>
      <c r="H468">
        <f>E468*F468*(1-G468)</f>
        <v/>
      </c>
      <c r="I468">
        <f>XLOOKUP(D468,Products!$A$2:$A$15,Products!$B$2:$B$15,"Not found")</f>
        <v/>
      </c>
    </row>
    <row r="469">
      <c r="A469" t="n">
        <v>104788</v>
      </c>
      <c r="B469" s="1" t="n">
        <v>45688</v>
      </c>
      <c r="C469" t="inlineStr">
        <is>
          <t>S02</t>
        </is>
      </c>
      <c r="D469" t="inlineStr">
        <is>
          <t>P201</t>
        </is>
      </c>
      <c r="E469" t="n">
        <v>1</v>
      </c>
      <c r="F469" t="n">
        <v>149</v>
      </c>
      <c r="G469" t="n">
        <v>0.1</v>
      </c>
      <c r="H469">
        <f>E469*F469*(1-G469)</f>
        <v/>
      </c>
      <c r="I469">
        <f>XLOOKUP(D469,Products!$A$2:$A$15,Products!$B$2:$B$15,"Not found")</f>
        <v/>
      </c>
    </row>
    <row r="470">
      <c r="A470" t="n">
        <v>104789</v>
      </c>
      <c r="B470" s="1" t="n">
        <v>45688</v>
      </c>
      <c r="C470" t="inlineStr">
        <is>
          <t>S02</t>
        </is>
      </c>
      <c r="D470" t="inlineStr">
        <is>
          <t>P101</t>
        </is>
      </c>
      <c r="E470" t="n">
        <v>1</v>
      </c>
      <c r="F470" t="n">
        <v>39</v>
      </c>
      <c r="G470" t="n">
        <v>0.15</v>
      </c>
      <c r="H470">
        <f>E470*F470*(1-G470)</f>
        <v/>
      </c>
      <c r="I470">
        <f>XLOOKUP(D470,Products!$A$2:$A$15,Products!$B$2:$B$15,"Not found")</f>
        <v/>
      </c>
    </row>
    <row r="471">
      <c r="A471" t="n">
        <v>104790</v>
      </c>
      <c r="B471" s="1" t="n">
        <v>45688</v>
      </c>
      <c r="C471" t="inlineStr">
        <is>
          <t>S04</t>
        </is>
      </c>
      <c r="D471" t="inlineStr">
        <is>
          <t>P301</t>
        </is>
      </c>
      <c r="E471" t="n">
        <v>1</v>
      </c>
      <c r="F471" t="n">
        <v>119</v>
      </c>
      <c r="G471" t="n">
        <v>0</v>
      </c>
      <c r="H471">
        <f>E471*F471*(1-G471)</f>
        <v/>
      </c>
      <c r="I471">
        <f>XLOOKUP(D471,Products!$A$2:$A$15,Products!$B$2:$B$15,"Not found")</f>
        <v/>
      </c>
    </row>
    <row r="472">
      <c r="A472" t="n">
        <v>104791</v>
      </c>
      <c r="B472" s="1" t="n">
        <v>45688</v>
      </c>
      <c r="C472" t="inlineStr">
        <is>
          <t>S06</t>
        </is>
      </c>
      <c r="D472" t="inlineStr">
        <is>
          <t>P102</t>
        </is>
      </c>
      <c r="E472" t="n">
        <v>4</v>
      </c>
      <c r="F472" t="n">
        <v>14.5</v>
      </c>
      <c r="G472" t="n">
        <v>0.15</v>
      </c>
      <c r="H472">
        <f>E472*F472*(1-G472)</f>
        <v/>
      </c>
      <c r="I472">
        <f>XLOOKUP(D472,Products!$A$2:$A$15,Products!$B$2:$B$15,"Not found")</f>
        <v/>
      </c>
    </row>
    <row r="473">
      <c r="A473" t="n">
        <v>104792</v>
      </c>
      <c r="B473" s="1" t="n">
        <v>45689</v>
      </c>
      <c r="C473" t="inlineStr">
        <is>
          <t>S01</t>
        </is>
      </c>
      <c r="D473" t="inlineStr">
        <is>
          <t>P101</t>
        </is>
      </c>
      <c r="E473" t="n">
        <v>3</v>
      </c>
      <c r="F473" t="n">
        <v>39</v>
      </c>
      <c r="G473" t="n">
        <v>0.15</v>
      </c>
      <c r="H473">
        <f>E473*F473*(1-G473)</f>
        <v/>
      </c>
      <c r="I473">
        <f>XLOOKUP(D473,Products!$A$2:$A$15,Products!$B$2:$B$15,"Not found")</f>
        <v/>
      </c>
    </row>
    <row r="474">
      <c r="A474" t="n">
        <v>104793</v>
      </c>
      <c r="B474" s="1" t="n">
        <v>45689</v>
      </c>
      <c r="C474" t="inlineStr">
        <is>
          <t>S01</t>
        </is>
      </c>
      <c r="D474" t="inlineStr">
        <is>
          <t>P202</t>
        </is>
      </c>
      <c r="E474" t="n">
        <v>1</v>
      </c>
      <c r="F474" t="n">
        <v>79</v>
      </c>
      <c r="G474" t="n">
        <v>0</v>
      </c>
      <c r="H474">
        <f>E474*F474*(1-G474)</f>
        <v/>
      </c>
      <c r="I474">
        <f>XLOOKUP(D474,Products!$A$2:$A$15,Products!$B$2:$B$15,"Not found")</f>
        <v/>
      </c>
    </row>
    <row r="475">
      <c r="A475" t="n">
        <v>104794</v>
      </c>
      <c r="B475" s="1" t="n">
        <v>45689</v>
      </c>
      <c r="C475" t="inlineStr">
        <is>
          <t>S01</t>
        </is>
      </c>
      <c r="D475" t="inlineStr">
        <is>
          <t>P203</t>
        </is>
      </c>
      <c r="E475" t="n">
        <v>4</v>
      </c>
      <c r="F475" t="n">
        <v>19.5</v>
      </c>
      <c r="G475" t="n">
        <v>0</v>
      </c>
      <c r="H475">
        <f>E475*F475*(1-G475)</f>
        <v/>
      </c>
      <c r="I475">
        <f>XLOOKUP(D475,Products!$A$2:$A$15,Products!$B$2:$B$15,"Not found")</f>
        <v/>
      </c>
    </row>
    <row r="476">
      <c r="A476" t="n">
        <v>104795</v>
      </c>
      <c r="B476" s="1" t="n">
        <v>45689</v>
      </c>
      <c r="C476" t="inlineStr">
        <is>
          <t>S02</t>
        </is>
      </c>
      <c r="D476" t="inlineStr">
        <is>
          <t>P101</t>
        </is>
      </c>
      <c r="E476" t="n">
        <v>1</v>
      </c>
      <c r="F476" t="n">
        <v>39</v>
      </c>
      <c r="G476" t="n">
        <v>0.15</v>
      </c>
      <c r="H476">
        <f>E476*F476*(1-G476)</f>
        <v/>
      </c>
      <c r="I476">
        <f>XLOOKUP(D476,Products!$A$2:$A$15,Products!$B$2:$B$15,"Not found")</f>
        <v/>
      </c>
    </row>
    <row r="477">
      <c r="A477" t="n">
        <v>104796</v>
      </c>
      <c r="B477" s="1" t="n">
        <v>45689</v>
      </c>
      <c r="C477" t="inlineStr">
        <is>
          <t>S02</t>
        </is>
      </c>
      <c r="D477" t="inlineStr">
        <is>
          <t>P102</t>
        </is>
      </c>
      <c r="E477" t="n">
        <v>3</v>
      </c>
      <c r="F477" t="n">
        <v>14.5</v>
      </c>
      <c r="G477" t="n">
        <v>0.15</v>
      </c>
      <c r="H477">
        <f>E477*F477*(1-G477)</f>
        <v/>
      </c>
      <c r="I477">
        <f>XLOOKUP(D477,Products!$A$2:$A$15,Products!$B$2:$B$15,"Not found")</f>
        <v/>
      </c>
    </row>
    <row r="478">
      <c r="A478" t="n">
        <v>104797</v>
      </c>
      <c r="B478" s="1" t="n">
        <v>45689</v>
      </c>
      <c r="C478" t="inlineStr">
        <is>
          <t>S02</t>
        </is>
      </c>
      <c r="D478" t="inlineStr">
        <is>
          <t>P202</t>
        </is>
      </c>
      <c r="E478" t="n">
        <v>1</v>
      </c>
      <c r="F478" t="n">
        <v>79</v>
      </c>
      <c r="G478" t="n">
        <v>0</v>
      </c>
      <c r="H478">
        <f>E478*F478*(1-G478)</f>
        <v/>
      </c>
      <c r="I478">
        <f>XLOOKUP(D478,Products!$A$2:$A$15,Products!$B$2:$B$15,"Not found")</f>
        <v/>
      </c>
    </row>
    <row r="479">
      <c r="A479" t="n">
        <v>104798</v>
      </c>
      <c r="B479" s="1" t="n">
        <v>45689</v>
      </c>
      <c r="C479" t="inlineStr">
        <is>
          <t>S02</t>
        </is>
      </c>
      <c r="D479" t="inlineStr">
        <is>
          <t>P103</t>
        </is>
      </c>
      <c r="E479" t="n">
        <v>1</v>
      </c>
      <c r="F479" t="n">
        <v>29</v>
      </c>
      <c r="G479" t="n">
        <v>0.2</v>
      </c>
      <c r="H479">
        <f>E479*F479*(1-G479)</f>
        <v/>
      </c>
      <c r="I479">
        <f>XLOOKUP(D479,Products!$A$2:$A$15,Products!$B$2:$B$15,"Not found")</f>
        <v/>
      </c>
    </row>
    <row r="480">
      <c r="A480" t="n">
        <v>104799</v>
      </c>
      <c r="B480" s="1" t="n">
        <v>45689</v>
      </c>
      <c r="C480" t="inlineStr">
        <is>
          <t>S03</t>
        </is>
      </c>
      <c r="D480" t="inlineStr">
        <is>
          <t>P303</t>
        </is>
      </c>
      <c r="E480" t="n">
        <v>2</v>
      </c>
      <c r="F480" t="n">
        <v>12</v>
      </c>
      <c r="G480" t="n">
        <v>0</v>
      </c>
      <c r="H480">
        <f>E480*F480*(1-G480)</f>
        <v/>
      </c>
      <c r="I480">
        <f>XLOOKUP(D480,Products!$A$2:$A$15,Products!$B$2:$B$15,"Not found")</f>
        <v/>
      </c>
    </row>
    <row r="481">
      <c r="A481" t="n">
        <v>104800</v>
      </c>
      <c r="B481" s="1" t="n">
        <v>45689</v>
      </c>
      <c r="C481" t="inlineStr">
        <is>
          <t>S03</t>
        </is>
      </c>
      <c r="D481" t="inlineStr">
        <is>
          <t>P103</t>
        </is>
      </c>
      <c r="E481" t="n">
        <v>2</v>
      </c>
      <c r="F481" t="n">
        <v>29</v>
      </c>
      <c r="G481" t="n">
        <v>0.1</v>
      </c>
      <c r="H481">
        <f>E481*F481*(1-G481)</f>
        <v/>
      </c>
      <c r="I481">
        <f>XLOOKUP(D481,Products!$A$2:$A$15,Products!$B$2:$B$15,"Not found")</f>
        <v/>
      </c>
    </row>
    <row r="482">
      <c r="A482" t="n">
        <v>104801</v>
      </c>
      <c r="B482" s="1" t="n">
        <v>45689</v>
      </c>
      <c r="C482" t="inlineStr">
        <is>
          <t>S03</t>
        </is>
      </c>
      <c r="D482" t="inlineStr">
        <is>
          <t>P203</t>
        </is>
      </c>
      <c r="E482" t="n">
        <v>4</v>
      </c>
      <c r="F482" t="n">
        <v>19.5</v>
      </c>
      <c r="G482" t="n">
        <v>0</v>
      </c>
      <c r="H482">
        <f>E482*F482*(1-G482)</f>
        <v/>
      </c>
      <c r="I482">
        <f>XLOOKUP(D482,Products!$A$2:$A$15,Products!$B$2:$B$15,"Not found")</f>
        <v/>
      </c>
    </row>
    <row r="483">
      <c r="A483" t="n">
        <v>104802</v>
      </c>
      <c r="B483" s="1" t="n">
        <v>45689</v>
      </c>
      <c r="C483" t="inlineStr">
        <is>
          <t>S03</t>
        </is>
      </c>
      <c r="D483" t="inlineStr">
        <is>
          <t>P303</t>
        </is>
      </c>
      <c r="E483" t="n">
        <v>3</v>
      </c>
      <c r="F483" t="n">
        <v>12</v>
      </c>
      <c r="G483" t="n">
        <v>0</v>
      </c>
      <c r="H483">
        <f>E483*F483*(1-G483)</f>
        <v/>
      </c>
      <c r="I483">
        <f>XLOOKUP(D483,Products!$A$2:$A$15,Products!$B$2:$B$15,"Not found")</f>
        <v/>
      </c>
    </row>
    <row r="484">
      <c r="A484" t="n">
        <v>104803</v>
      </c>
      <c r="B484" s="1" t="n">
        <v>45689</v>
      </c>
      <c r="C484" t="inlineStr">
        <is>
          <t>S04</t>
        </is>
      </c>
      <c r="D484" t="inlineStr">
        <is>
          <t>P102</t>
        </is>
      </c>
      <c r="E484" t="n">
        <v>1</v>
      </c>
      <c r="F484" t="n">
        <v>14.5</v>
      </c>
      <c r="G484" t="n">
        <v>0</v>
      </c>
      <c r="H484">
        <f>E484*F484*(1-G484)</f>
        <v/>
      </c>
      <c r="I484">
        <f>XLOOKUP(D484,Products!$A$2:$A$15,Products!$B$2:$B$15,"Not found")</f>
        <v/>
      </c>
    </row>
    <row r="485">
      <c r="A485" t="n">
        <v>104804</v>
      </c>
      <c r="B485" s="1" t="n">
        <v>45689</v>
      </c>
      <c r="C485" t="inlineStr">
        <is>
          <t>S04</t>
        </is>
      </c>
      <c r="D485" t="inlineStr">
        <is>
          <t>P104</t>
        </is>
      </c>
      <c r="E485" t="n">
        <v>1</v>
      </c>
      <c r="F485" t="n">
        <v>189</v>
      </c>
      <c r="G485" t="n">
        <v>0</v>
      </c>
      <c r="H485">
        <f>E485*F485*(1-G485)</f>
        <v/>
      </c>
      <c r="I485">
        <f>XLOOKUP(D485,Products!$A$2:$A$15,Products!$B$2:$B$15,"Not found")</f>
        <v/>
      </c>
    </row>
    <row r="486">
      <c r="A486" t="n">
        <v>104805</v>
      </c>
      <c r="B486" s="1" t="n">
        <v>45689</v>
      </c>
      <c r="C486" t="inlineStr">
        <is>
          <t>S05</t>
        </is>
      </c>
      <c r="D486" t="inlineStr">
        <is>
          <t>P201</t>
        </is>
      </c>
      <c r="E486" t="n">
        <v>1</v>
      </c>
      <c r="F486" t="n">
        <v>149</v>
      </c>
      <c r="G486" t="n">
        <v>0</v>
      </c>
      <c r="H486">
        <f>E486*F486*(1-G486)</f>
        <v/>
      </c>
      <c r="I486">
        <f>XLOOKUP(D486,Products!$A$2:$A$15,Products!$B$2:$B$15,"Not found")</f>
        <v/>
      </c>
    </row>
    <row r="487">
      <c r="A487" t="n">
        <v>104806</v>
      </c>
      <c r="B487" s="1" t="n">
        <v>45689</v>
      </c>
      <c r="C487" t="inlineStr">
        <is>
          <t>S05</t>
        </is>
      </c>
      <c r="D487" t="inlineStr">
        <is>
          <t>P203</t>
        </is>
      </c>
      <c r="E487" t="n">
        <v>1</v>
      </c>
      <c r="F487" t="n">
        <v>19.5</v>
      </c>
      <c r="G487" t="n">
        <v>0.2</v>
      </c>
      <c r="H487">
        <f>E487*F487*(1-G487)</f>
        <v/>
      </c>
      <c r="I487">
        <f>XLOOKUP(D487,Products!$A$2:$A$15,Products!$B$2:$B$15,"Not found")</f>
        <v/>
      </c>
    </row>
    <row r="488">
      <c r="A488" t="n">
        <v>104807</v>
      </c>
      <c r="B488" s="1" t="n">
        <v>45689</v>
      </c>
      <c r="C488" t="inlineStr">
        <is>
          <t>S06</t>
        </is>
      </c>
      <c r="D488" t="inlineStr">
        <is>
          <t>P302</t>
        </is>
      </c>
      <c r="E488" t="n">
        <v>1</v>
      </c>
      <c r="F488" t="n">
        <v>24</v>
      </c>
      <c r="G488" t="n">
        <v>0</v>
      </c>
      <c r="H488">
        <f>E488*F488*(1-G488)</f>
        <v/>
      </c>
      <c r="I488">
        <f>XLOOKUP(D488,Products!$A$2:$A$15,Products!$B$2:$B$15,"Not found")</f>
        <v/>
      </c>
    </row>
    <row r="489">
      <c r="A489" t="n">
        <v>104808</v>
      </c>
      <c r="B489" s="1" t="n">
        <v>45689</v>
      </c>
      <c r="C489" t="inlineStr">
        <is>
          <t>S06</t>
        </is>
      </c>
      <c r="D489" t="inlineStr">
        <is>
          <t>P302</t>
        </is>
      </c>
      <c r="E489" t="n">
        <v>1</v>
      </c>
      <c r="F489" t="n">
        <v>24</v>
      </c>
      <c r="G489" t="n">
        <v>0.1</v>
      </c>
      <c r="H489">
        <f>E489*F489*(1-G489)</f>
        <v/>
      </c>
      <c r="I489">
        <f>XLOOKUP(D489,Products!$A$2:$A$15,Products!$B$2:$B$15,"Not found")</f>
        <v/>
      </c>
    </row>
    <row r="490">
      <c r="A490" t="n">
        <v>104809</v>
      </c>
      <c r="B490" s="1" t="n">
        <v>45690</v>
      </c>
      <c r="C490" t="inlineStr">
        <is>
          <t>S01</t>
        </is>
      </c>
      <c r="D490" t="inlineStr">
        <is>
          <t>P102</t>
        </is>
      </c>
      <c r="E490" t="n">
        <v>3</v>
      </c>
      <c r="F490" t="n">
        <v>14.5</v>
      </c>
      <c r="G490" t="n">
        <v>0</v>
      </c>
      <c r="H490">
        <f>E490*F490*(1-G490)</f>
        <v/>
      </c>
      <c r="I490">
        <f>XLOOKUP(D490,Products!$A$2:$A$15,Products!$B$2:$B$15,"Not found")</f>
        <v/>
      </c>
    </row>
    <row r="491">
      <c r="A491" t="n">
        <v>104810</v>
      </c>
      <c r="B491" s="1" t="n">
        <v>45690</v>
      </c>
      <c r="C491" t="inlineStr">
        <is>
          <t>S01</t>
        </is>
      </c>
      <c r="D491" t="inlineStr">
        <is>
          <t>P101</t>
        </is>
      </c>
      <c r="E491" t="n">
        <v>1</v>
      </c>
      <c r="F491" t="n">
        <v>39</v>
      </c>
      <c r="G491" t="n">
        <v>0.1</v>
      </c>
      <c r="H491">
        <f>E491*F491*(1-G491)</f>
        <v/>
      </c>
      <c r="I491">
        <f>XLOOKUP(D491,Products!$A$2:$A$15,Products!$B$2:$B$15,"Not found")</f>
        <v/>
      </c>
    </row>
    <row r="492">
      <c r="A492" t="n">
        <v>104811</v>
      </c>
      <c r="B492" s="1" t="n">
        <v>45690</v>
      </c>
      <c r="C492" t="inlineStr">
        <is>
          <t>S01</t>
        </is>
      </c>
      <c r="D492" t="inlineStr">
        <is>
          <t>P201</t>
        </is>
      </c>
      <c r="E492" t="n">
        <v>1</v>
      </c>
      <c r="F492" t="n">
        <v>149</v>
      </c>
      <c r="G492" t="n">
        <v>0.2</v>
      </c>
      <c r="H492">
        <f>E492*F492*(1-G492)</f>
        <v/>
      </c>
      <c r="I492">
        <f>XLOOKUP(D492,Products!$A$2:$A$15,Products!$B$2:$B$15,"Not found")</f>
        <v/>
      </c>
    </row>
    <row r="493">
      <c r="A493" t="n">
        <v>104812</v>
      </c>
      <c r="B493" s="1" t="n">
        <v>45690</v>
      </c>
      <c r="C493" t="inlineStr">
        <is>
          <t>S01</t>
        </is>
      </c>
      <c r="D493" t="inlineStr">
        <is>
          <t>P102</t>
        </is>
      </c>
      <c r="E493" t="n">
        <v>1</v>
      </c>
      <c r="F493" t="n">
        <v>14.5</v>
      </c>
      <c r="G493" t="n">
        <v>0.1</v>
      </c>
      <c r="H493">
        <f>E493*F493*(1-G493)</f>
        <v/>
      </c>
      <c r="I493">
        <f>XLOOKUP(D493,Products!$A$2:$A$15,Products!$B$2:$B$15,"Not found")</f>
        <v/>
      </c>
    </row>
    <row r="494">
      <c r="A494" t="n">
        <v>104813</v>
      </c>
      <c r="B494" s="1" t="n">
        <v>45690</v>
      </c>
      <c r="C494" t="inlineStr">
        <is>
          <t>S01</t>
        </is>
      </c>
      <c r="D494" t="inlineStr">
        <is>
          <t>P102</t>
        </is>
      </c>
      <c r="E494" t="n">
        <v>1</v>
      </c>
      <c r="F494" t="n">
        <v>14.5</v>
      </c>
      <c r="G494" t="n">
        <v>0</v>
      </c>
      <c r="H494">
        <f>E494*F494*(1-G494)</f>
        <v/>
      </c>
      <c r="I494">
        <f>XLOOKUP(D494,Products!$A$2:$A$15,Products!$B$2:$B$15,"Not found")</f>
        <v/>
      </c>
    </row>
    <row r="495">
      <c r="A495" t="n">
        <v>104814</v>
      </c>
      <c r="B495" s="1" t="n">
        <v>45690</v>
      </c>
      <c r="C495" t="inlineStr">
        <is>
          <t>S02</t>
        </is>
      </c>
      <c r="D495" t="inlineStr">
        <is>
          <t>P102</t>
        </is>
      </c>
      <c r="E495" t="n">
        <v>4</v>
      </c>
      <c r="F495" t="n">
        <v>14.5</v>
      </c>
      <c r="G495" t="n">
        <v>0</v>
      </c>
      <c r="H495">
        <f>E495*F495*(1-G495)</f>
        <v/>
      </c>
      <c r="I495">
        <f>XLOOKUP(D495,Products!$A$2:$A$15,Products!$B$2:$B$15,"Not found")</f>
        <v/>
      </c>
    </row>
    <row r="496">
      <c r="A496" t="n">
        <v>104815</v>
      </c>
      <c r="B496" s="1" t="n">
        <v>45690</v>
      </c>
      <c r="C496" t="inlineStr">
        <is>
          <t>S03</t>
        </is>
      </c>
      <c r="D496" t="inlineStr">
        <is>
          <t>P303</t>
        </is>
      </c>
      <c r="E496" t="n">
        <v>1</v>
      </c>
      <c r="F496" t="n">
        <v>12</v>
      </c>
      <c r="G496" t="n">
        <v>0.1</v>
      </c>
      <c r="H496">
        <f>E496*F496*(1-G496)</f>
        <v/>
      </c>
      <c r="I496">
        <f>XLOOKUP(D496,Products!$A$2:$A$15,Products!$B$2:$B$15,"Not found")</f>
        <v/>
      </c>
    </row>
    <row r="497">
      <c r="A497" t="n">
        <v>104816</v>
      </c>
      <c r="B497" s="1" t="n">
        <v>45690</v>
      </c>
      <c r="C497" t="inlineStr">
        <is>
          <t>S03</t>
        </is>
      </c>
      <c r="D497" t="inlineStr">
        <is>
          <t>P104</t>
        </is>
      </c>
      <c r="E497" t="n">
        <v>1</v>
      </c>
      <c r="F497" t="n">
        <v>189</v>
      </c>
      <c r="G497" t="n">
        <v>0.15</v>
      </c>
      <c r="H497">
        <f>E497*F497*(1-G497)</f>
        <v/>
      </c>
      <c r="I497">
        <f>XLOOKUP(D497,Products!$A$2:$A$15,Products!$B$2:$B$15,"Not found")</f>
        <v/>
      </c>
    </row>
    <row r="498">
      <c r="A498" t="n">
        <v>104817</v>
      </c>
      <c r="B498" s="1" t="n">
        <v>45690</v>
      </c>
      <c r="C498" t="inlineStr">
        <is>
          <t>S03</t>
        </is>
      </c>
      <c r="D498" t="inlineStr">
        <is>
          <t>P301</t>
        </is>
      </c>
      <c r="E498" t="n">
        <v>1</v>
      </c>
      <c r="F498" t="n">
        <v>119</v>
      </c>
      <c r="G498" t="n">
        <v>0.15</v>
      </c>
      <c r="H498">
        <f>E498*F498*(1-G498)</f>
        <v/>
      </c>
      <c r="I498">
        <f>XLOOKUP(D498,Products!$A$2:$A$15,Products!$B$2:$B$15,"Not found")</f>
        <v/>
      </c>
    </row>
    <row r="499">
      <c r="A499" t="n">
        <v>104818</v>
      </c>
      <c r="B499" s="1" t="n">
        <v>45690</v>
      </c>
      <c r="C499" t="inlineStr">
        <is>
          <t>S04</t>
        </is>
      </c>
      <c r="D499" t="inlineStr">
        <is>
          <t>P102</t>
        </is>
      </c>
      <c r="E499" t="n">
        <v>3</v>
      </c>
      <c r="F499" t="n">
        <v>14.5</v>
      </c>
      <c r="G499" t="n">
        <v>0.2</v>
      </c>
      <c r="H499">
        <f>E499*F499*(1-G499)</f>
        <v/>
      </c>
      <c r="I499">
        <f>XLOOKUP(D499,Products!$A$2:$A$15,Products!$B$2:$B$15,"Not found")</f>
        <v/>
      </c>
    </row>
    <row r="500">
      <c r="A500" t="n">
        <v>104819</v>
      </c>
      <c r="B500" s="1" t="n">
        <v>45690</v>
      </c>
      <c r="C500" t="inlineStr">
        <is>
          <t>S04</t>
        </is>
      </c>
      <c r="D500" t="inlineStr">
        <is>
          <t>P102</t>
        </is>
      </c>
      <c r="E500" t="n">
        <v>1</v>
      </c>
      <c r="F500" t="n">
        <v>14.5</v>
      </c>
      <c r="G500" t="n">
        <v>0</v>
      </c>
      <c r="H500">
        <f>E500*F500*(1-G500)</f>
        <v/>
      </c>
      <c r="I500">
        <f>XLOOKUP(D500,Products!$A$2:$A$15,Products!$B$2:$B$15,"Not found")</f>
        <v/>
      </c>
    </row>
    <row r="501">
      <c r="A501" t="n">
        <v>104820</v>
      </c>
      <c r="B501" s="1" t="n">
        <v>45690</v>
      </c>
      <c r="C501" t="inlineStr">
        <is>
          <t>S04</t>
        </is>
      </c>
      <c r="D501" t="inlineStr">
        <is>
          <t>P101</t>
        </is>
      </c>
      <c r="E501" t="n">
        <v>2</v>
      </c>
      <c r="F501" t="n">
        <v>39</v>
      </c>
      <c r="G501" t="n">
        <v>0.2</v>
      </c>
      <c r="H501">
        <f>E501*F501*(1-G501)</f>
        <v/>
      </c>
      <c r="I501">
        <f>XLOOKUP(D501,Products!$A$2:$A$15,Products!$B$2:$B$15,"Not found")</f>
        <v/>
      </c>
    </row>
    <row r="502">
      <c r="A502" t="n">
        <v>104821</v>
      </c>
      <c r="B502" s="1" t="n">
        <v>45690</v>
      </c>
      <c r="C502" t="inlineStr">
        <is>
          <t>S05</t>
        </is>
      </c>
      <c r="D502" t="inlineStr">
        <is>
          <t>P103</t>
        </is>
      </c>
      <c r="E502" t="n">
        <v>1</v>
      </c>
      <c r="F502" t="n">
        <v>29</v>
      </c>
      <c r="G502" t="n">
        <v>0</v>
      </c>
      <c r="H502">
        <f>E502*F502*(1-G502)</f>
        <v/>
      </c>
      <c r="I502">
        <f>XLOOKUP(D502,Products!$A$2:$A$15,Products!$B$2:$B$15,"Not found")</f>
        <v/>
      </c>
    </row>
    <row r="503">
      <c r="A503" t="n">
        <v>104822</v>
      </c>
      <c r="B503" s="1" t="n">
        <v>45690</v>
      </c>
      <c r="C503" t="inlineStr">
        <is>
          <t>S05</t>
        </is>
      </c>
      <c r="D503" t="inlineStr">
        <is>
          <t>P101</t>
        </is>
      </c>
      <c r="E503" t="n">
        <v>1</v>
      </c>
      <c r="F503" t="n">
        <v>39</v>
      </c>
      <c r="G503" t="n">
        <v>0.15</v>
      </c>
      <c r="H503">
        <f>E503*F503*(1-G503)</f>
        <v/>
      </c>
      <c r="I503">
        <f>XLOOKUP(D503,Products!$A$2:$A$15,Products!$B$2:$B$15,"Not found")</f>
        <v/>
      </c>
    </row>
    <row r="504">
      <c r="A504" t="n">
        <v>104823</v>
      </c>
      <c r="B504" s="1" t="n">
        <v>45690</v>
      </c>
      <c r="C504" t="inlineStr">
        <is>
          <t>S05</t>
        </is>
      </c>
      <c r="D504" t="inlineStr">
        <is>
          <t>P303</t>
        </is>
      </c>
      <c r="E504" t="n">
        <v>2</v>
      </c>
      <c r="F504" t="n">
        <v>12</v>
      </c>
      <c r="G504" t="n">
        <v>0.15</v>
      </c>
      <c r="H504">
        <f>E504*F504*(1-G504)</f>
        <v/>
      </c>
      <c r="I504">
        <f>XLOOKUP(D504,Products!$A$2:$A$15,Products!$B$2:$B$15,"Not found")</f>
        <v/>
      </c>
    </row>
    <row r="505">
      <c r="A505" t="n">
        <v>104824</v>
      </c>
      <c r="B505" s="1" t="n">
        <v>45690</v>
      </c>
      <c r="C505" t="inlineStr">
        <is>
          <t>S05</t>
        </is>
      </c>
      <c r="D505" t="inlineStr">
        <is>
          <t>P303</t>
        </is>
      </c>
      <c r="E505" t="n">
        <v>3</v>
      </c>
      <c r="F505" t="n">
        <v>12</v>
      </c>
      <c r="G505" t="n">
        <v>0.1</v>
      </c>
      <c r="H505">
        <f>E505*F505*(1-G505)</f>
        <v/>
      </c>
      <c r="I505">
        <f>XLOOKUP(D505,Products!$A$2:$A$15,Products!$B$2:$B$15,"Not found")</f>
        <v/>
      </c>
    </row>
    <row r="506">
      <c r="A506" t="n">
        <v>104825</v>
      </c>
      <c r="B506" s="1" t="n">
        <v>45691</v>
      </c>
      <c r="C506" t="inlineStr">
        <is>
          <t>S01</t>
        </is>
      </c>
      <c r="D506" t="inlineStr">
        <is>
          <t>P101</t>
        </is>
      </c>
      <c r="E506" t="n">
        <v>1</v>
      </c>
      <c r="F506" t="n">
        <v>39</v>
      </c>
      <c r="G506" t="n">
        <v>0</v>
      </c>
      <c r="H506">
        <f>E506*F506*(1-G506)</f>
        <v/>
      </c>
      <c r="I506">
        <f>XLOOKUP(D506,Products!$A$2:$A$15,Products!$B$2:$B$15,"Not found")</f>
        <v/>
      </c>
    </row>
    <row r="507">
      <c r="A507" t="n">
        <v>104826</v>
      </c>
      <c r="B507" s="1" t="n">
        <v>45691</v>
      </c>
      <c r="C507" t="inlineStr">
        <is>
          <t>S01</t>
        </is>
      </c>
      <c r="D507" t="inlineStr">
        <is>
          <t>P103</t>
        </is>
      </c>
      <c r="E507" t="n">
        <v>2</v>
      </c>
      <c r="F507" t="n">
        <v>29</v>
      </c>
      <c r="G507" t="n">
        <v>0.2</v>
      </c>
      <c r="H507">
        <f>E507*F507*(1-G507)</f>
        <v/>
      </c>
      <c r="I507">
        <f>XLOOKUP(D507,Products!$A$2:$A$15,Products!$B$2:$B$15,"Not found")</f>
        <v/>
      </c>
    </row>
    <row r="508">
      <c r="A508" t="n">
        <v>104827</v>
      </c>
      <c r="B508" s="1" t="n">
        <v>45691</v>
      </c>
      <c r="C508" t="inlineStr">
        <is>
          <t>S02</t>
        </is>
      </c>
      <c r="D508" t="inlineStr">
        <is>
          <t>P103</t>
        </is>
      </c>
      <c r="E508" t="n">
        <v>1</v>
      </c>
      <c r="F508" t="n">
        <v>29</v>
      </c>
      <c r="G508" t="n">
        <v>0.2</v>
      </c>
      <c r="H508">
        <f>E508*F508*(1-G508)</f>
        <v/>
      </c>
      <c r="I508">
        <f>XLOOKUP(D508,Products!$A$2:$A$15,Products!$B$2:$B$15,"Not found")</f>
        <v/>
      </c>
    </row>
    <row r="509">
      <c r="A509" t="n">
        <v>104828</v>
      </c>
      <c r="B509" s="1" t="n">
        <v>45691</v>
      </c>
      <c r="C509" t="inlineStr">
        <is>
          <t>S03</t>
        </is>
      </c>
      <c r="D509" t="inlineStr">
        <is>
          <t>P104</t>
        </is>
      </c>
      <c r="E509" t="n">
        <v>1</v>
      </c>
      <c r="F509" t="n">
        <v>189</v>
      </c>
      <c r="G509" t="n">
        <v>0.2</v>
      </c>
      <c r="H509">
        <f>E509*F509*(1-G509)</f>
        <v/>
      </c>
      <c r="I509">
        <f>XLOOKUP(D509,Products!$A$2:$A$15,Products!$B$2:$B$15,"Not found")</f>
        <v/>
      </c>
    </row>
    <row r="510">
      <c r="A510" t="n">
        <v>104829</v>
      </c>
      <c r="B510" s="1" t="n">
        <v>45691</v>
      </c>
      <c r="C510" t="inlineStr">
        <is>
          <t>S03</t>
        </is>
      </c>
      <c r="D510" t="inlineStr">
        <is>
          <t>P401</t>
        </is>
      </c>
      <c r="E510" t="n">
        <v>1</v>
      </c>
      <c r="F510" t="n">
        <v>549</v>
      </c>
      <c r="G510" t="n">
        <v>0.2</v>
      </c>
      <c r="H510">
        <f>E510*F510*(1-G510)</f>
        <v/>
      </c>
      <c r="I510">
        <f>XLOOKUP(D510,Products!$A$2:$A$15,Products!$B$2:$B$15,"Not found")</f>
        <v/>
      </c>
    </row>
    <row r="511">
      <c r="A511" t="n">
        <v>104830</v>
      </c>
      <c r="B511" s="1" t="n">
        <v>45692</v>
      </c>
      <c r="C511" t="inlineStr">
        <is>
          <t>S01</t>
        </is>
      </c>
      <c r="D511" t="inlineStr">
        <is>
          <t>P104</t>
        </is>
      </c>
      <c r="E511" t="n">
        <v>1</v>
      </c>
      <c r="F511" t="n">
        <v>189</v>
      </c>
      <c r="G511" t="n">
        <v>0</v>
      </c>
      <c r="H511">
        <f>E511*F511*(1-G511)</f>
        <v/>
      </c>
      <c r="I511">
        <f>XLOOKUP(D511,Products!$A$2:$A$15,Products!$B$2:$B$15,"Not found")</f>
        <v/>
      </c>
    </row>
    <row r="512">
      <c r="A512" t="n">
        <v>104831</v>
      </c>
      <c r="B512" s="1" t="n">
        <v>45692</v>
      </c>
      <c r="C512" t="inlineStr">
        <is>
          <t>S01</t>
        </is>
      </c>
      <c r="D512" t="inlineStr">
        <is>
          <t>P104</t>
        </is>
      </c>
      <c r="E512" t="n">
        <v>1</v>
      </c>
      <c r="F512" t="n">
        <v>189</v>
      </c>
      <c r="G512" t="n">
        <v>0</v>
      </c>
      <c r="H512">
        <f>E512*F512*(1-G512)</f>
        <v/>
      </c>
      <c r="I512">
        <f>XLOOKUP(D512,Products!$A$2:$A$15,Products!$B$2:$B$15,"Not found")</f>
        <v/>
      </c>
    </row>
    <row r="513">
      <c r="A513" t="n">
        <v>104832</v>
      </c>
      <c r="B513" s="1" t="n">
        <v>45692</v>
      </c>
      <c r="C513" t="inlineStr">
        <is>
          <t>S03</t>
        </is>
      </c>
      <c r="D513" t="inlineStr">
        <is>
          <t>P102</t>
        </is>
      </c>
      <c r="E513" t="n">
        <v>1</v>
      </c>
      <c r="F513" t="n">
        <v>14.5</v>
      </c>
      <c r="G513" t="n">
        <v>0</v>
      </c>
      <c r="H513">
        <f>E513*F513*(1-G513)</f>
        <v/>
      </c>
      <c r="I513">
        <f>XLOOKUP(D513,Products!$A$2:$A$15,Products!$B$2:$B$15,"Not found")</f>
        <v/>
      </c>
    </row>
    <row r="514">
      <c r="A514" t="n">
        <v>104833</v>
      </c>
      <c r="B514" s="1" t="n">
        <v>45692</v>
      </c>
      <c r="C514" t="inlineStr">
        <is>
          <t>S04</t>
        </is>
      </c>
      <c r="D514" t="inlineStr">
        <is>
          <t>P301</t>
        </is>
      </c>
      <c r="E514" t="n">
        <v>1</v>
      </c>
      <c r="F514" t="n">
        <v>119</v>
      </c>
      <c r="G514" t="n">
        <v>0.1</v>
      </c>
      <c r="H514">
        <f>E514*F514*(1-G514)</f>
        <v/>
      </c>
      <c r="I514">
        <f>XLOOKUP(D514,Products!$A$2:$A$15,Products!$B$2:$B$15,"Not found")</f>
        <v/>
      </c>
    </row>
    <row r="515">
      <c r="A515" t="n">
        <v>104834</v>
      </c>
      <c r="B515" s="1" t="n">
        <v>45692</v>
      </c>
      <c r="C515" t="inlineStr">
        <is>
          <t>S04</t>
        </is>
      </c>
      <c r="D515" t="inlineStr">
        <is>
          <t>P303</t>
        </is>
      </c>
      <c r="E515" t="n">
        <v>4</v>
      </c>
      <c r="F515" t="n">
        <v>12</v>
      </c>
      <c r="G515" t="n">
        <v>0</v>
      </c>
      <c r="H515">
        <f>E515*F515*(1-G515)</f>
        <v/>
      </c>
      <c r="I515">
        <f>XLOOKUP(D515,Products!$A$2:$A$15,Products!$B$2:$B$15,"Not found")</f>
        <v/>
      </c>
    </row>
    <row r="516">
      <c r="A516" t="n">
        <v>104835</v>
      </c>
      <c r="B516" s="1" t="n">
        <v>45692</v>
      </c>
      <c r="C516" t="inlineStr">
        <is>
          <t>S05</t>
        </is>
      </c>
      <c r="D516" t="inlineStr">
        <is>
          <t>P203</t>
        </is>
      </c>
      <c r="E516" t="n">
        <v>2</v>
      </c>
      <c r="F516" t="n">
        <v>19.5</v>
      </c>
      <c r="G516" t="n">
        <v>0.1</v>
      </c>
      <c r="H516">
        <f>E516*F516*(1-G516)</f>
        <v/>
      </c>
      <c r="I516">
        <f>XLOOKUP(D516,Products!$A$2:$A$15,Products!$B$2:$B$15,"Not found")</f>
        <v/>
      </c>
    </row>
    <row r="517">
      <c r="A517" t="n">
        <v>104836</v>
      </c>
      <c r="B517" s="1" t="n">
        <v>45692</v>
      </c>
      <c r="C517" t="inlineStr">
        <is>
          <t>S05</t>
        </is>
      </c>
      <c r="D517" t="inlineStr">
        <is>
          <t>P302</t>
        </is>
      </c>
      <c r="E517" t="n">
        <v>4</v>
      </c>
      <c r="F517" t="n">
        <v>24</v>
      </c>
      <c r="G517" t="n">
        <v>0</v>
      </c>
      <c r="H517">
        <f>E517*F517*(1-G517)</f>
        <v/>
      </c>
      <c r="I517">
        <f>XLOOKUP(D517,Products!$A$2:$A$15,Products!$B$2:$B$15,"Not found")</f>
        <v/>
      </c>
    </row>
    <row r="518">
      <c r="A518" t="n">
        <v>104837</v>
      </c>
      <c r="B518" s="1" t="n">
        <v>45692</v>
      </c>
      <c r="C518" t="inlineStr">
        <is>
          <t>S06</t>
        </is>
      </c>
      <c r="D518" t="inlineStr">
        <is>
          <t>P303</t>
        </is>
      </c>
      <c r="E518" t="n">
        <v>1</v>
      </c>
      <c r="F518" t="n">
        <v>12</v>
      </c>
      <c r="G518" t="n">
        <v>0</v>
      </c>
      <c r="H518">
        <f>E518*F518*(1-G518)</f>
        <v/>
      </c>
      <c r="I518">
        <f>XLOOKUP(D518,Products!$A$2:$A$15,Products!$B$2:$B$15,"Not found")</f>
        <v/>
      </c>
    </row>
    <row r="519">
      <c r="A519" t="n">
        <v>104838</v>
      </c>
      <c r="B519" s="1" t="n">
        <v>45693</v>
      </c>
      <c r="C519" t="inlineStr">
        <is>
          <t>S02</t>
        </is>
      </c>
      <c r="D519" t="inlineStr">
        <is>
          <t>P302</t>
        </is>
      </c>
      <c r="E519" t="n">
        <v>1</v>
      </c>
      <c r="F519" t="n">
        <v>24</v>
      </c>
      <c r="G519" t="n">
        <v>0.2</v>
      </c>
      <c r="H519">
        <f>E519*F519*(1-G519)</f>
        <v/>
      </c>
      <c r="I519">
        <f>XLOOKUP(D519,Products!$A$2:$A$15,Products!$B$2:$B$15,"Not found")</f>
        <v/>
      </c>
    </row>
    <row r="520">
      <c r="A520" t="n">
        <v>104839</v>
      </c>
      <c r="B520" s="1" t="n">
        <v>45693</v>
      </c>
      <c r="C520" t="inlineStr">
        <is>
          <t>S02</t>
        </is>
      </c>
      <c r="D520" t="inlineStr">
        <is>
          <t>P302</t>
        </is>
      </c>
      <c r="E520" t="n">
        <v>1</v>
      </c>
      <c r="F520" t="n">
        <v>24</v>
      </c>
      <c r="G520" t="n">
        <v>0.15</v>
      </c>
      <c r="H520">
        <f>E520*F520*(1-G520)</f>
        <v/>
      </c>
      <c r="I520">
        <f>XLOOKUP(D520,Products!$A$2:$A$15,Products!$B$2:$B$15,"Not found")</f>
        <v/>
      </c>
    </row>
    <row r="521">
      <c r="A521" t="n">
        <v>104840</v>
      </c>
      <c r="B521" s="1" t="n">
        <v>45693</v>
      </c>
      <c r="C521" t="inlineStr">
        <is>
          <t>S03</t>
        </is>
      </c>
      <c r="D521" t="inlineStr">
        <is>
          <t>P303</t>
        </is>
      </c>
      <c r="E521" t="n">
        <v>1</v>
      </c>
      <c r="F521" t="n">
        <v>12</v>
      </c>
      <c r="G521" t="n">
        <v>0</v>
      </c>
      <c r="H521">
        <f>E521*F521*(1-G521)</f>
        <v/>
      </c>
      <c r="I521">
        <f>XLOOKUP(D521,Products!$A$2:$A$15,Products!$B$2:$B$15,"Not found")</f>
        <v/>
      </c>
    </row>
    <row r="522">
      <c r="A522" t="n">
        <v>104841</v>
      </c>
      <c r="B522" s="1" t="n">
        <v>45693</v>
      </c>
      <c r="C522" t="inlineStr">
        <is>
          <t>S03</t>
        </is>
      </c>
      <c r="D522" t="inlineStr">
        <is>
          <t>P204</t>
        </is>
      </c>
      <c r="E522" t="n">
        <v>1</v>
      </c>
      <c r="F522" t="n">
        <v>229</v>
      </c>
      <c r="G522" t="n">
        <v>0</v>
      </c>
      <c r="H522">
        <f>E522*F522*(1-G522)</f>
        <v/>
      </c>
      <c r="I522">
        <f>XLOOKUP(D522,Products!$A$2:$A$15,Products!$B$2:$B$15,"Not found")</f>
        <v/>
      </c>
    </row>
    <row r="523">
      <c r="A523" t="n">
        <v>104842</v>
      </c>
      <c r="B523" s="1" t="n">
        <v>45693</v>
      </c>
      <c r="C523" t="inlineStr">
        <is>
          <t>S03</t>
        </is>
      </c>
      <c r="D523" t="inlineStr">
        <is>
          <t>P202</t>
        </is>
      </c>
      <c r="E523" t="n">
        <v>1</v>
      </c>
      <c r="F523" t="n">
        <v>79</v>
      </c>
      <c r="G523" t="n">
        <v>0.15</v>
      </c>
      <c r="H523">
        <f>E523*F523*(1-G523)</f>
        <v/>
      </c>
      <c r="I523">
        <f>XLOOKUP(D523,Products!$A$2:$A$15,Products!$B$2:$B$15,"Not found")</f>
        <v/>
      </c>
    </row>
    <row r="524">
      <c r="A524" t="n">
        <v>104843</v>
      </c>
      <c r="B524" s="1" t="n">
        <v>45693</v>
      </c>
      <c r="C524" t="inlineStr">
        <is>
          <t>S04</t>
        </is>
      </c>
      <c r="D524" t="inlineStr">
        <is>
          <t>P203</t>
        </is>
      </c>
      <c r="E524" t="n">
        <v>3</v>
      </c>
      <c r="F524" t="n">
        <v>19.5</v>
      </c>
      <c r="G524" t="n">
        <v>0</v>
      </c>
      <c r="H524">
        <f>E524*F524*(1-G524)</f>
        <v/>
      </c>
      <c r="I524">
        <f>XLOOKUP(D524,Products!$A$2:$A$15,Products!$B$2:$B$15,"Not found")</f>
        <v/>
      </c>
    </row>
    <row r="525">
      <c r="A525" t="n">
        <v>104844</v>
      </c>
      <c r="B525" s="1" t="n">
        <v>45694</v>
      </c>
      <c r="C525" t="inlineStr">
        <is>
          <t>S01</t>
        </is>
      </c>
      <c r="D525" t="inlineStr">
        <is>
          <t>P202</t>
        </is>
      </c>
      <c r="E525" t="n">
        <v>2</v>
      </c>
      <c r="F525" t="n">
        <v>79</v>
      </c>
      <c r="G525" t="n">
        <v>0</v>
      </c>
      <c r="H525">
        <f>E525*F525*(1-G525)</f>
        <v/>
      </c>
      <c r="I525">
        <f>XLOOKUP(D525,Products!$A$2:$A$15,Products!$B$2:$B$15,"Not found")</f>
        <v/>
      </c>
    </row>
    <row r="526">
      <c r="A526" t="n">
        <v>104845</v>
      </c>
      <c r="B526" s="1" t="n">
        <v>45694</v>
      </c>
      <c r="C526" t="inlineStr">
        <is>
          <t>S01</t>
        </is>
      </c>
      <c r="D526" t="inlineStr">
        <is>
          <t>P203</t>
        </is>
      </c>
      <c r="E526" t="n">
        <v>2</v>
      </c>
      <c r="F526" t="n">
        <v>19.5</v>
      </c>
      <c r="G526" t="n">
        <v>0.2</v>
      </c>
      <c r="H526">
        <f>E526*F526*(1-G526)</f>
        <v/>
      </c>
      <c r="I526">
        <f>XLOOKUP(D526,Products!$A$2:$A$15,Products!$B$2:$B$15,"Not found")</f>
        <v/>
      </c>
    </row>
    <row r="527">
      <c r="A527" t="n">
        <v>104846</v>
      </c>
      <c r="B527" s="1" t="n">
        <v>45694</v>
      </c>
      <c r="C527" t="inlineStr">
        <is>
          <t>S02</t>
        </is>
      </c>
      <c r="D527" t="inlineStr">
        <is>
          <t>P201</t>
        </is>
      </c>
      <c r="E527" t="n">
        <v>1</v>
      </c>
      <c r="F527" t="n">
        <v>149</v>
      </c>
      <c r="G527" t="n">
        <v>0</v>
      </c>
      <c r="H527">
        <f>E527*F527*(1-G527)</f>
        <v/>
      </c>
      <c r="I527">
        <f>XLOOKUP(D527,Products!$A$2:$A$15,Products!$B$2:$B$15,"Not found")</f>
        <v/>
      </c>
    </row>
    <row r="528">
      <c r="A528" t="n">
        <v>104847</v>
      </c>
      <c r="B528" s="1" t="n">
        <v>45694</v>
      </c>
      <c r="C528" t="inlineStr">
        <is>
          <t>S02</t>
        </is>
      </c>
      <c r="D528" t="inlineStr">
        <is>
          <t>P102</t>
        </is>
      </c>
      <c r="E528" t="n">
        <v>4</v>
      </c>
      <c r="F528" t="n">
        <v>14.5</v>
      </c>
      <c r="G528" t="n">
        <v>0</v>
      </c>
      <c r="H528">
        <f>E528*F528*(1-G528)</f>
        <v/>
      </c>
      <c r="I528">
        <f>XLOOKUP(D528,Products!$A$2:$A$15,Products!$B$2:$B$15,"Not found")</f>
        <v/>
      </c>
    </row>
    <row r="529">
      <c r="A529" t="n">
        <v>104848</v>
      </c>
      <c r="B529" s="1" t="n">
        <v>45694</v>
      </c>
      <c r="C529" t="inlineStr">
        <is>
          <t>S04</t>
        </is>
      </c>
      <c r="D529" t="inlineStr">
        <is>
          <t>P301</t>
        </is>
      </c>
      <c r="E529" t="n">
        <v>1</v>
      </c>
      <c r="F529" t="n">
        <v>119</v>
      </c>
      <c r="G529" t="n">
        <v>0</v>
      </c>
      <c r="H529">
        <f>E529*F529*(1-G529)</f>
        <v/>
      </c>
      <c r="I529">
        <f>XLOOKUP(D529,Products!$A$2:$A$15,Products!$B$2:$B$15,"Not found")</f>
        <v/>
      </c>
    </row>
    <row r="530">
      <c r="A530" t="n">
        <v>104849</v>
      </c>
      <c r="B530" s="1" t="n">
        <v>45694</v>
      </c>
      <c r="C530" t="inlineStr">
        <is>
          <t>S05</t>
        </is>
      </c>
      <c r="D530" t="inlineStr">
        <is>
          <t>P102</t>
        </is>
      </c>
      <c r="E530" t="n">
        <v>1</v>
      </c>
      <c r="F530" t="n">
        <v>14.5</v>
      </c>
      <c r="G530" t="n">
        <v>0</v>
      </c>
      <c r="H530">
        <f>E530*F530*(1-G530)</f>
        <v/>
      </c>
      <c r="I530">
        <f>XLOOKUP(D530,Products!$A$2:$A$15,Products!$B$2:$B$15,"Not found")</f>
        <v/>
      </c>
    </row>
    <row r="531">
      <c r="A531" t="n">
        <v>104850</v>
      </c>
      <c r="B531" s="1" t="n">
        <v>45694</v>
      </c>
      <c r="C531" t="inlineStr">
        <is>
          <t>S05</t>
        </is>
      </c>
      <c r="D531" t="inlineStr">
        <is>
          <t>P201</t>
        </is>
      </c>
      <c r="E531" t="n">
        <v>1</v>
      </c>
      <c r="F531" t="n">
        <v>149</v>
      </c>
      <c r="G531" t="n">
        <v>0.2</v>
      </c>
      <c r="H531">
        <f>E531*F531*(1-G531)</f>
        <v/>
      </c>
      <c r="I531">
        <f>XLOOKUP(D531,Products!$A$2:$A$15,Products!$B$2:$B$15,"Not found")</f>
        <v/>
      </c>
    </row>
    <row r="532">
      <c r="A532" t="n">
        <v>104851</v>
      </c>
      <c r="B532" s="1" t="n">
        <v>45694</v>
      </c>
      <c r="C532" t="inlineStr">
        <is>
          <t>S05</t>
        </is>
      </c>
      <c r="D532" t="inlineStr">
        <is>
          <t>P102</t>
        </is>
      </c>
      <c r="E532" t="n">
        <v>1</v>
      </c>
      <c r="F532" t="n">
        <v>14.5</v>
      </c>
      <c r="G532" t="n">
        <v>0.1</v>
      </c>
      <c r="H532">
        <f>E532*F532*(1-G532)</f>
        <v/>
      </c>
      <c r="I532">
        <f>XLOOKUP(D532,Products!$A$2:$A$15,Products!$B$2:$B$15,"Not found")</f>
        <v/>
      </c>
    </row>
    <row r="533">
      <c r="A533" t="n">
        <v>104852</v>
      </c>
      <c r="B533" s="1" t="n">
        <v>45694</v>
      </c>
      <c r="C533" t="inlineStr">
        <is>
          <t>S06</t>
        </is>
      </c>
      <c r="D533" t="inlineStr">
        <is>
          <t>P103</t>
        </is>
      </c>
      <c r="E533" t="n">
        <v>1</v>
      </c>
      <c r="F533" t="n">
        <v>29</v>
      </c>
      <c r="G533" t="n">
        <v>0</v>
      </c>
      <c r="H533">
        <f>E533*F533*(1-G533)</f>
        <v/>
      </c>
      <c r="I533">
        <f>XLOOKUP(D533,Products!$A$2:$A$15,Products!$B$2:$B$15,"Not found")</f>
        <v/>
      </c>
    </row>
    <row r="534">
      <c r="A534" t="n">
        <v>104853</v>
      </c>
      <c r="B534" s="1" t="n">
        <v>45695</v>
      </c>
      <c r="C534" t="inlineStr">
        <is>
          <t>S01</t>
        </is>
      </c>
      <c r="D534" t="inlineStr">
        <is>
          <t>P203</t>
        </is>
      </c>
      <c r="E534" t="n">
        <v>1</v>
      </c>
      <c r="F534" t="n">
        <v>19.5</v>
      </c>
      <c r="G534" t="n">
        <v>0.2</v>
      </c>
      <c r="H534">
        <f>E534*F534*(1-G534)</f>
        <v/>
      </c>
      <c r="I534">
        <f>XLOOKUP(D534,Products!$A$2:$A$15,Products!$B$2:$B$15,"Not found")</f>
        <v/>
      </c>
    </row>
    <row r="535">
      <c r="A535" t="n">
        <v>104854</v>
      </c>
      <c r="B535" s="1" t="n">
        <v>45695</v>
      </c>
      <c r="C535" t="inlineStr">
        <is>
          <t>S01</t>
        </is>
      </c>
      <c r="D535" t="inlineStr">
        <is>
          <t>P101</t>
        </is>
      </c>
      <c r="E535" t="n">
        <v>1</v>
      </c>
      <c r="F535" t="n">
        <v>39</v>
      </c>
      <c r="G535" t="n">
        <v>0.1</v>
      </c>
      <c r="H535">
        <f>E535*F535*(1-G535)</f>
        <v/>
      </c>
      <c r="I535">
        <f>XLOOKUP(D535,Products!$A$2:$A$15,Products!$B$2:$B$15,"Not found")</f>
        <v/>
      </c>
    </row>
    <row r="536">
      <c r="A536" t="n">
        <v>104855</v>
      </c>
      <c r="B536" s="1" t="n">
        <v>45695</v>
      </c>
      <c r="C536" t="inlineStr">
        <is>
          <t>S01</t>
        </is>
      </c>
      <c r="D536" t="inlineStr">
        <is>
          <t>P103</t>
        </is>
      </c>
      <c r="E536" t="n">
        <v>1</v>
      </c>
      <c r="F536" t="n">
        <v>29</v>
      </c>
      <c r="G536" t="n">
        <v>0</v>
      </c>
      <c r="H536">
        <f>E536*F536*(1-G536)</f>
        <v/>
      </c>
      <c r="I536">
        <f>XLOOKUP(D536,Products!$A$2:$A$15,Products!$B$2:$B$15,"Not found")</f>
        <v/>
      </c>
    </row>
    <row r="537">
      <c r="A537" t="n">
        <v>104856</v>
      </c>
      <c r="B537" s="1" t="n">
        <v>45695</v>
      </c>
      <c r="C537" t="inlineStr">
        <is>
          <t>S01</t>
        </is>
      </c>
      <c r="D537" t="inlineStr">
        <is>
          <t>P203</t>
        </is>
      </c>
      <c r="E537" t="n">
        <v>4</v>
      </c>
      <c r="F537" t="n">
        <v>19.5</v>
      </c>
      <c r="G537" t="n">
        <v>0</v>
      </c>
      <c r="H537">
        <f>E537*F537*(1-G537)</f>
        <v/>
      </c>
      <c r="I537">
        <f>XLOOKUP(D537,Products!$A$2:$A$15,Products!$B$2:$B$15,"Not found")</f>
        <v/>
      </c>
    </row>
    <row r="538">
      <c r="A538" t="n">
        <v>104857</v>
      </c>
      <c r="B538" s="1" t="n">
        <v>45695</v>
      </c>
      <c r="C538" t="inlineStr">
        <is>
          <t>S02</t>
        </is>
      </c>
      <c r="D538" t="inlineStr">
        <is>
          <t>P103</t>
        </is>
      </c>
      <c r="E538" t="n">
        <v>2</v>
      </c>
      <c r="F538" t="n">
        <v>29</v>
      </c>
      <c r="G538" t="n">
        <v>0.2</v>
      </c>
      <c r="H538">
        <f>E538*F538*(1-G538)</f>
        <v/>
      </c>
      <c r="I538">
        <f>XLOOKUP(D538,Products!$A$2:$A$15,Products!$B$2:$B$15,"Not found")</f>
        <v/>
      </c>
    </row>
    <row r="539">
      <c r="A539" t="n">
        <v>104858</v>
      </c>
      <c r="B539" s="1" t="n">
        <v>45695</v>
      </c>
      <c r="C539" t="inlineStr">
        <is>
          <t>S02</t>
        </is>
      </c>
      <c r="D539" t="inlineStr">
        <is>
          <t>P101</t>
        </is>
      </c>
      <c r="E539" t="n">
        <v>2</v>
      </c>
      <c r="F539" t="n">
        <v>39</v>
      </c>
      <c r="G539" t="n">
        <v>0</v>
      </c>
      <c r="H539">
        <f>E539*F539*(1-G539)</f>
        <v/>
      </c>
      <c r="I539">
        <f>XLOOKUP(D539,Products!$A$2:$A$15,Products!$B$2:$B$15,"Not found")</f>
        <v/>
      </c>
    </row>
    <row r="540">
      <c r="A540" t="n">
        <v>104859</v>
      </c>
      <c r="B540" s="1" t="n">
        <v>45695</v>
      </c>
      <c r="C540" t="inlineStr">
        <is>
          <t>S03</t>
        </is>
      </c>
      <c r="D540" t="inlineStr">
        <is>
          <t>P301</t>
        </is>
      </c>
      <c r="E540" t="n">
        <v>1</v>
      </c>
      <c r="F540" t="n">
        <v>119</v>
      </c>
      <c r="G540" t="n">
        <v>0.2</v>
      </c>
      <c r="H540">
        <f>E540*F540*(1-G540)</f>
        <v/>
      </c>
      <c r="I540">
        <f>XLOOKUP(D540,Products!$A$2:$A$15,Products!$B$2:$B$15,"Not found")</f>
        <v/>
      </c>
    </row>
    <row r="541">
      <c r="A541" t="n">
        <v>104860</v>
      </c>
      <c r="B541" s="1" t="n">
        <v>45695</v>
      </c>
      <c r="C541" t="inlineStr">
        <is>
          <t>S03</t>
        </is>
      </c>
      <c r="D541" t="inlineStr">
        <is>
          <t>P204</t>
        </is>
      </c>
      <c r="E541" t="n">
        <v>1</v>
      </c>
      <c r="F541" t="n">
        <v>229</v>
      </c>
      <c r="G541" t="n">
        <v>0</v>
      </c>
      <c r="H541">
        <f>E541*F541*(1-G541)</f>
        <v/>
      </c>
      <c r="I541">
        <f>XLOOKUP(D541,Products!$A$2:$A$15,Products!$B$2:$B$15,"Not found")</f>
        <v/>
      </c>
    </row>
    <row r="542">
      <c r="A542" t="n">
        <v>104861</v>
      </c>
      <c r="B542" s="1" t="n">
        <v>45695</v>
      </c>
      <c r="C542" t="inlineStr">
        <is>
          <t>S04</t>
        </is>
      </c>
      <c r="D542" t="inlineStr">
        <is>
          <t>P203</t>
        </is>
      </c>
      <c r="E542" t="n">
        <v>3</v>
      </c>
      <c r="F542" t="n">
        <v>19.5</v>
      </c>
      <c r="G542" t="n">
        <v>0.15</v>
      </c>
      <c r="H542">
        <f>E542*F542*(1-G542)</f>
        <v/>
      </c>
      <c r="I542">
        <f>XLOOKUP(D542,Products!$A$2:$A$15,Products!$B$2:$B$15,"Not found")</f>
        <v/>
      </c>
    </row>
    <row r="543">
      <c r="A543" t="n">
        <v>104862</v>
      </c>
      <c r="B543" s="1" t="n">
        <v>45695</v>
      </c>
      <c r="C543" t="inlineStr">
        <is>
          <t>S04</t>
        </is>
      </c>
      <c r="D543" t="inlineStr">
        <is>
          <t>P303</t>
        </is>
      </c>
      <c r="E543" t="n">
        <v>2</v>
      </c>
      <c r="F543" t="n">
        <v>12</v>
      </c>
      <c r="G543" t="n">
        <v>0</v>
      </c>
      <c r="H543">
        <f>E543*F543*(1-G543)</f>
        <v/>
      </c>
      <c r="I543">
        <f>XLOOKUP(D543,Products!$A$2:$A$15,Products!$B$2:$B$15,"Not found")</f>
        <v/>
      </c>
    </row>
    <row r="544">
      <c r="A544" t="n">
        <v>104863</v>
      </c>
      <c r="B544" s="1" t="n">
        <v>45695</v>
      </c>
      <c r="C544" t="inlineStr">
        <is>
          <t>S05</t>
        </is>
      </c>
      <c r="D544" t="inlineStr">
        <is>
          <t>P103</t>
        </is>
      </c>
      <c r="E544" t="n">
        <v>1</v>
      </c>
      <c r="F544" t="n">
        <v>29</v>
      </c>
      <c r="G544" t="n">
        <v>0.2</v>
      </c>
      <c r="H544">
        <f>E544*F544*(1-G544)</f>
        <v/>
      </c>
      <c r="I544">
        <f>XLOOKUP(D544,Products!$A$2:$A$15,Products!$B$2:$B$15,"Not found")</f>
        <v/>
      </c>
    </row>
    <row r="545">
      <c r="A545" t="n">
        <v>104864</v>
      </c>
      <c r="B545" s="1" t="n">
        <v>45695</v>
      </c>
      <c r="C545" t="inlineStr">
        <is>
          <t>S05</t>
        </is>
      </c>
      <c r="D545" t="inlineStr">
        <is>
          <t>P103</t>
        </is>
      </c>
      <c r="E545" t="n">
        <v>2</v>
      </c>
      <c r="F545" t="n">
        <v>29</v>
      </c>
      <c r="G545" t="n">
        <v>0</v>
      </c>
      <c r="H545">
        <f>E545*F545*(1-G545)</f>
        <v/>
      </c>
      <c r="I545">
        <f>XLOOKUP(D545,Products!$A$2:$A$15,Products!$B$2:$B$15,"Not found")</f>
        <v/>
      </c>
    </row>
    <row r="546">
      <c r="A546" t="n">
        <v>104865</v>
      </c>
      <c r="B546" s="1" t="n">
        <v>45696</v>
      </c>
      <c r="C546" t="inlineStr">
        <is>
          <t>S01</t>
        </is>
      </c>
      <c r="D546" t="inlineStr">
        <is>
          <t>P402</t>
        </is>
      </c>
      <c r="E546" t="n">
        <v>1</v>
      </c>
      <c r="F546" t="n">
        <v>699</v>
      </c>
      <c r="G546" t="n">
        <v>0.2</v>
      </c>
      <c r="H546">
        <f>E546*F546*(1-G546)</f>
        <v/>
      </c>
      <c r="I546">
        <f>XLOOKUP(D546,Products!$A$2:$A$15,Products!$B$2:$B$15,"Not found")</f>
        <v/>
      </c>
    </row>
    <row r="547">
      <c r="A547" t="n">
        <v>104866</v>
      </c>
      <c r="B547" s="1" t="n">
        <v>45696</v>
      </c>
      <c r="C547" t="inlineStr">
        <is>
          <t>S01</t>
        </is>
      </c>
      <c r="D547" t="inlineStr">
        <is>
          <t>P303</t>
        </is>
      </c>
      <c r="E547" t="n">
        <v>2</v>
      </c>
      <c r="F547" t="n">
        <v>12</v>
      </c>
      <c r="G547" t="n">
        <v>0.1</v>
      </c>
      <c r="H547">
        <f>E547*F547*(1-G547)</f>
        <v/>
      </c>
      <c r="I547">
        <f>XLOOKUP(D547,Products!$A$2:$A$15,Products!$B$2:$B$15,"Not found")</f>
        <v/>
      </c>
    </row>
    <row r="548">
      <c r="A548" t="n">
        <v>104867</v>
      </c>
      <c r="B548" s="1" t="n">
        <v>45696</v>
      </c>
      <c r="C548" t="inlineStr">
        <is>
          <t>S01</t>
        </is>
      </c>
      <c r="D548" t="inlineStr">
        <is>
          <t>P102</t>
        </is>
      </c>
      <c r="E548" t="n">
        <v>1</v>
      </c>
      <c r="F548" t="n">
        <v>14.5</v>
      </c>
      <c r="G548" t="n">
        <v>0</v>
      </c>
      <c r="H548">
        <f>E548*F548*(1-G548)</f>
        <v/>
      </c>
      <c r="I548">
        <f>XLOOKUP(D548,Products!$A$2:$A$15,Products!$B$2:$B$15,"Not found")</f>
        <v/>
      </c>
    </row>
    <row r="549">
      <c r="A549" t="n">
        <v>104868</v>
      </c>
      <c r="B549" s="1" t="n">
        <v>45696</v>
      </c>
      <c r="C549" t="inlineStr">
        <is>
          <t>S01</t>
        </is>
      </c>
      <c r="D549" t="inlineStr">
        <is>
          <t>P203</t>
        </is>
      </c>
      <c r="E549" t="n">
        <v>2</v>
      </c>
      <c r="F549" t="n">
        <v>19.5</v>
      </c>
      <c r="G549" t="n">
        <v>0</v>
      </c>
      <c r="H549">
        <f>E549*F549*(1-G549)</f>
        <v/>
      </c>
      <c r="I549">
        <f>XLOOKUP(D549,Products!$A$2:$A$15,Products!$B$2:$B$15,"Not found")</f>
        <v/>
      </c>
    </row>
    <row r="550">
      <c r="A550" t="n">
        <v>104869</v>
      </c>
      <c r="B550" s="1" t="n">
        <v>45696</v>
      </c>
      <c r="C550" t="inlineStr">
        <is>
          <t>S01</t>
        </is>
      </c>
      <c r="D550" t="inlineStr">
        <is>
          <t>P102</t>
        </is>
      </c>
      <c r="E550" t="n">
        <v>3</v>
      </c>
      <c r="F550" t="n">
        <v>14.5</v>
      </c>
      <c r="G550" t="n">
        <v>0</v>
      </c>
      <c r="H550">
        <f>E550*F550*(1-G550)</f>
        <v/>
      </c>
      <c r="I550">
        <f>XLOOKUP(D550,Products!$A$2:$A$15,Products!$B$2:$B$15,"Not found")</f>
        <v/>
      </c>
    </row>
    <row r="551">
      <c r="A551" t="n">
        <v>104870</v>
      </c>
      <c r="B551" s="1" t="n">
        <v>45696</v>
      </c>
      <c r="C551" t="inlineStr">
        <is>
          <t>S01</t>
        </is>
      </c>
      <c r="D551" t="inlineStr">
        <is>
          <t>P102</t>
        </is>
      </c>
      <c r="E551" t="n">
        <v>1</v>
      </c>
      <c r="F551" t="n">
        <v>14.5</v>
      </c>
      <c r="G551" t="n">
        <v>0.15</v>
      </c>
      <c r="H551">
        <f>E551*F551*(1-G551)</f>
        <v/>
      </c>
      <c r="I551">
        <f>XLOOKUP(D551,Products!$A$2:$A$15,Products!$B$2:$B$15,"Not found")</f>
        <v/>
      </c>
    </row>
    <row r="552">
      <c r="A552" t="n">
        <v>104871</v>
      </c>
      <c r="B552" s="1" t="n">
        <v>45696</v>
      </c>
      <c r="C552" t="inlineStr">
        <is>
          <t>S02</t>
        </is>
      </c>
      <c r="D552" t="inlineStr">
        <is>
          <t>P104</t>
        </is>
      </c>
      <c r="E552" t="n">
        <v>1</v>
      </c>
      <c r="F552" t="n">
        <v>189</v>
      </c>
      <c r="G552" t="n">
        <v>0</v>
      </c>
      <c r="H552">
        <f>E552*F552*(1-G552)</f>
        <v/>
      </c>
      <c r="I552">
        <f>XLOOKUP(D552,Products!$A$2:$A$15,Products!$B$2:$B$15,"Not found")</f>
        <v/>
      </c>
    </row>
    <row r="553">
      <c r="A553" t="n">
        <v>104872</v>
      </c>
      <c r="B553" s="1" t="n">
        <v>45696</v>
      </c>
      <c r="C553" t="inlineStr">
        <is>
          <t>S03</t>
        </is>
      </c>
      <c r="D553" t="inlineStr">
        <is>
          <t>P203</t>
        </is>
      </c>
      <c r="E553" t="n">
        <v>4</v>
      </c>
      <c r="F553" t="n">
        <v>19.5</v>
      </c>
      <c r="G553" t="n">
        <v>0</v>
      </c>
      <c r="H553">
        <f>E553*F553*(1-G553)</f>
        <v/>
      </c>
      <c r="I553">
        <f>XLOOKUP(D553,Products!$A$2:$A$15,Products!$B$2:$B$15,"Not found")</f>
        <v/>
      </c>
    </row>
    <row r="554">
      <c r="A554" t="n">
        <v>104873</v>
      </c>
      <c r="B554" s="1" t="n">
        <v>45696</v>
      </c>
      <c r="C554" t="inlineStr">
        <is>
          <t>S03</t>
        </is>
      </c>
      <c r="D554" t="inlineStr">
        <is>
          <t>P202</t>
        </is>
      </c>
      <c r="E554" t="n">
        <v>3</v>
      </c>
      <c r="F554" t="n">
        <v>79</v>
      </c>
      <c r="G554" t="n">
        <v>0.15</v>
      </c>
      <c r="H554">
        <f>E554*F554*(1-G554)</f>
        <v/>
      </c>
      <c r="I554">
        <f>XLOOKUP(D554,Products!$A$2:$A$15,Products!$B$2:$B$15,"Not found")</f>
        <v/>
      </c>
    </row>
    <row r="555">
      <c r="A555" t="n">
        <v>104874</v>
      </c>
      <c r="B555" s="1" t="n">
        <v>45696</v>
      </c>
      <c r="C555" t="inlineStr">
        <is>
          <t>S04</t>
        </is>
      </c>
      <c r="D555" t="inlineStr">
        <is>
          <t>P302</t>
        </is>
      </c>
      <c r="E555" t="n">
        <v>1</v>
      </c>
      <c r="F555" t="n">
        <v>24</v>
      </c>
      <c r="G555" t="n">
        <v>0</v>
      </c>
      <c r="H555">
        <f>E555*F555*(1-G555)</f>
        <v/>
      </c>
      <c r="I555">
        <f>XLOOKUP(D555,Products!$A$2:$A$15,Products!$B$2:$B$15,"Not found")</f>
        <v/>
      </c>
    </row>
    <row r="556">
      <c r="A556" t="n">
        <v>104875</v>
      </c>
      <c r="B556" s="1" t="n">
        <v>45696</v>
      </c>
      <c r="C556" t="inlineStr">
        <is>
          <t>S04</t>
        </is>
      </c>
      <c r="D556" t="inlineStr">
        <is>
          <t>P102</t>
        </is>
      </c>
      <c r="E556" t="n">
        <v>2</v>
      </c>
      <c r="F556" t="n">
        <v>14.5</v>
      </c>
      <c r="G556" t="n">
        <v>0</v>
      </c>
      <c r="H556">
        <f>E556*F556*(1-G556)</f>
        <v/>
      </c>
      <c r="I556">
        <f>XLOOKUP(D556,Products!$A$2:$A$15,Products!$B$2:$B$15,"Not found")</f>
        <v/>
      </c>
    </row>
    <row r="557">
      <c r="A557" t="n">
        <v>104876</v>
      </c>
      <c r="B557" s="1" t="n">
        <v>45696</v>
      </c>
      <c r="C557" t="inlineStr">
        <is>
          <t>S04</t>
        </is>
      </c>
      <c r="D557" t="inlineStr">
        <is>
          <t>P303</t>
        </is>
      </c>
      <c r="E557" t="n">
        <v>2</v>
      </c>
      <c r="F557" t="n">
        <v>12</v>
      </c>
      <c r="G557" t="n">
        <v>0</v>
      </c>
      <c r="H557">
        <f>E557*F557*(1-G557)</f>
        <v/>
      </c>
      <c r="I557">
        <f>XLOOKUP(D557,Products!$A$2:$A$15,Products!$B$2:$B$15,"Not found")</f>
        <v/>
      </c>
    </row>
    <row r="558">
      <c r="A558" t="n">
        <v>104877</v>
      </c>
      <c r="B558" s="1" t="n">
        <v>45696</v>
      </c>
      <c r="C558" t="inlineStr">
        <is>
          <t>S05</t>
        </is>
      </c>
      <c r="D558" t="inlineStr">
        <is>
          <t>P303</t>
        </is>
      </c>
      <c r="E558" t="n">
        <v>2</v>
      </c>
      <c r="F558" t="n">
        <v>12</v>
      </c>
      <c r="G558" t="n">
        <v>0</v>
      </c>
      <c r="H558">
        <f>E558*F558*(1-G558)</f>
        <v/>
      </c>
      <c r="I558">
        <f>XLOOKUP(D558,Products!$A$2:$A$15,Products!$B$2:$B$15,"Not found")</f>
        <v/>
      </c>
    </row>
    <row r="559">
      <c r="A559" t="n">
        <v>104878</v>
      </c>
      <c r="B559" s="1" t="n">
        <v>45696</v>
      </c>
      <c r="C559" t="inlineStr">
        <is>
          <t>S05</t>
        </is>
      </c>
      <c r="D559" t="inlineStr">
        <is>
          <t>P201</t>
        </is>
      </c>
      <c r="E559" t="n">
        <v>1</v>
      </c>
      <c r="F559" t="n">
        <v>149</v>
      </c>
      <c r="G559" t="n">
        <v>0</v>
      </c>
      <c r="H559">
        <f>E559*F559*(1-G559)</f>
        <v/>
      </c>
      <c r="I559">
        <f>XLOOKUP(D559,Products!$A$2:$A$15,Products!$B$2:$B$15,"Not found")</f>
        <v/>
      </c>
    </row>
    <row r="560">
      <c r="A560" t="n">
        <v>104879</v>
      </c>
      <c r="B560" s="1" t="n">
        <v>45697</v>
      </c>
      <c r="C560" t="inlineStr">
        <is>
          <t>S01</t>
        </is>
      </c>
      <c r="D560" t="inlineStr">
        <is>
          <t>P202</t>
        </is>
      </c>
      <c r="E560" t="n">
        <v>3</v>
      </c>
      <c r="F560" t="n">
        <v>79</v>
      </c>
      <c r="G560" t="n">
        <v>0</v>
      </c>
      <c r="H560">
        <f>E560*F560*(1-G560)</f>
        <v/>
      </c>
      <c r="I560">
        <f>XLOOKUP(D560,Products!$A$2:$A$15,Products!$B$2:$B$15,"Not found")</f>
        <v/>
      </c>
    </row>
    <row r="561">
      <c r="A561" t="n">
        <v>104880</v>
      </c>
      <c r="B561" s="1" t="n">
        <v>45697</v>
      </c>
      <c r="C561" t="inlineStr">
        <is>
          <t>S01</t>
        </is>
      </c>
      <c r="D561" t="inlineStr">
        <is>
          <t>P101</t>
        </is>
      </c>
      <c r="E561" t="n">
        <v>1</v>
      </c>
      <c r="F561" t="n">
        <v>39</v>
      </c>
      <c r="G561" t="n">
        <v>0.15</v>
      </c>
      <c r="H561">
        <f>E561*F561*(1-G561)</f>
        <v/>
      </c>
      <c r="I561">
        <f>XLOOKUP(D561,Products!$A$2:$A$15,Products!$B$2:$B$15,"Not found")</f>
        <v/>
      </c>
    </row>
    <row r="562">
      <c r="A562" t="n">
        <v>104881</v>
      </c>
      <c r="B562" s="1" t="n">
        <v>45697</v>
      </c>
      <c r="C562" t="inlineStr">
        <is>
          <t>S01</t>
        </is>
      </c>
      <c r="D562" t="inlineStr">
        <is>
          <t>P203</t>
        </is>
      </c>
      <c r="E562" t="n">
        <v>3</v>
      </c>
      <c r="F562" t="n">
        <v>19.5</v>
      </c>
      <c r="G562" t="n">
        <v>0.1</v>
      </c>
      <c r="H562">
        <f>E562*F562*(1-G562)</f>
        <v/>
      </c>
      <c r="I562">
        <f>XLOOKUP(D562,Products!$A$2:$A$15,Products!$B$2:$B$15,"Not found")</f>
        <v/>
      </c>
    </row>
    <row r="563">
      <c r="A563" t="n">
        <v>104882</v>
      </c>
      <c r="B563" s="1" t="n">
        <v>45697</v>
      </c>
      <c r="C563" t="inlineStr">
        <is>
          <t>S01</t>
        </is>
      </c>
      <c r="D563" t="inlineStr">
        <is>
          <t>P202</t>
        </is>
      </c>
      <c r="E563" t="n">
        <v>2</v>
      </c>
      <c r="F563" t="n">
        <v>79</v>
      </c>
      <c r="G563" t="n">
        <v>0</v>
      </c>
      <c r="H563">
        <f>E563*F563*(1-G563)</f>
        <v/>
      </c>
      <c r="I563">
        <f>XLOOKUP(D563,Products!$A$2:$A$15,Products!$B$2:$B$15,"Not found")</f>
        <v/>
      </c>
    </row>
    <row r="564">
      <c r="A564" t="n">
        <v>104883</v>
      </c>
      <c r="B564" s="1" t="n">
        <v>45697</v>
      </c>
      <c r="C564" t="inlineStr">
        <is>
          <t>S02</t>
        </is>
      </c>
      <c r="D564" t="inlineStr">
        <is>
          <t>P102</t>
        </is>
      </c>
      <c r="E564" t="n">
        <v>1</v>
      </c>
      <c r="F564" t="n">
        <v>14.5</v>
      </c>
      <c r="G564" t="n">
        <v>0</v>
      </c>
      <c r="H564">
        <f>E564*F564*(1-G564)</f>
        <v/>
      </c>
      <c r="I564">
        <f>XLOOKUP(D564,Products!$A$2:$A$15,Products!$B$2:$B$15,"Not found")</f>
        <v/>
      </c>
    </row>
    <row r="565">
      <c r="A565" t="n">
        <v>104884</v>
      </c>
      <c r="B565" s="1" t="n">
        <v>45697</v>
      </c>
      <c r="C565" t="inlineStr">
        <is>
          <t>S02</t>
        </is>
      </c>
      <c r="D565" t="inlineStr">
        <is>
          <t>P202</t>
        </is>
      </c>
      <c r="E565" t="n">
        <v>1</v>
      </c>
      <c r="F565" t="n">
        <v>79</v>
      </c>
      <c r="G565" t="n">
        <v>0.2</v>
      </c>
      <c r="H565">
        <f>E565*F565*(1-G565)</f>
        <v/>
      </c>
      <c r="I565">
        <f>XLOOKUP(D565,Products!$A$2:$A$15,Products!$B$2:$B$15,"Not found")</f>
        <v/>
      </c>
    </row>
    <row r="566">
      <c r="A566" t="n">
        <v>104885</v>
      </c>
      <c r="B566" s="1" t="n">
        <v>45697</v>
      </c>
      <c r="C566" t="inlineStr">
        <is>
          <t>S03</t>
        </is>
      </c>
      <c r="D566" t="inlineStr">
        <is>
          <t>P201</t>
        </is>
      </c>
      <c r="E566" t="n">
        <v>1</v>
      </c>
      <c r="F566" t="n">
        <v>149</v>
      </c>
      <c r="G566" t="n">
        <v>0</v>
      </c>
      <c r="H566">
        <f>E566*F566*(1-G566)</f>
        <v/>
      </c>
      <c r="I566">
        <f>XLOOKUP(D566,Products!$A$2:$A$15,Products!$B$2:$B$15,"Not found")</f>
        <v/>
      </c>
    </row>
    <row r="567">
      <c r="A567" t="n">
        <v>104886</v>
      </c>
      <c r="B567" s="1" t="n">
        <v>45697</v>
      </c>
      <c r="C567" t="inlineStr">
        <is>
          <t>S03</t>
        </is>
      </c>
      <c r="D567" t="inlineStr">
        <is>
          <t>P102</t>
        </is>
      </c>
      <c r="E567" t="n">
        <v>3</v>
      </c>
      <c r="F567" t="n">
        <v>14.5</v>
      </c>
      <c r="G567" t="n">
        <v>0</v>
      </c>
      <c r="H567">
        <f>E567*F567*(1-G567)</f>
        <v/>
      </c>
      <c r="I567">
        <f>XLOOKUP(D567,Products!$A$2:$A$15,Products!$B$2:$B$15,"Not found")</f>
        <v/>
      </c>
    </row>
    <row r="568">
      <c r="A568" t="n">
        <v>104887</v>
      </c>
      <c r="B568" s="1" t="n">
        <v>45697</v>
      </c>
      <c r="C568" t="inlineStr">
        <is>
          <t>S04</t>
        </is>
      </c>
      <c r="D568" t="inlineStr">
        <is>
          <t>P102</t>
        </is>
      </c>
      <c r="E568" t="n">
        <v>2</v>
      </c>
      <c r="F568" t="n">
        <v>14.5</v>
      </c>
      <c r="G568" t="n">
        <v>0</v>
      </c>
      <c r="H568">
        <f>E568*F568*(1-G568)</f>
        <v/>
      </c>
      <c r="I568">
        <f>XLOOKUP(D568,Products!$A$2:$A$15,Products!$B$2:$B$15,"Not found")</f>
        <v/>
      </c>
    </row>
    <row r="569">
      <c r="A569" t="n">
        <v>104888</v>
      </c>
      <c r="B569" s="1" t="n">
        <v>45697</v>
      </c>
      <c r="C569" t="inlineStr">
        <is>
          <t>S05</t>
        </is>
      </c>
      <c r="D569" t="inlineStr">
        <is>
          <t>P101</t>
        </is>
      </c>
      <c r="E569" t="n">
        <v>3</v>
      </c>
      <c r="F569" t="n">
        <v>39</v>
      </c>
      <c r="G569" t="n">
        <v>0.15</v>
      </c>
      <c r="H569">
        <f>E569*F569*(1-G569)</f>
        <v/>
      </c>
      <c r="I569">
        <f>XLOOKUP(D569,Products!$A$2:$A$15,Products!$B$2:$B$15,"Not found")</f>
        <v/>
      </c>
    </row>
    <row r="570">
      <c r="A570" t="n">
        <v>104889</v>
      </c>
      <c r="B570" s="1" t="n">
        <v>45697</v>
      </c>
      <c r="C570" t="inlineStr">
        <is>
          <t>S05</t>
        </is>
      </c>
      <c r="D570" t="inlineStr">
        <is>
          <t>P302</t>
        </is>
      </c>
      <c r="E570" t="n">
        <v>2</v>
      </c>
      <c r="F570" t="n">
        <v>24</v>
      </c>
      <c r="G570" t="n">
        <v>0</v>
      </c>
      <c r="H570">
        <f>E570*F570*(1-G570)</f>
        <v/>
      </c>
      <c r="I570">
        <f>XLOOKUP(D570,Products!$A$2:$A$15,Products!$B$2:$B$15,"Not found")</f>
        <v/>
      </c>
    </row>
    <row r="571">
      <c r="A571" t="n">
        <v>104890</v>
      </c>
      <c r="B571" s="1" t="n">
        <v>45697</v>
      </c>
      <c r="C571" t="inlineStr">
        <is>
          <t>S05</t>
        </is>
      </c>
      <c r="D571" t="inlineStr">
        <is>
          <t>P103</t>
        </is>
      </c>
      <c r="E571" t="n">
        <v>2</v>
      </c>
      <c r="F571" t="n">
        <v>29</v>
      </c>
      <c r="G571" t="n">
        <v>0</v>
      </c>
      <c r="H571">
        <f>E571*F571*(1-G571)</f>
        <v/>
      </c>
      <c r="I571">
        <f>XLOOKUP(D571,Products!$A$2:$A$15,Products!$B$2:$B$15,"Not found")</f>
        <v/>
      </c>
    </row>
    <row r="572">
      <c r="A572" t="n">
        <v>104891</v>
      </c>
      <c r="B572" s="1" t="n">
        <v>45697</v>
      </c>
      <c r="C572" t="inlineStr">
        <is>
          <t>S05</t>
        </is>
      </c>
      <c r="D572" t="inlineStr">
        <is>
          <t>P301</t>
        </is>
      </c>
      <c r="E572" t="n">
        <v>1</v>
      </c>
      <c r="F572" t="n">
        <v>119</v>
      </c>
      <c r="G572" t="n">
        <v>0</v>
      </c>
      <c r="H572">
        <f>E572*F572*(1-G572)</f>
        <v/>
      </c>
      <c r="I572">
        <f>XLOOKUP(D572,Products!$A$2:$A$15,Products!$B$2:$B$15,"Not found")</f>
        <v/>
      </c>
    </row>
    <row r="573">
      <c r="A573" t="n">
        <v>104892</v>
      </c>
      <c r="B573" s="1" t="n">
        <v>45697</v>
      </c>
      <c r="C573" t="inlineStr">
        <is>
          <t>S05</t>
        </is>
      </c>
      <c r="D573" t="inlineStr">
        <is>
          <t>P203</t>
        </is>
      </c>
      <c r="E573" t="n">
        <v>2</v>
      </c>
      <c r="F573" t="n">
        <v>19.5</v>
      </c>
      <c r="G573" t="n">
        <v>0</v>
      </c>
      <c r="H573">
        <f>E573*F573*(1-G573)</f>
        <v/>
      </c>
      <c r="I573">
        <f>XLOOKUP(D573,Products!$A$2:$A$15,Products!$B$2:$B$15,"Not found")</f>
        <v/>
      </c>
    </row>
    <row r="574">
      <c r="A574" t="n">
        <v>104893</v>
      </c>
      <c r="B574" s="1" t="n">
        <v>45697</v>
      </c>
      <c r="C574" t="inlineStr">
        <is>
          <t>S05</t>
        </is>
      </c>
      <c r="D574" t="inlineStr">
        <is>
          <t>P201</t>
        </is>
      </c>
      <c r="E574" t="n">
        <v>1</v>
      </c>
      <c r="F574" t="n">
        <v>149</v>
      </c>
      <c r="G574" t="n">
        <v>0</v>
      </c>
      <c r="H574">
        <f>E574*F574*(1-G574)</f>
        <v/>
      </c>
      <c r="I574">
        <f>XLOOKUP(D574,Products!$A$2:$A$15,Products!$B$2:$B$15,"Not found")</f>
        <v/>
      </c>
    </row>
    <row r="575">
      <c r="A575" t="n">
        <v>104894</v>
      </c>
      <c r="B575" s="1" t="n">
        <v>45697</v>
      </c>
      <c r="C575" t="inlineStr">
        <is>
          <t>S06</t>
        </is>
      </c>
      <c r="D575" t="inlineStr">
        <is>
          <t>P103</t>
        </is>
      </c>
      <c r="E575" t="n">
        <v>4</v>
      </c>
      <c r="F575" t="n">
        <v>29</v>
      </c>
      <c r="G575" t="n">
        <v>0</v>
      </c>
      <c r="H575">
        <f>E575*F575*(1-G575)</f>
        <v/>
      </c>
      <c r="I575">
        <f>XLOOKUP(D575,Products!$A$2:$A$15,Products!$B$2:$B$15,"Not found")</f>
        <v/>
      </c>
    </row>
    <row r="576">
      <c r="A576" t="n">
        <v>104895</v>
      </c>
      <c r="B576" s="1" t="n">
        <v>45698</v>
      </c>
      <c r="C576" t="inlineStr">
        <is>
          <t>S01</t>
        </is>
      </c>
      <c r="D576" t="inlineStr">
        <is>
          <t>P203</t>
        </is>
      </c>
      <c r="E576" t="n">
        <v>2</v>
      </c>
      <c r="F576" t="n">
        <v>19.5</v>
      </c>
      <c r="G576" t="n">
        <v>0</v>
      </c>
      <c r="H576">
        <f>E576*F576*(1-G576)</f>
        <v/>
      </c>
      <c r="I576">
        <f>XLOOKUP(D576,Products!$A$2:$A$15,Products!$B$2:$B$15,"Not found")</f>
        <v/>
      </c>
    </row>
    <row r="577">
      <c r="A577" t="n">
        <v>104896</v>
      </c>
      <c r="B577" s="1" t="n">
        <v>45698</v>
      </c>
      <c r="C577" t="inlineStr">
        <is>
          <t>S01</t>
        </is>
      </c>
      <c r="D577" t="inlineStr">
        <is>
          <t>P102</t>
        </is>
      </c>
      <c r="E577" t="n">
        <v>3</v>
      </c>
      <c r="F577" t="n">
        <v>14.5</v>
      </c>
      <c r="G577" t="n">
        <v>0.1</v>
      </c>
      <c r="H577">
        <f>E577*F577*(1-G577)</f>
        <v/>
      </c>
      <c r="I577">
        <f>XLOOKUP(D577,Products!$A$2:$A$15,Products!$B$2:$B$15,"Not found")</f>
        <v/>
      </c>
    </row>
    <row r="578">
      <c r="A578" t="n">
        <v>104897</v>
      </c>
      <c r="B578" s="1" t="n">
        <v>45698</v>
      </c>
      <c r="C578" t="inlineStr">
        <is>
          <t>S01</t>
        </is>
      </c>
      <c r="D578" t="inlineStr">
        <is>
          <t>P203</t>
        </is>
      </c>
      <c r="E578" t="n">
        <v>1</v>
      </c>
      <c r="F578" t="n">
        <v>19.5</v>
      </c>
      <c r="G578" t="n">
        <v>0.2</v>
      </c>
      <c r="H578">
        <f>E578*F578*(1-G578)</f>
        <v/>
      </c>
      <c r="I578">
        <f>XLOOKUP(D578,Products!$A$2:$A$15,Products!$B$2:$B$15,"Not found")</f>
        <v/>
      </c>
    </row>
    <row r="579">
      <c r="A579" t="n">
        <v>104898</v>
      </c>
      <c r="B579" s="1" t="n">
        <v>45698</v>
      </c>
      <c r="C579" t="inlineStr">
        <is>
          <t>S02</t>
        </is>
      </c>
      <c r="D579" t="inlineStr">
        <is>
          <t>P301</t>
        </is>
      </c>
      <c r="E579" t="n">
        <v>1</v>
      </c>
      <c r="F579" t="n">
        <v>119</v>
      </c>
      <c r="G579" t="n">
        <v>0</v>
      </c>
      <c r="H579">
        <f>E579*F579*(1-G579)</f>
        <v/>
      </c>
      <c r="I579">
        <f>XLOOKUP(D579,Products!$A$2:$A$15,Products!$B$2:$B$15,"Not found")</f>
        <v/>
      </c>
    </row>
    <row r="580">
      <c r="A580" t="n">
        <v>104899</v>
      </c>
      <c r="B580" s="1" t="n">
        <v>45698</v>
      </c>
      <c r="C580" t="inlineStr">
        <is>
          <t>S02</t>
        </is>
      </c>
      <c r="D580" t="inlineStr">
        <is>
          <t>P202</t>
        </is>
      </c>
      <c r="E580" t="n">
        <v>1</v>
      </c>
      <c r="F580" t="n">
        <v>79</v>
      </c>
      <c r="G580" t="n">
        <v>0</v>
      </c>
      <c r="H580">
        <f>E580*F580*(1-G580)</f>
        <v/>
      </c>
      <c r="I580">
        <f>XLOOKUP(D580,Products!$A$2:$A$15,Products!$B$2:$B$15,"Not found")</f>
        <v/>
      </c>
    </row>
    <row r="581">
      <c r="A581" t="n">
        <v>104900</v>
      </c>
      <c r="B581" s="1" t="n">
        <v>45698</v>
      </c>
      <c r="C581" t="inlineStr">
        <is>
          <t>S02</t>
        </is>
      </c>
      <c r="D581" t="inlineStr">
        <is>
          <t>P101</t>
        </is>
      </c>
      <c r="E581" t="n">
        <v>1</v>
      </c>
      <c r="F581" t="n">
        <v>39</v>
      </c>
      <c r="G581" t="n">
        <v>0</v>
      </c>
      <c r="H581">
        <f>E581*F581*(1-G581)</f>
        <v/>
      </c>
      <c r="I581">
        <f>XLOOKUP(D581,Products!$A$2:$A$15,Products!$B$2:$B$15,"Not found")</f>
        <v/>
      </c>
    </row>
    <row r="582">
      <c r="A582" t="n">
        <v>104901</v>
      </c>
      <c r="B582" s="1" t="n">
        <v>45698</v>
      </c>
      <c r="C582" t="inlineStr">
        <is>
          <t>S03</t>
        </is>
      </c>
      <c r="D582" t="inlineStr">
        <is>
          <t>P203</t>
        </is>
      </c>
      <c r="E582" t="n">
        <v>2</v>
      </c>
      <c r="F582" t="n">
        <v>19.5</v>
      </c>
      <c r="G582" t="n">
        <v>0</v>
      </c>
      <c r="H582">
        <f>E582*F582*(1-G582)</f>
        <v/>
      </c>
      <c r="I582">
        <f>XLOOKUP(D582,Products!$A$2:$A$15,Products!$B$2:$B$15,"Not found")</f>
        <v/>
      </c>
    </row>
    <row r="583">
      <c r="A583" t="n">
        <v>104902</v>
      </c>
      <c r="B583" s="1" t="n">
        <v>45698</v>
      </c>
      <c r="C583" t="inlineStr">
        <is>
          <t>S04</t>
        </is>
      </c>
      <c r="D583" t="inlineStr">
        <is>
          <t>P302</t>
        </is>
      </c>
      <c r="E583" t="n">
        <v>1</v>
      </c>
      <c r="F583" t="n">
        <v>24</v>
      </c>
      <c r="G583" t="n">
        <v>0.2</v>
      </c>
      <c r="H583">
        <f>E583*F583*(1-G583)</f>
        <v/>
      </c>
      <c r="I583">
        <f>XLOOKUP(D583,Products!$A$2:$A$15,Products!$B$2:$B$15,"Not found")</f>
        <v/>
      </c>
    </row>
    <row r="584">
      <c r="A584" t="n">
        <v>104903</v>
      </c>
      <c r="B584" s="1" t="n">
        <v>45698</v>
      </c>
      <c r="C584" t="inlineStr">
        <is>
          <t>S06</t>
        </is>
      </c>
      <c r="D584" t="inlineStr">
        <is>
          <t>P101</t>
        </is>
      </c>
      <c r="E584" t="n">
        <v>4</v>
      </c>
      <c r="F584" t="n">
        <v>39</v>
      </c>
      <c r="G584" t="n">
        <v>0</v>
      </c>
      <c r="H584">
        <f>E584*F584*(1-G584)</f>
        <v/>
      </c>
      <c r="I584">
        <f>XLOOKUP(D584,Products!$A$2:$A$15,Products!$B$2:$B$15,"Not found")</f>
        <v/>
      </c>
    </row>
    <row r="585">
      <c r="A585" t="n">
        <v>104904</v>
      </c>
      <c r="B585" s="1" t="n">
        <v>45699</v>
      </c>
      <c r="C585" t="inlineStr">
        <is>
          <t>S01</t>
        </is>
      </c>
      <c r="D585" t="inlineStr">
        <is>
          <t>P202</t>
        </is>
      </c>
      <c r="E585" t="n">
        <v>4</v>
      </c>
      <c r="F585" t="n">
        <v>79</v>
      </c>
      <c r="G585" t="n">
        <v>0.15</v>
      </c>
      <c r="H585">
        <f>E585*F585*(1-G585)</f>
        <v/>
      </c>
      <c r="I585">
        <f>XLOOKUP(D585,Products!$A$2:$A$15,Products!$B$2:$B$15,"Not found")</f>
        <v/>
      </c>
    </row>
    <row r="586">
      <c r="A586" t="n">
        <v>104905</v>
      </c>
      <c r="B586" s="1" t="n">
        <v>45699</v>
      </c>
      <c r="C586" t="inlineStr">
        <is>
          <t>S01</t>
        </is>
      </c>
      <c r="D586" t="inlineStr">
        <is>
          <t>P101</t>
        </is>
      </c>
      <c r="E586" t="n">
        <v>2</v>
      </c>
      <c r="F586" t="n">
        <v>39</v>
      </c>
      <c r="G586" t="n">
        <v>0</v>
      </c>
      <c r="H586">
        <f>E586*F586*(1-G586)</f>
        <v/>
      </c>
      <c r="I586">
        <f>XLOOKUP(D586,Products!$A$2:$A$15,Products!$B$2:$B$15,"Not found")</f>
        <v/>
      </c>
    </row>
    <row r="587">
      <c r="A587" t="n">
        <v>104906</v>
      </c>
      <c r="B587" s="1" t="n">
        <v>45699</v>
      </c>
      <c r="C587" t="inlineStr">
        <is>
          <t>S01</t>
        </is>
      </c>
      <c r="D587" t="inlineStr">
        <is>
          <t>P101</t>
        </is>
      </c>
      <c r="E587" t="n">
        <v>4</v>
      </c>
      <c r="F587" t="n">
        <v>39</v>
      </c>
      <c r="G587" t="n">
        <v>0</v>
      </c>
      <c r="H587">
        <f>E587*F587*(1-G587)</f>
        <v/>
      </c>
      <c r="I587">
        <f>XLOOKUP(D587,Products!$A$2:$A$15,Products!$B$2:$B$15,"Not found")</f>
        <v/>
      </c>
    </row>
    <row r="588">
      <c r="A588" t="n">
        <v>104907</v>
      </c>
      <c r="B588" s="1" t="n">
        <v>45699</v>
      </c>
      <c r="C588" t="inlineStr">
        <is>
          <t>S01</t>
        </is>
      </c>
      <c r="D588" t="inlineStr">
        <is>
          <t>P101</t>
        </is>
      </c>
      <c r="E588" t="n">
        <v>1</v>
      </c>
      <c r="F588" t="n">
        <v>39</v>
      </c>
      <c r="G588" t="n">
        <v>0.15</v>
      </c>
      <c r="H588">
        <f>E588*F588*(1-G588)</f>
        <v/>
      </c>
      <c r="I588">
        <f>XLOOKUP(D588,Products!$A$2:$A$15,Products!$B$2:$B$15,"Not found")</f>
        <v/>
      </c>
    </row>
    <row r="589">
      <c r="A589" t="n">
        <v>104908</v>
      </c>
      <c r="B589" s="1" t="n">
        <v>45699</v>
      </c>
      <c r="C589" t="inlineStr">
        <is>
          <t>S01</t>
        </is>
      </c>
      <c r="D589" t="inlineStr">
        <is>
          <t>P101</t>
        </is>
      </c>
      <c r="E589" t="n">
        <v>1</v>
      </c>
      <c r="F589" t="n">
        <v>39</v>
      </c>
      <c r="G589" t="n">
        <v>0.1</v>
      </c>
      <c r="H589">
        <f>E589*F589*(1-G589)</f>
        <v/>
      </c>
      <c r="I589">
        <f>XLOOKUP(D589,Products!$A$2:$A$15,Products!$B$2:$B$15,"Not found")</f>
        <v/>
      </c>
    </row>
    <row r="590">
      <c r="A590" t="n">
        <v>104909</v>
      </c>
      <c r="B590" s="1" t="n">
        <v>45699</v>
      </c>
      <c r="C590" t="inlineStr">
        <is>
          <t>S01</t>
        </is>
      </c>
      <c r="D590" t="inlineStr">
        <is>
          <t>P201</t>
        </is>
      </c>
      <c r="E590" t="n">
        <v>1</v>
      </c>
      <c r="F590" t="n">
        <v>149</v>
      </c>
      <c r="G590" t="n">
        <v>0</v>
      </c>
      <c r="H590">
        <f>E590*F590*(1-G590)</f>
        <v/>
      </c>
      <c r="I590">
        <f>XLOOKUP(D590,Products!$A$2:$A$15,Products!$B$2:$B$15,"Not found")</f>
        <v/>
      </c>
    </row>
    <row r="591">
      <c r="A591" t="n">
        <v>104910</v>
      </c>
      <c r="B591" s="1" t="n">
        <v>45699</v>
      </c>
      <c r="C591" t="inlineStr">
        <is>
          <t>S02</t>
        </is>
      </c>
      <c r="D591" t="inlineStr">
        <is>
          <t>P203</t>
        </is>
      </c>
      <c r="E591" t="n">
        <v>2</v>
      </c>
      <c r="F591" t="n">
        <v>19.5</v>
      </c>
      <c r="G591" t="n">
        <v>0.15</v>
      </c>
      <c r="H591">
        <f>E591*F591*(1-G591)</f>
        <v/>
      </c>
      <c r="I591">
        <f>XLOOKUP(D591,Products!$A$2:$A$15,Products!$B$2:$B$15,"Not found")</f>
        <v/>
      </c>
    </row>
    <row r="592">
      <c r="A592" t="n">
        <v>104911</v>
      </c>
      <c r="B592" s="1" t="n">
        <v>45699</v>
      </c>
      <c r="C592" t="inlineStr">
        <is>
          <t>S02</t>
        </is>
      </c>
      <c r="D592" t="inlineStr">
        <is>
          <t>P203</t>
        </is>
      </c>
      <c r="E592" t="n">
        <v>2</v>
      </c>
      <c r="F592" t="n">
        <v>19.5</v>
      </c>
      <c r="G592" t="n">
        <v>0</v>
      </c>
      <c r="H592">
        <f>E592*F592*(1-G592)</f>
        <v/>
      </c>
      <c r="I592">
        <f>XLOOKUP(D592,Products!$A$2:$A$15,Products!$B$2:$B$15,"Not found")</f>
        <v/>
      </c>
    </row>
    <row r="593">
      <c r="A593" t="n">
        <v>104912</v>
      </c>
      <c r="B593" s="1" t="n">
        <v>45699</v>
      </c>
      <c r="C593" t="inlineStr">
        <is>
          <t>S03</t>
        </is>
      </c>
      <c r="D593" t="inlineStr">
        <is>
          <t>P202</t>
        </is>
      </c>
      <c r="E593" t="n">
        <v>4</v>
      </c>
      <c r="F593" t="n">
        <v>79</v>
      </c>
      <c r="G593" t="n">
        <v>0.1</v>
      </c>
      <c r="H593">
        <f>E593*F593*(1-G593)</f>
        <v/>
      </c>
      <c r="I593">
        <f>XLOOKUP(D593,Products!$A$2:$A$15,Products!$B$2:$B$15,"Not found")</f>
        <v/>
      </c>
    </row>
    <row r="594">
      <c r="A594" t="n">
        <v>104913</v>
      </c>
      <c r="B594" s="1" t="n">
        <v>45699</v>
      </c>
      <c r="C594" t="inlineStr">
        <is>
          <t>S03</t>
        </is>
      </c>
      <c r="D594" t="inlineStr">
        <is>
          <t>P101</t>
        </is>
      </c>
      <c r="E594" t="n">
        <v>2</v>
      </c>
      <c r="F594" t="n">
        <v>39</v>
      </c>
      <c r="G594" t="n">
        <v>0</v>
      </c>
      <c r="H594">
        <f>E594*F594*(1-G594)</f>
        <v/>
      </c>
      <c r="I594">
        <f>XLOOKUP(D594,Products!$A$2:$A$15,Products!$B$2:$B$15,"Not found")</f>
        <v/>
      </c>
    </row>
    <row r="595">
      <c r="A595" t="n">
        <v>104914</v>
      </c>
      <c r="B595" s="1" t="n">
        <v>45699</v>
      </c>
      <c r="C595" t="inlineStr">
        <is>
          <t>S04</t>
        </is>
      </c>
      <c r="D595" t="inlineStr">
        <is>
          <t>P103</t>
        </is>
      </c>
      <c r="E595" t="n">
        <v>1</v>
      </c>
      <c r="F595" t="n">
        <v>29</v>
      </c>
      <c r="G595" t="n">
        <v>0.15</v>
      </c>
      <c r="H595">
        <f>E595*F595*(1-G595)</f>
        <v/>
      </c>
      <c r="I595">
        <f>XLOOKUP(D595,Products!$A$2:$A$15,Products!$B$2:$B$15,"Not found")</f>
        <v/>
      </c>
    </row>
    <row r="596">
      <c r="A596" t="n">
        <v>104915</v>
      </c>
      <c r="B596" s="1" t="n">
        <v>45699</v>
      </c>
      <c r="C596" t="inlineStr">
        <is>
          <t>S04</t>
        </is>
      </c>
      <c r="D596" t="inlineStr">
        <is>
          <t>P303</t>
        </is>
      </c>
      <c r="E596" t="n">
        <v>1</v>
      </c>
      <c r="F596" t="n">
        <v>12</v>
      </c>
      <c r="G596" t="n">
        <v>0</v>
      </c>
      <c r="H596">
        <f>E596*F596*(1-G596)</f>
        <v/>
      </c>
      <c r="I596">
        <f>XLOOKUP(D596,Products!$A$2:$A$15,Products!$B$2:$B$15,"Not found")</f>
        <v/>
      </c>
    </row>
    <row r="597">
      <c r="A597" t="n">
        <v>104916</v>
      </c>
      <c r="B597" s="1" t="n">
        <v>45699</v>
      </c>
      <c r="C597" t="inlineStr">
        <is>
          <t>S04</t>
        </is>
      </c>
      <c r="D597" t="inlineStr">
        <is>
          <t>P102</t>
        </is>
      </c>
      <c r="E597" t="n">
        <v>2</v>
      </c>
      <c r="F597" t="n">
        <v>14.5</v>
      </c>
      <c r="G597" t="n">
        <v>0</v>
      </c>
      <c r="H597">
        <f>E597*F597*(1-G597)</f>
        <v/>
      </c>
      <c r="I597">
        <f>XLOOKUP(D597,Products!$A$2:$A$15,Products!$B$2:$B$15,"Not found")</f>
        <v/>
      </c>
    </row>
    <row r="598">
      <c r="A598" t="n">
        <v>104917</v>
      </c>
      <c r="B598" s="1" t="n">
        <v>45699</v>
      </c>
      <c r="C598" t="inlineStr">
        <is>
          <t>S05</t>
        </is>
      </c>
      <c r="D598" t="inlineStr">
        <is>
          <t>P103</t>
        </is>
      </c>
      <c r="E598" t="n">
        <v>1</v>
      </c>
      <c r="F598" t="n">
        <v>29</v>
      </c>
      <c r="G598" t="n">
        <v>0.15</v>
      </c>
      <c r="H598">
        <f>E598*F598*(1-G598)</f>
        <v/>
      </c>
      <c r="I598">
        <f>XLOOKUP(D598,Products!$A$2:$A$15,Products!$B$2:$B$15,"Not found")</f>
        <v/>
      </c>
    </row>
    <row r="599">
      <c r="A599" t="n">
        <v>104918</v>
      </c>
      <c r="B599" s="1" t="n">
        <v>45699</v>
      </c>
      <c r="C599" t="inlineStr">
        <is>
          <t>S05</t>
        </is>
      </c>
      <c r="D599" t="inlineStr">
        <is>
          <t>P102</t>
        </is>
      </c>
      <c r="E599" t="n">
        <v>2</v>
      </c>
      <c r="F599" t="n">
        <v>14.5</v>
      </c>
      <c r="G599" t="n">
        <v>0</v>
      </c>
      <c r="H599">
        <f>E599*F599*(1-G599)</f>
        <v/>
      </c>
      <c r="I599">
        <f>XLOOKUP(D599,Products!$A$2:$A$15,Products!$B$2:$B$15,"Not found")</f>
        <v/>
      </c>
    </row>
    <row r="600">
      <c r="A600" t="n">
        <v>104919</v>
      </c>
      <c r="B600" s="1" t="n">
        <v>45699</v>
      </c>
      <c r="C600" t="inlineStr">
        <is>
          <t>S06</t>
        </is>
      </c>
      <c r="D600" t="inlineStr">
        <is>
          <t>P103</t>
        </is>
      </c>
      <c r="E600" t="n">
        <v>4</v>
      </c>
      <c r="F600" t="n">
        <v>29</v>
      </c>
      <c r="G600" t="n">
        <v>0</v>
      </c>
      <c r="H600">
        <f>E600*F600*(1-G600)</f>
        <v/>
      </c>
      <c r="I600">
        <f>XLOOKUP(D600,Products!$A$2:$A$15,Products!$B$2:$B$15,"Not found")</f>
        <v/>
      </c>
    </row>
    <row r="601">
      <c r="A601" t="n">
        <v>104920</v>
      </c>
      <c r="B601" s="1" t="n">
        <v>45699</v>
      </c>
      <c r="C601" t="inlineStr">
        <is>
          <t>S06</t>
        </is>
      </c>
      <c r="D601" t="inlineStr">
        <is>
          <t>P403</t>
        </is>
      </c>
      <c r="E601" t="n">
        <v>1</v>
      </c>
      <c r="F601" t="n">
        <v>89</v>
      </c>
      <c r="G601" t="n">
        <v>0</v>
      </c>
      <c r="H601">
        <f>E601*F601*(1-G601)</f>
        <v/>
      </c>
      <c r="I601">
        <f>XLOOKUP(D601,Products!$A$2:$A$15,Products!$B$2:$B$15,"Not found")</f>
        <v/>
      </c>
    </row>
    <row r="602">
      <c r="A602" t="n">
        <v>104921</v>
      </c>
      <c r="B602" s="1" t="n">
        <v>45700</v>
      </c>
      <c r="C602" t="inlineStr">
        <is>
          <t>S01</t>
        </is>
      </c>
      <c r="D602" t="inlineStr">
        <is>
          <t>P301</t>
        </is>
      </c>
      <c r="E602" t="n">
        <v>1</v>
      </c>
      <c r="F602" t="n">
        <v>119</v>
      </c>
      <c r="G602" t="n">
        <v>0</v>
      </c>
      <c r="H602">
        <f>E602*F602*(1-G602)</f>
        <v/>
      </c>
      <c r="I602">
        <f>XLOOKUP(D602,Products!$A$2:$A$15,Products!$B$2:$B$15,"Not found")</f>
        <v/>
      </c>
    </row>
    <row r="603">
      <c r="A603" t="n">
        <v>104922</v>
      </c>
      <c r="B603" s="1" t="n">
        <v>45700</v>
      </c>
      <c r="C603" t="inlineStr">
        <is>
          <t>S01</t>
        </is>
      </c>
      <c r="D603" t="inlineStr">
        <is>
          <t>P201</t>
        </is>
      </c>
      <c r="E603" t="n">
        <v>1</v>
      </c>
      <c r="F603" t="n">
        <v>149</v>
      </c>
      <c r="G603" t="n">
        <v>0.2</v>
      </c>
      <c r="H603">
        <f>E603*F603*(1-G603)</f>
        <v/>
      </c>
      <c r="I603">
        <f>XLOOKUP(D603,Products!$A$2:$A$15,Products!$B$2:$B$15,"Not found")</f>
        <v/>
      </c>
    </row>
    <row r="604">
      <c r="A604" t="n">
        <v>104923</v>
      </c>
      <c r="B604" s="1" t="n">
        <v>45700</v>
      </c>
      <c r="C604" t="inlineStr">
        <is>
          <t>S01</t>
        </is>
      </c>
      <c r="D604" t="inlineStr">
        <is>
          <t>P301</t>
        </is>
      </c>
      <c r="E604" t="n">
        <v>1</v>
      </c>
      <c r="F604" t="n">
        <v>119</v>
      </c>
      <c r="G604" t="n">
        <v>0.1</v>
      </c>
      <c r="H604">
        <f>E604*F604*(1-G604)</f>
        <v/>
      </c>
      <c r="I604">
        <f>XLOOKUP(D604,Products!$A$2:$A$15,Products!$B$2:$B$15,"Not found")</f>
        <v/>
      </c>
    </row>
    <row r="605">
      <c r="A605" t="n">
        <v>104924</v>
      </c>
      <c r="B605" s="1" t="n">
        <v>45700</v>
      </c>
      <c r="C605" t="inlineStr">
        <is>
          <t>S02</t>
        </is>
      </c>
      <c r="D605" t="inlineStr">
        <is>
          <t>P101</t>
        </is>
      </c>
      <c r="E605" t="n">
        <v>2</v>
      </c>
      <c r="F605" t="n">
        <v>39</v>
      </c>
      <c r="G605" t="n">
        <v>0</v>
      </c>
      <c r="H605">
        <f>E605*F605*(1-G605)</f>
        <v/>
      </c>
      <c r="I605">
        <f>XLOOKUP(D605,Products!$A$2:$A$15,Products!$B$2:$B$15,"Not found")</f>
        <v/>
      </c>
    </row>
    <row r="606">
      <c r="A606" t="n">
        <v>104925</v>
      </c>
      <c r="B606" s="1" t="n">
        <v>45700</v>
      </c>
      <c r="C606" t="inlineStr">
        <is>
          <t>S02</t>
        </is>
      </c>
      <c r="D606" t="inlineStr">
        <is>
          <t>P101</t>
        </is>
      </c>
      <c r="E606" t="n">
        <v>1</v>
      </c>
      <c r="F606" t="n">
        <v>39</v>
      </c>
      <c r="G606" t="n">
        <v>0.2</v>
      </c>
      <c r="H606">
        <f>E606*F606*(1-G606)</f>
        <v/>
      </c>
      <c r="I606">
        <f>XLOOKUP(D606,Products!$A$2:$A$15,Products!$B$2:$B$15,"Not found")</f>
        <v/>
      </c>
    </row>
    <row r="607">
      <c r="A607" t="n">
        <v>104926</v>
      </c>
      <c r="B607" s="1" t="n">
        <v>45700</v>
      </c>
      <c r="C607" t="inlineStr">
        <is>
          <t>S02</t>
        </is>
      </c>
      <c r="D607" t="inlineStr">
        <is>
          <t>P302</t>
        </is>
      </c>
      <c r="E607" t="n">
        <v>1</v>
      </c>
      <c r="F607" t="n">
        <v>24</v>
      </c>
      <c r="G607" t="n">
        <v>0</v>
      </c>
      <c r="H607">
        <f>E607*F607*(1-G607)</f>
        <v/>
      </c>
      <c r="I607">
        <f>XLOOKUP(D607,Products!$A$2:$A$15,Products!$B$2:$B$15,"Not found")</f>
        <v/>
      </c>
    </row>
    <row r="608">
      <c r="A608" t="n">
        <v>104927</v>
      </c>
      <c r="B608" s="1" t="n">
        <v>45700</v>
      </c>
      <c r="C608" t="inlineStr">
        <is>
          <t>S02</t>
        </is>
      </c>
      <c r="D608" t="inlineStr">
        <is>
          <t>P202</t>
        </is>
      </c>
      <c r="E608" t="n">
        <v>3</v>
      </c>
      <c r="F608" t="n">
        <v>79</v>
      </c>
      <c r="G608" t="n">
        <v>0</v>
      </c>
      <c r="H608">
        <f>E608*F608*(1-G608)</f>
        <v/>
      </c>
      <c r="I608">
        <f>XLOOKUP(D608,Products!$A$2:$A$15,Products!$B$2:$B$15,"Not found")</f>
        <v/>
      </c>
    </row>
    <row r="609">
      <c r="A609" t="n">
        <v>104928</v>
      </c>
      <c r="B609" s="1" t="n">
        <v>45700</v>
      </c>
      <c r="C609" t="inlineStr">
        <is>
          <t>S02</t>
        </is>
      </c>
      <c r="D609" t="inlineStr">
        <is>
          <t>P302</t>
        </is>
      </c>
      <c r="E609" t="n">
        <v>1</v>
      </c>
      <c r="F609" t="n">
        <v>24</v>
      </c>
      <c r="G609" t="n">
        <v>0.2</v>
      </c>
      <c r="H609">
        <f>E609*F609*(1-G609)</f>
        <v/>
      </c>
      <c r="I609">
        <f>XLOOKUP(D609,Products!$A$2:$A$15,Products!$B$2:$B$15,"Not found")</f>
        <v/>
      </c>
    </row>
    <row r="610">
      <c r="A610" t="n">
        <v>104929</v>
      </c>
      <c r="B610" s="1" t="n">
        <v>45700</v>
      </c>
      <c r="C610" t="inlineStr">
        <is>
          <t>S02</t>
        </is>
      </c>
      <c r="D610" t="inlineStr">
        <is>
          <t>P203</t>
        </is>
      </c>
      <c r="E610" t="n">
        <v>2</v>
      </c>
      <c r="F610" t="n">
        <v>19.5</v>
      </c>
      <c r="G610" t="n">
        <v>0</v>
      </c>
      <c r="H610">
        <f>E610*F610*(1-G610)</f>
        <v/>
      </c>
      <c r="I610">
        <f>XLOOKUP(D610,Products!$A$2:$A$15,Products!$B$2:$B$15,"Not found")</f>
        <v/>
      </c>
    </row>
    <row r="611">
      <c r="A611" t="n">
        <v>104930</v>
      </c>
      <c r="B611" s="1" t="n">
        <v>45700</v>
      </c>
      <c r="C611" t="inlineStr">
        <is>
          <t>S03</t>
        </is>
      </c>
      <c r="D611" t="inlineStr">
        <is>
          <t>P303</t>
        </is>
      </c>
      <c r="E611" t="n">
        <v>3</v>
      </c>
      <c r="F611" t="n">
        <v>12</v>
      </c>
      <c r="G611" t="n">
        <v>0</v>
      </c>
      <c r="H611">
        <f>E611*F611*(1-G611)</f>
        <v/>
      </c>
      <c r="I611">
        <f>XLOOKUP(D611,Products!$A$2:$A$15,Products!$B$2:$B$15,"Not found")</f>
        <v/>
      </c>
    </row>
    <row r="612">
      <c r="A612" t="n">
        <v>104931</v>
      </c>
      <c r="B612" s="1" t="n">
        <v>45700</v>
      </c>
      <c r="C612" t="inlineStr">
        <is>
          <t>S03</t>
        </is>
      </c>
      <c r="D612" t="inlineStr">
        <is>
          <t>P202</t>
        </is>
      </c>
      <c r="E612" t="n">
        <v>4</v>
      </c>
      <c r="F612" t="n">
        <v>79</v>
      </c>
      <c r="G612" t="n">
        <v>0.2</v>
      </c>
      <c r="H612">
        <f>E612*F612*(1-G612)</f>
        <v/>
      </c>
      <c r="I612">
        <f>XLOOKUP(D612,Products!$A$2:$A$15,Products!$B$2:$B$15,"Not found")</f>
        <v/>
      </c>
    </row>
    <row r="613">
      <c r="A613" t="n">
        <v>104932</v>
      </c>
      <c r="B613" s="1" t="n">
        <v>45700</v>
      </c>
      <c r="C613" t="inlineStr">
        <is>
          <t>S03</t>
        </is>
      </c>
      <c r="D613" t="inlineStr">
        <is>
          <t>P104</t>
        </is>
      </c>
      <c r="E613" t="n">
        <v>1</v>
      </c>
      <c r="F613" t="n">
        <v>189</v>
      </c>
      <c r="G613" t="n">
        <v>0</v>
      </c>
      <c r="H613">
        <f>E613*F613*(1-G613)</f>
        <v/>
      </c>
      <c r="I613">
        <f>XLOOKUP(D613,Products!$A$2:$A$15,Products!$B$2:$B$15,"Not found")</f>
        <v/>
      </c>
    </row>
    <row r="614">
      <c r="A614" t="n">
        <v>104933</v>
      </c>
      <c r="B614" s="1" t="n">
        <v>45700</v>
      </c>
      <c r="C614" t="inlineStr">
        <is>
          <t>S04</t>
        </is>
      </c>
      <c r="D614" t="inlineStr">
        <is>
          <t>P103</t>
        </is>
      </c>
      <c r="E614" t="n">
        <v>3</v>
      </c>
      <c r="F614" t="n">
        <v>29</v>
      </c>
      <c r="G614" t="n">
        <v>0</v>
      </c>
      <c r="H614">
        <f>E614*F614*(1-G614)</f>
        <v/>
      </c>
      <c r="I614">
        <f>XLOOKUP(D614,Products!$A$2:$A$15,Products!$B$2:$B$15,"Not found")</f>
        <v/>
      </c>
    </row>
    <row r="615">
      <c r="A615" t="n">
        <v>104934</v>
      </c>
      <c r="B615" s="1" t="n">
        <v>45700</v>
      </c>
      <c r="C615" t="inlineStr">
        <is>
          <t>S05</t>
        </is>
      </c>
      <c r="D615" t="inlineStr">
        <is>
          <t>P403</t>
        </is>
      </c>
      <c r="E615" t="n">
        <v>4</v>
      </c>
      <c r="F615" t="n">
        <v>89</v>
      </c>
      <c r="G615" t="n">
        <v>0</v>
      </c>
      <c r="H615">
        <f>E615*F615*(1-G615)</f>
        <v/>
      </c>
      <c r="I615">
        <f>XLOOKUP(D615,Products!$A$2:$A$15,Products!$B$2:$B$15,"Not found")</f>
        <v/>
      </c>
    </row>
    <row r="616">
      <c r="A616" t="n">
        <v>104935</v>
      </c>
      <c r="B616" s="1" t="n">
        <v>45700</v>
      </c>
      <c r="C616" t="inlineStr">
        <is>
          <t>S05</t>
        </is>
      </c>
      <c r="D616" t="inlineStr">
        <is>
          <t>P303</t>
        </is>
      </c>
      <c r="E616" t="n">
        <v>1</v>
      </c>
      <c r="F616" t="n">
        <v>12</v>
      </c>
      <c r="G616" t="n">
        <v>0</v>
      </c>
      <c r="H616">
        <f>E616*F616*(1-G616)</f>
        <v/>
      </c>
      <c r="I616">
        <f>XLOOKUP(D616,Products!$A$2:$A$15,Products!$B$2:$B$15,"Not found")</f>
        <v/>
      </c>
    </row>
    <row r="617">
      <c r="A617" t="n">
        <v>104936</v>
      </c>
      <c r="B617" s="1" t="n">
        <v>45700</v>
      </c>
      <c r="C617" t="inlineStr">
        <is>
          <t>S06</t>
        </is>
      </c>
      <c r="D617" t="inlineStr">
        <is>
          <t>P103</t>
        </is>
      </c>
      <c r="E617" t="n">
        <v>2</v>
      </c>
      <c r="F617" t="n">
        <v>29</v>
      </c>
      <c r="G617" t="n">
        <v>0.1</v>
      </c>
      <c r="H617">
        <f>E617*F617*(1-G617)</f>
        <v/>
      </c>
      <c r="I617">
        <f>XLOOKUP(D617,Products!$A$2:$A$15,Products!$B$2:$B$15,"Not found")</f>
        <v/>
      </c>
    </row>
    <row r="618">
      <c r="A618" t="n">
        <v>104937</v>
      </c>
      <c r="B618" s="1" t="n">
        <v>45701</v>
      </c>
      <c r="C618" t="inlineStr">
        <is>
          <t>S01</t>
        </is>
      </c>
      <c r="D618" t="inlineStr">
        <is>
          <t>P101</t>
        </is>
      </c>
      <c r="E618" t="n">
        <v>3</v>
      </c>
      <c r="F618" t="n">
        <v>39</v>
      </c>
      <c r="G618" t="n">
        <v>0</v>
      </c>
      <c r="H618">
        <f>E618*F618*(1-G618)</f>
        <v/>
      </c>
      <c r="I618">
        <f>XLOOKUP(D618,Products!$A$2:$A$15,Products!$B$2:$B$15,"Not found")</f>
        <v/>
      </c>
    </row>
    <row r="619">
      <c r="A619" t="n">
        <v>104938</v>
      </c>
      <c r="B619" s="1" t="n">
        <v>45701</v>
      </c>
      <c r="C619" t="inlineStr">
        <is>
          <t>S02</t>
        </is>
      </c>
      <c r="D619" t="inlineStr">
        <is>
          <t>P303</t>
        </is>
      </c>
      <c r="E619" t="n">
        <v>2</v>
      </c>
      <c r="F619" t="n">
        <v>12</v>
      </c>
      <c r="G619" t="n">
        <v>0.15</v>
      </c>
      <c r="H619">
        <f>E619*F619*(1-G619)</f>
        <v/>
      </c>
      <c r="I619">
        <f>XLOOKUP(D619,Products!$A$2:$A$15,Products!$B$2:$B$15,"Not found")</f>
        <v/>
      </c>
    </row>
    <row r="620">
      <c r="A620" t="n">
        <v>104939</v>
      </c>
      <c r="B620" s="1" t="n">
        <v>45701</v>
      </c>
      <c r="C620" t="inlineStr">
        <is>
          <t>S02</t>
        </is>
      </c>
      <c r="D620" t="inlineStr">
        <is>
          <t>P101</t>
        </is>
      </c>
      <c r="E620" t="n">
        <v>2</v>
      </c>
      <c r="F620" t="n">
        <v>39</v>
      </c>
      <c r="G620" t="n">
        <v>0</v>
      </c>
      <c r="H620">
        <f>E620*F620*(1-G620)</f>
        <v/>
      </c>
      <c r="I620">
        <f>XLOOKUP(D620,Products!$A$2:$A$15,Products!$B$2:$B$15,"Not found")</f>
        <v/>
      </c>
    </row>
    <row r="621">
      <c r="A621" t="n">
        <v>104940</v>
      </c>
      <c r="B621" s="1" t="n">
        <v>45701</v>
      </c>
      <c r="C621" t="inlineStr">
        <is>
          <t>S02</t>
        </is>
      </c>
      <c r="D621" t="inlineStr">
        <is>
          <t>P102</t>
        </is>
      </c>
      <c r="E621" t="n">
        <v>2</v>
      </c>
      <c r="F621" t="n">
        <v>14.5</v>
      </c>
      <c r="G621" t="n">
        <v>0.1</v>
      </c>
      <c r="H621">
        <f>E621*F621*(1-G621)</f>
        <v/>
      </c>
      <c r="I621">
        <f>XLOOKUP(D621,Products!$A$2:$A$15,Products!$B$2:$B$15,"Not found")</f>
        <v/>
      </c>
    </row>
    <row r="622">
      <c r="A622" t="n">
        <v>104941</v>
      </c>
      <c r="B622" s="1" t="n">
        <v>45701</v>
      </c>
      <c r="C622" t="inlineStr">
        <is>
          <t>S02</t>
        </is>
      </c>
      <c r="D622" t="inlineStr">
        <is>
          <t>P303</t>
        </is>
      </c>
      <c r="E622" t="n">
        <v>3</v>
      </c>
      <c r="F622" t="n">
        <v>12</v>
      </c>
      <c r="G622" t="n">
        <v>0</v>
      </c>
      <c r="H622">
        <f>E622*F622*(1-G622)</f>
        <v/>
      </c>
      <c r="I622">
        <f>XLOOKUP(D622,Products!$A$2:$A$15,Products!$B$2:$B$15,"Not found")</f>
        <v/>
      </c>
    </row>
    <row r="623">
      <c r="A623" t="n">
        <v>104942</v>
      </c>
      <c r="B623" s="1" t="n">
        <v>45701</v>
      </c>
      <c r="C623" t="inlineStr">
        <is>
          <t>S03</t>
        </is>
      </c>
      <c r="D623" t="inlineStr">
        <is>
          <t>P103</t>
        </is>
      </c>
      <c r="E623" t="n">
        <v>2</v>
      </c>
      <c r="F623" t="n">
        <v>29</v>
      </c>
      <c r="G623" t="n">
        <v>0</v>
      </c>
      <c r="H623">
        <f>E623*F623*(1-G623)</f>
        <v/>
      </c>
      <c r="I623">
        <f>XLOOKUP(D623,Products!$A$2:$A$15,Products!$B$2:$B$15,"Not found")</f>
        <v/>
      </c>
    </row>
    <row r="624">
      <c r="A624" t="n">
        <v>104943</v>
      </c>
      <c r="B624" s="1" t="n">
        <v>45701</v>
      </c>
      <c r="C624" t="inlineStr">
        <is>
          <t>S03</t>
        </is>
      </c>
      <c r="D624" t="inlineStr">
        <is>
          <t>P303</t>
        </is>
      </c>
      <c r="E624" t="n">
        <v>4</v>
      </c>
      <c r="F624" t="n">
        <v>12</v>
      </c>
      <c r="G624" t="n">
        <v>0.15</v>
      </c>
      <c r="H624">
        <f>E624*F624*(1-G624)</f>
        <v/>
      </c>
      <c r="I624">
        <f>XLOOKUP(D624,Products!$A$2:$A$15,Products!$B$2:$B$15,"Not found")</f>
        <v/>
      </c>
    </row>
    <row r="625">
      <c r="A625" t="n">
        <v>104944</v>
      </c>
      <c r="B625" s="1" t="n">
        <v>45701</v>
      </c>
      <c r="C625" t="inlineStr">
        <is>
          <t>S04</t>
        </is>
      </c>
      <c r="D625" t="inlineStr">
        <is>
          <t>P302</t>
        </is>
      </c>
      <c r="E625" t="n">
        <v>3</v>
      </c>
      <c r="F625" t="n">
        <v>24</v>
      </c>
      <c r="G625" t="n">
        <v>0</v>
      </c>
      <c r="H625">
        <f>E625*F625*(1-G625)</f>
        <v/>
      </c>
      <c r="I625">
        <f>XLOOKUP(D625,Products!$A$2:$A$15,Products!$B$2:$B$15,"Not found")</f>
        <v/>
      </c>
    </row>
    <row r="626">
      <c r="A626" t="n">
        <v>104945</v>
      </c>
      <c r="B626" s="1" t="n">
        <v>45701</v>
      </c>
      <c r="C626" t="inlineStr">
        <is>
          <t>S04</t>
        </is>
      </c>
      <c r="D626" t="inlineStr">
        <is>
          <t>P303</t>
        </is>
      </c>
      <c r="E626" t="n">
        <v>2</v>
      </c>
      <c r="F626" t="n">
        <v>12</v>
      </c>
      <c r="G626" t="n">
        <v>0.2</v>
      </c>
      <c r="H626">
        <f>E626*F626*(1-G626)</f>
        <v/>
      </c>
      <c r="I626">
        <f>XLOOKUP(D626,Products!$A$2:$A$15,Products!$B$2:$B$15,"Not found")</f>
        <v/>
      </c>
    </row>
    <row r="627">
      <c r="A627" t="n">
        <v>104946</v>
      </c>
      <c r="B627" s="1" t="n">
        <v>45701</v>
      </c>
      <c r="C627" t="inlineStr">
        <is>
          <t>S04</t>
        </is>
      </c>
      <c r="D627" t="inlineStr">
        <is>
          <t>P103</t>
        </is>
      </c>
      <c r="E627" t="n">
        <v>2</v>
      </c>
      <c r="F627" t="n">
        <v>29</v>
      </c>
      <c r="G627" t="n">
        <v>0</v>
      </c>
      <c r="H627">
        <f>E627*F627*(1-G627)</f>
        <v/>
      </c>
      <c r="I627">
        <f>XLOOKUP(D627,Products!$A$2:$A$15,Products!$B$2:$B$15,"Not found")</f>
        <v/>
      </c>
    </row>
    <row r="628">
      <c r="A628" t="n">
        <v>104947</v>
      </c>
      <c r="B628" s="1" t="n">
        <v>45701</v>
      </c>
      <c r="C628" t="inlineStr">
        <is>
          <t>S05</t>
        </is>
      </c>
      <c r="D628" t="inlineStr">
        <is>
          <t>P202</t>
        </is>
      </c>
      <c r="E628" t="n">
        <v>1</v>
      </c>
      <c r="F628" t="n">
        <v>79</v>
      </c>
      <c r="G628" t="n">
        <v>0</v>
      </c>
      <c r="H628">
        <f>E628*F628*(1-G628)</f>
        <v/>
      </c>
      <c r="I628">
        <f>XLOOKUP(D628,Products!$A$2:$A$15,Products!$B$2:$B$15,"Not found")</f>
        <v/>
      </c>
    </row>
    <row r="629">
      <c r="A629" t="n">
        <v>104948</v>
      </c>
      <c r="B629" s="1" t="n">
        <v>45701</v>
      </c>
      <c r="C629" t="inlineStr">
        <is>
          <t>S05</t>
        </is>
      </c>
      <c r="D629" t="inlineStr">
        <is>
          <t>P303</t>
        </is>
      </c>
      <c r="E629" t="n">
        <v>3</v>
      </c>
      <c r="F629" t="n">
        <v>12</v>
      </c>
      <c r="G629" t="n">
        <v>0</v>
      </c>
      <c r="H629">
        <f>E629*F629*(1-G629)</f>
        <v/>
      </c>
      <c r="I629">
        <f>XLOOKUP(D629,Products!$A$2:$A$15,Products!$B$2:$B$15,"Not found")</f>
        <v/>
      </c>
    </row>
    <row r="630">
      <c r="A630" t="n">
        <v>104949</v>
      </c>
      <c r="B630" s="1" t="n">
        <v>45701</v>
      </c>
      <c r="C630" t="inlineStr">
        <is>
          <t>S05</t>
        </is>
      </c>
      <c r="D630" t="inlineStr">
        <is>
          <t>P104</t>
        </is>
      </c>
      <c r="E630" t="n">
        <v>1</v>
      </c>
      <c r="F630" t="n">
        <v>189</v>
      </c>
      <c r="G630" t="n">
        <v>0.15</v>
      </c>
      <c r="H630">
        <f>E630*F630*(1-G630)</f>
        <v/>
      </c>
      <c r="I630">
        <f>XLOOKUP(D630,Products!$A$2:$A$15,Products!$B$2:$B$15,"Not found")</f>
        <v/>
      </c>
    </row>
    <row r="631">
      <c r="A631" t="n">
        <v>104950</v>
      </c>
      <c r="B631" s="1" t="n">
        <v>45701</v>
      </c>
      <c r="C631" t="inlineStr">
        <is>
          <t>S06</t>
        </is>
      </c>
      <c r="D631" t="inlineStr">
        <is>
          <t>P103</t>
        </is>
      </c>
      <c r="E631" t="n">
        <v>1</v>
      </c>
      <c r="F631" t="n">
        <v>29</v>
      </c>
      <c r="G631" t="n">
        <v>0</v>
      </c>
      <c r="H631">
        <f>E631*F631*(1-G631)</f>
        <v/>
      </c>
      <c r="I631">
        <f>XLOOKUP(D631,Products!$A$2:$A$15,Products!$B$2:$B$15,"Not found")</f>
        <v/>
      </c>
    </row>
    <row r="632">
      <c r="A632" t="n">
        <v>104951</v>
      </c>
      <c r="B632" s="1" t="n">
        <v>45701</v>
      </c>
      <c r="C632" t="inlineStr">
        <is>
          <t>S06</t>
        </is>
      </c>
      <c r="D632" t="inlineStr">
        <is>
          <t>P102</t>
        </is>
      </c>
      <c r="E632" t="n">
        <v>3</v>
      </c>
      <c r="F632" t="n">
        <v>14.5</v>
      </c>
      <c r="G632" t="n">
        <v>0.2</v>
      </c>
      <c r="H632">
        <f>E632*F632*(1-G632)</f>
        <v/>
      </c>
      <c r="I632">
        <f>XLOOKUP(D632,Products!$A$2:$A$15,Products!$B$2:$B$15,"Not found")</f>
        <v/>
      </c>
    </row>
    <row r="633">
      <c r="A633" t="n">
        <v>104952</v>
      </c>
      <c r="B633" s="1" t="n">
        <v>45702</v>
      </c>
      <c r="C633" t="inlineStr">
        <is>
          <t>S01</t>
        </is>
      </c>
      <c r="D633" t="inlineStr">
        <is>
          <t>P303</t>
        </is>
      </c>
      <c r="E633" t="n">
        <v>3</v>
      </c>
      <c r="F633" t="n">
        <v>12</v>
      </c>
      <c r="G633" t="n">
        <v>0.2</v>
      </c>
      <c r="H633">
        <f>E633*F633*(1-G633)</f>
        <v/>
      </c>
      <c r="I633">
        <f>XLOOKUP(D633,Products!$A$2:$A$15,Products!$B$2:$B$15,"Not found")</f>
        <v/>
      </c>
    </row>
    <row r="634">
      <c r="A634" t="n">
        <v>104953</v>
      </c>
      <c r="B634" s="1" t="n">
        <v>45702</v>
      </c>
      <c r="C634" t="inlineStr">
        <is>
          <t>S01</t>
        </is>
      </c>
      <c r="D634" t="inlineStr">
        <is>
          <t>P203</t>
        </is>
      </c>
      <c r="E634" t="n">
        <v>1</v>
      </c>
      <c r="F634" t="n">
        <v>19.5</v>
      </c>
      <c r="G634" t="n">
        <v>0</v>
      </c>
      <c r="H634">
        <f>E634*F634*(1-G634)</f>
        <v/>
      </c>
      <c r="I634">
        <f>XLOOKUP(D634,Products!$A$2:$A$15,Products!$B$2:$B$15,"Not found")</f>
        <v/>
      </c>
    </row>
    <row r="635">
      <c r="A635" t="n">
        <v>104954</v>
      </c>
      <c r="B635" s="1" t="n">
        <v>45702</v>
      </c>
      <c r="C635" t="inlineStr">
        <is>
          <t>S02</t>
        </is>
      </c>
      <c r="D635" t="inlineStr">
        <is>
          <t>P102</t>
        </is>
      </c>
      <c r="E635" t="n">
        <v>2</v>
      </c>
      <c r="F635" t="n">
        <v>14.5</v>
      </c>
      <c r="G635" t="n">
        <v>0</v>
      </c>
      <c r="H635">
        <f>E635*F635*(1-G635)</f>
        <v/>
      </c>
      <c r="I635">
        <f>XLOOKUP(D635,Products!$A$2:$A$15,Products!$B$2:$B$15,"Not found")</f>
        <v/>
      </c>
    </row>
    <row r="636">
      <c r="A636" t="n">
        <v>104955</v>
      </c>
      <c r="B636" s="1" t="n">
        <v>45702</v>
      </c>
      <c r="C636" t="inlineStr">
        <is>
          <t>S03</t>
        </is>
      </c>
      <c r="D636" t="inlineStr">
        <is>
          <t>P301</t>
        </is>
      </c>
      <c r="E636" t="n">
        <v>1</v>
      </c>
      <c r="F636" t="n">
        <v>119</v>
      </c>
      <c r="G636" t="n">
        <v>0.15</v>
      </c>
      <c r="H636">
        <f>E636*F636*(1-G636)</f>
        <v/>
      </c>
      <c r="I636">
        <f>XLOOKUP(D636,Products!$A$2:$A$15,Products!$B$2:$B$15,"Not found")</f>
        <v/>
      </c>
    </row>
    <row r="637">
      <c r="A637" t="n">
        <v>104956</v>
      </c>
      <c r="B637" s="1" t="n">
        <v>45702</v>
      </c>
      <c r="C637" t="inlineStr">
        <is>
          <t>S03</t>
        </is>
      </c>
      <c r="D637" t="inlineStr">
        <is>
          <t>P303</t>
        </is>
      </c>
      <c r="E637" t="n">
        <v>1</v>
      </c>
      <c r="F637" t="n">
        <v>12</v>
      </c>
      <c r="G637" t="n">
        <v>0.2</v>
      </c>
      <c r="H637">
        <f>E637*F637*(1-G637)</f>
        <v/>
      </c>
      <c r="I637">
        <f>XLOOKUP(D637,Products!$A$2:$A$15,Products!$B$2:$B$15,"Not found")</f>
        <v/>
      </c>
    </row>
    <row r="638">
      <c r="A638" t="n">
        <v>104957</v>
      </c>
      <c r="B638" s="1" t="n">
        <v>45702</v>
      </c>
      <c r="C638" t="inlineStr">
        <is>
          <t>S03</t>
        </is>
      </c>
      <c r="D638" t="inlineStr">
        <is>
          <t>P202</t>
        </is>
      </c>
      <c r="E638" t="n">
        <v>4</v>
      </c>
      <c r="F638" t="n">
        <v>79</v>
      </c>
      <c r="G638" t="n">
        <v>0</v>
      </c>
      <c r="H638">
        <f>E638*F638*(1-G638)</f>
        <v/>
      </c>
      <c r="I638">
        <f>XLOOKUP(D638,Products!$A$2:$A$15,Products!$B$2:$B$15,"Not found")</f>
        <v/>
      </c>
    </row>
    <row r="639">
      <c r="A639" t="n">
        <v>104958</v>
      </c>
      <c r="B639" s="1" t="n">
        <v>45702</v>
      </c>
      <c r="C639" t="inlineStr">
        <is>
          <t>S03</t>
        </is>
      </c>
      <c r="D639" t="inlineStr">
        <is>
          <t>P402</t>
        </is>
      </c>
      <c r="E639" t="n">
        <v>1</v>
      </c>
      <c r="F639" t="n">
        <v>699</v>
      </c>
      <c r="G639" t="n">
        <v>0.2</v>
      </c>
      <c r="H639">
        <f>E639*F639*(1-G639)</f>
        <v/>
      </c>
      <c r="I639">
        <f>XLOOKUP(D639,Products!$A$2:$A$15,Products!$B$2:$B$15,"Not found")</f>
        <v/>
      </c>
    </row>
    <row r="640">
      <c r="A640" t="n">
        <v>104959</v>
      </c>
      <c r="B640" s="1" t="n">
        <v>45702</v>
      </c>
      <c r="C640" t="inlineStr">
        <is>
          <t>S03</t>
        </is>
      </c>
      <c r="D640" t="inlineStr">
        <is>
          <t>P302</t>
        </is>
      </c>
      <c r="E640" t="n">
        <v>3</v>
      </c>
      <c r="F640" t="n">
        <v>24</v>
      </c>
      <c r="G640" t="n">
        <v>0.15</v>
      </c>
      <c r="H640">
        <f>E640*F640*(1-G640)</f>
        <v/>
      </c>
      <c r="I640">
        <f>XLOOKUP(D640,Products!$A$2:$A$15,Products!$B$2:$B$15,"Not found")</f>
        <v/>
      </c>
    </row>
    <row r="641">
      <c r="A641" t="n">
        <v>104960</v>
      </c>
      <c r="B641" s="1" t="n">
        <v>45702</v>
      </c>
      <c r="C641" t="inlineStr">
        <is>
          <t>S04</t>
        </is>
      </c>
      <c r="D641" t="inlineStr">
        <is>
          <t>P303</t>
        </is>
      </c>
      <c r="E641" t="n">
        <v>1</v>
      </c>
      <c r="F641" t="n">
        <v>12</v>
      </c>
      <c r="G641" t="n">
        <v>0.1</v>
      </c>
      <c r="H641">
        <f>E641*F641*(1-G641)</f>
        <v/>
      </c>
      <c r="I641">
        <f>XLOOKUP(D641,Products!$A$2:$A$15,Products!$B$2:$B$15,"Not found")</f>
        <v/>
      </c>
    </row>
    <row r="642">
      <c r="A642" t="n">
        <v>104961</v>
      </c>
      <c r="B642" s="1" t="n">
        <v>45702</v>
      </c>
      <c r="C642" t="inlineStr">
        <is>
          <t>S04</t>
        </is>
      </c>
      <c r="D642" t="inlineStr">
        <is>
          <t>P101</t>
        </is>
      </c>
      <c r="E642" t="n">
        <v>3</v>
      </c>
      <c r="F642" t="n">
        <v>39</v>
      </c>
      <c r="G642" t="n">
        <v>0</v>
      </c>
      <c r="H642">
        <f>E642*F642*(1-G642)</f>
        <v/>
      </c>
      <c r="I642">
        <f>XLOOKUP(D642,Products!$A$2:$A$15,Products!$B$2:$B$15,"Not found")</f>
        <v/>
      </c>
    </row>
    <row r="643">
      <c r="A643" t="n">
        <v>104962</v>
      </c>
      <c r="B643" s="1" t="n">
        <v>45702</v>
      </c>
      <c r="C643" t="inlineStr">
        <is>
          <t>S04</t>
        </is>
      </c>
      <c r="D643" t="inlineStr">
        <is>
          <t>P103</t>
        </is>
      </c>
      <c r="E643" t="n">
        <v>2</v>
      </c>
      <c r="F643" t="n">
        <v>29</v>
      </c>
      <c r="G643" t="n">
        <v>0</v>
      </c>
      <c r="H643">
        <f>E643*F643*(1-G643)</f>
        <v/>
      </c>
      <c r="I643">
        <f>XLOOKUP(D643,Products!$A$2:$A$15,Products!$B$2:$B$15,"Not found")</f>
        <v/>
      </c>
    </row>
    <row r="644">
      <c r="A644" t="n">
        <v>104963</v>
      </c>
      <c r="B644" s="1" t="n">
        <v>45702</v>
      </c>
      <c r="C644" t="inlineStr">
        <is>
          <t>S04</t>
        </is>
      </c>
      <c r="D644" t="inlineStr">
        <is>
          <t>P302</t>
        </is>
      </c>
      <c r="E644" t="n">
        <v>2</v>
      </c>
      <c r="F644" t="n">
        <v>24</v>
      </c>
      <c r="G644" t="n">
        <v>0.1</v>
      </c>
      <c r="H644">
        <f>E644*F644*(1-G644)</f>
        <v/>
      </c>
      <c r="I644">
        <f>XLOOKUP(D644,Products!$A$2:$A$15,Products!$B$2:$B$15,"Not found")</f>
        <v/>
      </c>
    </row>
    <row r="645">
      <c r="A645" t="n">
        <v>104964</v>
      </c>
      <c r="B645" s="1" t="n">
        <v>45702</v>
      </c>
      <c r="C645" t="inlineStr">
        <is>
          <t>S04</t>
        </is>
      </c>
      <c r="D645" t="inlineStr">
        <is>
          <t>P101</t>
        </is>
      </c>
      <c r="E645" t="n">
        <v>1</v>
      </c>
      <c r="F645" t="n">
        <v>39</v>
      </c>
      <c r="G645" t="n">
        <v>0</v>
      </c>
      <c r="H645">
        <f>E645*F645*(1-G645)</f>
        <v/>
      </c>
      <c r="I645">
        <f>XLOOKUP(D645,Products!$A$2:$A$15,Products!$B$2:$B$15,"Not found")</f>
        <v/>
      </c>
    </row>
    <row r="646">
      <c r="A646" t="n">
        <v>104965</v>
      </c>
      <c r="B646" s="1" t="n">
        <v>45702</v>
      </c>
      <c r="C646" t="inlineStr">
        <is>
          <t>S05</t>
        </is>
      </c>
      <c r="D646" t="inlineStr">
        <is>
          <t>P103</t>
        </is>
      </c>
      <c r="E646" t="n">
        <v>2</v>
      </c>
      <c r="F646" t="n">
        <v>29</v>
      </c>
      <c r="G646" t="n">
        <v>0.2</v>
      </c>
      <c r="H646">
        <f>E646*F646*(1-G646)</f>
        <v/>
      </c>
      <c r="I646">
        <f>XLOOKUP(D646,Products!$A$2:$A$15,Products!$B$2:$B$15,"Not found")</f>
        <v/>
      </c>
    </row>
    <row r="647">
      <c r="A647" t="n">
        <v>104966</v>
      </c>
      <c r="B647" s="1" t="n">
        <v>45702</v>
      </c>
      <c r="C647" t="inlineStr">
        <is>
          <t>S05</t>
        </is>
      </c>
      <c r="D647" t="inlineStr">
        <is>
          <t>P302</t>
        </is>
      </c>
      <c r="E647" t="n">
        <v>2</v>
      </c>
      <c r="F647" t="n">
        <v>24</v>
      </c>
      <c r="G647" t="n">
        <v>0</v>
      </c>
      <c r="H647">
        <f>E647*F647*(1-G647)</f>
        <v/>
      </c>
      <c r="I647">
        <f>XLOOKUP(D647,Products!$A$2:$A$15,Products!$B$2:$B$15,"Not found")</f>
        <v/>
      </c>
    </row>
    <row r="648">
      <c r="A648" t="n">
        <v>104967</v>
      </c>
      <c r="B648" s="1" t="n">
        <v>45703</v>
      </c>
      <c r="C648" t="inlineStr">
        <is>
          <t>S01</t>
        </is>
      </c>
      <c r="D648" t="inlineStr">
        <is>
          <t>P201</t>
        </is>
      </c>
      <c r="E648" t="n">
        <v>1</v>
      </c>
      <c r="F648" t="n">
        <v>149</v>
      </c>
      <c r="G648" t="n">
        <v>0.1</v>
      </c>
      <c r="H648">
        <f>E648*F648*(1-G648)</f>
        <v/>
      </c>
      <c r="I648">
        <f>XLOOKUP(D648,Products!$A$2:$A$15,Products!$B$2:$B$15,"Not found")</f>
        <v/>
      </c>
    </row>
    <row r="649">
      <c r="A649" t="n">
        <v>104968</v>
      </c>
      <c r="B649" s="1" t="n">
        <v>45703</v>
      </c>
      <c r="C649" t="inlineStr">
        <is>
          <t>S01</t>
        </is>
      </c>
      <c r="D649" t="inlineStr">
        <is>
          <t>P104</t>
        </is>
      </c>
      <c r="E649" t="n">
        <v>1</v>
      </c>
      <c r="F649" t="n">
        <v>189</v>
      </c>
      <c r="G649" t="n">
        <v>0</v>
      </c>
      <c r="H649">
        <f>E649*F649*(1-G649)</f>
        <v/>
      </c>
      <c r="I649">
        <f>XLOOKUP(D649,Products!$A$2:$A$15,Products!$B$2:$B$15,"Not found")</f>
        <v/>
      </c>
    </row>
    <row r="650">
      <c r="A650" t="n">
        <v>104969</v>
      </c>
      <c r="B650" s="1" t="n">
        <v>45703</v>
      </c>
      <c r="C650" t="inlineStr">
        <is>
          <t>S01</t>
        </is>
      </c>
      <c r="D650" t="inlineStr">
        <is>
          <t>P201</t>
        </is>
      </c>
      <c r="E650" t="n">
        <v>1</v>
      </c>
      <c r="F650" t="n">
        <v>149</v>
      </c>
      <c r="G650" t="n">
        <v>0.1</v>
      </c>
      <c r="H650">
        <f>E650*F650*(1-G650)</f>
        <v/>
      </c>
      <c r="I650">
        <f>XLOOKUP(D650,Products!$A$2:$A$15,Products!$B$2:$B$15,"Not found")</f>
        <v/>
      </c>
    </row>
    <row r="651">
      <c r="A651" t="n">
        <v>104970</v>
      </c>
      <c r="B651" s="1" t="n">
        <v>45703</v>
      </c>
      <c r="C651" t="inlineStr">
        <is>
          <t>S01</t>
        </is>
      </c>
      <c r="D651" t="inlineStr">
        <is>
          <t>P101</t>
        </is>
      </c>
      <c r="E651" t="n">
        <v>1</v>
      </c>
      <c r="F651" t="n">
        <v>39</v>
      </c>
      <c r="G651" t="n">
        <v>0</v>
      </c>
      <c r="H651">
        <f>E651*F651*(1-G651)</f>
        <v/>
      </c>
      <c r="I651">
        <f>XLOOKUP(D651,Products!$A$2:$A$15,Products!$B$2:$B$15,"Not found")</f>
        <v/>
      </c>
    </row>
    <row r="652">
      <c r="A652" t="n">
        <v>104971</v>
      </c>
      <c r="B652" s="1" t="n">
        <v>45703</v>
      </c>
      <c r="C652" t="inlineStr">
        <is>
          <t>S01</t>
        </is>
      </c>
      <c r="D652" t="inlineStr">
        <is>
          <t>P102</t>
        </is>
      </c>
      <c r="E652" t="n">
        <v>3</v>
      </c>
      <c r="F652" t="n">
        <v>14.5</v>
      </c>
      <c r="G652" t="n">
        <v>0</v>
      </c>
      <c r="H652">
        <f>E652*F652*(1-G652)</f>
        <v/>
      </c>
      <c r="I652">
        <f>XLOOKUP(D652,Products!$A$2:$A$15,Products!$B$2:$B$15,"Not found")</f>
        <v/>
      </c>
    </row>
    <row r="653">
      <c r="A653" t="n">
        <v>104972</v>
      </c>
      <c r="B653" s="1" t="n">
        <v>45703</v>
      </c>
      <c r="C653" t="inlineStr">
        <is>
          <t>S02</t>
        </is>
      </c>
      <c r="D653" t="inlineStr">
        <is>
          <t>P102</t>
        </is>
      </c>
      <c r="E653" t="n">
        <v>3</v>
      </c>
      <c r="F653" t="n">
        <v>14.5</v>
      </c>
      <c r="G653" t="n">
        <v>0.1</v>
      </c>
      <c r="H653">
        <f>E653*F653*(1-G653)</f>
        <v/>
      </c>
      <c r="I653">
        <f>XLOOKUP(D653,Products!$A$2:$A$15,Products!$B$2:$B$15,"Not found")</f>
        <v/>
      </c>
    </row>
    <row r="654">
      <c r="A654" t="n">
        <v>104973</v>
      </c>
      <c r="B654" s="1" t="n">
        <v>45703</v>
      </c>
      <c r="C654" t="inlineStr">
        <is>
          <t>S02</t>
        </is>
      </c>
      <c r="D654" t="inlineStr">
        <is>
          <t>P203</t>
        </is>
      </c>
      <c r="E654" t="n">
        <v>1</v>
      </c>
      <c r="F654" t="n">
        <v>19.5</v>
      </c>
      <c r="G654" t="n">
        <v>0.2</v>
      </c>
      <c r="H654">
        <f>E654*F654*(1-G654)</f>
        <v/>
      </c>
      <c r="I654">
        <f>XLOOKUP(D654,Products!$A$2:$A$15,Products!$B$2:$B$15,"Not found")</f>
        <v/>
      </c>
    </row>
    <row r="655">
      <c r="A655" t="n">
        <v>104974</v>
      </c>
      <c r="B655" s="1" t="n">
        <v>45703</v>
      </c>
      <c r="C655" t="inlineStr">
        <is>
          <t>S02</t>
        </is>
      </c>
      <c r="D655" t="inlineStr">
        <is>
          <t>P102</t>
        </is>
      </c>
      <c r="E655" t="n">
        <v>3</v>
      </c>
      <c r="F655" t="n">
        <v>14.5</v>
      </c>
      <c r="G655" t="n">
        <v>0.2</v>
      </c>
      <c r="H655">
        <f>E655*F655*(1-G655)</f>
        <v/>
      </c>
      <c r="I655">
        <f>XLOOKUP(D655,Products!$A$2:$A$15,Products!$B$2:$B$15,"Not found")</f>
        <v/>
      </c>
    </row>
    <row r="656">
      <c r="A656" t="n">
        <v>104975</v>
      </c>
      <c r="B656" s="1" t="n">
        <v>45703</v>
      </c>
      <c r="C656" t="inlineStr">
        <is>
          <t>S03</t>
        </is>
      </c>
      <c r="D656" t="inlineStr">
        <is>
          <t>P301</t>
        </is>
      </c>
      <c r="E656" t="n">
        <v>1</v>
      </c>
      <c r="F656" t="n">
        <v>119</v>
      </c>
      <c r="G656" t="n">
        <v>0</v>
      </c>
      <c r="H656">
        <f>E656*F656*(1-G656)</f>
        <v/>
      </c>
      <c r="I656">
        <f>XLOOKUP(D656,Products!$A$2:$A$15,Products!$B$2:$B$15,"Not found")</f>
        <v/>
      </c>
    </row>
    <row r="657">
      <c r="A657" t="n">
        <v>104976</v>
      </c>
      <c r="B657" s="1" t="n">
        <v>45703</v>
      </c>
      <c r="C657" t="inlineStr">
        <is>
          <t>S03</t>
        </is>
      </c>
      <c r="D657" t="inlineStr">
        <is>
          <t>P102</t>
        </is>
      </c>
      <c r="E657" t="n">
        <v>3</v>
      </c>
      <c r="F657" t="n">
        <v>14.5</v>
      </c>
      <c r="G657" t="n">
        <v>0</v>
      </c>
      <c r="H657">
        <f>E657*F657*(1-G657)</f>
        <v/>
      </c>
      <c r="I657">
        <f>XLOOKUP(D657,Products!$A$2:$A$15,Products!$B$2:$B$15,"Not found")</f>
        <v/>
      </c>
    </row>
    <row r="658">
      <c r="A658" t="n">
        <v>104977</v>
      </c>
      <c r="B658" s="1" t="n">
        <v>45703</v>
      </c>
      <c r="C658" t="inlineStr">
        <is>
          <t>S03</t>
        </is>
      </c>
      <c r="D658" t="inlineStr">
        <is>
          <t>P302</t>
        </is>
      </c>
      <c r="E658" t="n">
        <v>1</v>
      </c>
      <c r="F658" t="n">
        <v>24</v>
      </c>
      <c r="G658" t="n">
        <v>0</v>
      </c>
      <c r="H658">
        <f>E658*F658*(1-G658)</f>
        <v/>
      </c>
      <c r="I658">
        <f>XLOOKUP(D658,Products!$A$2:$A$15,Products!$B$2:$B$15,"Not found")</f>
        <v/>
      </c>
    </row>
    <row r="659">
      <c r="A659" t="n">
        <v>104978</v>
      </c>
      <c r="B659" s="1" t="n">
        <v>45703</v>
      </c>
      <c r="C659" t="inlineStr">
        <is>
          <t>S03</t>
        </is>
      </c>
      <c r="D659" t="inlineStr">
        <is>
          <t>P102</t>
        </is>
      </c>
      <c r="E659" t="n">
        <v>1</v>
      </c>
      <c r="F659" t="n">
        <v>14.5</v>
      </c>
      <c r="G659" t="n">
        <v>0.1</v>
      </c>
      <c r="H659">
        <f>E659*F659*(1-G659)</f>
        <v/>
      </c>
      <c r="I659">
        <f>XLOOKUP(D659,Products!$A$2:$A$15,Products!$B$2:$B$15,"Not found")</f>
        <v/>
      </c>
    </row>
    <row r="660">
      <c r="A660" t="n">
        <v>104979</v>
      </c>
      <c r="B660" s="1" t="n">
        <v>45703</v>
      </c>
      <c r="C660" t="inlineStr">
        <is>
          <t>S04</t>
        </is>
      </c>
      <c r="D660" t="inlineStr">
        <is>
          <t>P203</t>
        </is>
      </c>
      <c r="E660" t="n">
        <v>1</v>
      </c>
      <c r="F660" t="n">
        <v>19.5</v>
      </c>
      <c r="G660" t="n">
        <v>0.2</v>
      </c>
      <c r="H660">
        <f>E660*F660*(1-G660)</f>
        <v/>
      </c>
      <c r="I660">
        <f>XLOOKUP(D660,Products!$A$2:$A$15,Products!$B$2:$B$15,"Not found")</f>
        <v/>
      </c>
    </row>
    <row r="661">
      <c r="A661" t="n">
        <v>104980</v>
      </c>
      <c r="B661" s="1" t="n">
        <v>45703</v>
      </c>
      <c r="C661" t="inlineStr">
        <is>
          <t>S04</t>
        </is>
      </c>
      <c r="D661" t="inlineStr">
        <is>
          <t>P103</t>
        </is>
      </c>
      <c r="E661" t="n">
        <v>1</v>
      </c>
      <c r="F661" t="n">
        <v>29</v>
      </c>
      <c r="G661" t="n">
        <v>0.1</v>
      </c>
      <c r="H661">
        <f>E661*F661*(1-G661)</f>
        <v/>
      </c>
      <c r="I661">
        <f>XLOOKUP(D661,Products!$A$2:$A$15,Products!$B$2:$B$15,"Not found")</f>
        <v/>
      </c>
    </row>
    <row r="662">
      <c r="A662" t="n">
        <v>104981</v>
      </c>
      <c r="B662" s="1" t="n">
        <v>45703</v>
      </c>
      <c r="C662" t="inlineStr">
        <is>
          <t>S05</t>
        </is>
      </c>
      <c r="D662" t="inlineStr">
        <is>
          <t>P102</t>
        </is>
      </c>
      <c r="E662" t="n">
        <v>1</v>
      </c>
      <c r="F662" t="n">
        <v>14.5</v>
      </c>
      <c r="G662" t="n">
        <v>0</v>
      </c>
      <c r="H662">
        <f>E662*F662*(1-G662)</f>
        <v/>
      </c>
      <c r="I662">
        <f>XLOOKUP(D662,Products!$A$2:$A$15,Products!$B$2:$B$15,"Not found")</f>
        <v/>
      </c>
    </row>
    <row r="663">
      <c r="A663" t="n">
        <v>104982</v>
      </c>
      <c r="B663" s="1" t="n">
        <v>45703</v>
      </c>
      <c r="C663" t="inlineStr">
        <is>
          <t>S05</t>
        </is>
      </c>
      <c r="D663" t="inlineStr">
        <is>
          <t>P302</t>
        </is>
      </c>
      <c r="E663" t="n">
        <v>4</v>
      </c>
      <c r="F663" t="n">
        <v>24</v>
      </c>
      <c r="G663" t="n">
        <v>0</v>
      </c>
      <c r="H663">
        <f>E663*F663*(1-G663)</f>
        <v/>
      </c>
      <c r="I663">
        <f>XLOOKUP(D663,Products!$A$2:$A$15,Products!$B$2:$B$15,"Not found")</f>
        <v/>
      </c>
    </row>
    <row r="664">
      <c r="A664" t="n">
        <v>104983</v>
      </c>
      <c r="B664" s="1" t="n">
        <v>45703</v>
      </c>
      <c r="C664" t="inlineStr">
        <is>
          <t>S05</t>
        </is>
      </c>
      <c r="D664" t="inlineStr">
        <is>
          <t>P303</t>
        </is>
      </c>
      <c r="E664" t="n">
        <v>1</v>
      </c>
      <c r="F664" t="n">
        <v>12</v>
      </c>
      <c r="G664" t="n">
        <v>0.1</v>
      </c>
      <c r="H664">
        <f>E664*F664*(1-G664)</f>
        <v/>
      </c>
      <c r="I664">
        <f>XLOOKUP(D664,Products!$A$2:$A$15,Products!$B$2:$B$15,"Not found")</f>
        <v/>
      </c>
    </row>
    <row r="665">
      <c r="A665" t="n">
        <v>104984</v>
      </c>
      <c r="B665" s="1" t="n">
        <v>45703</v>
      </c>
      <c r="C665" t="inlineStr">
        <is>
          <t>S06</t>
        </is>
      </c>
      <c r="D665" t="inlineStr">
        <is>
          <t>P301</t>
        </is>
      </c>
      <c r="E665" t="n">
        <v>1</v>
      </c>
      <c r="F665" t="n">
        <v>119</v>
      </c>
      <c r="G665" t="n">
        <v>0.15</v>
      </c>
      <c r="H665">
        <f>E665*F665*(1-G665)</f>
        <v/>
      </c>
      <c r="I665">
        <f>XLOOKUP(D665,Products!$A$2:$A$15,Products!$B$2:$B$15,"Not found")</f>
        <v/>
      </c>
    </row>
    <row r="666">
      <c r="A666" t="n">
        <v>104985</v>
      </c>
      <c r="B666" s="1" t="n">
        <v>45703</v>
      </c>
      <c r="C666" t="inlineStr">
        <is>
          <t>S06</t>
        </is>
      </c>
      <c r="D666" t="inlineStr">
        <is>
          <t>P103</t>
        </is>
      </c>
      <c r="E666" t="n">
        <v>2</v>
      </c>
      <c r="F666" t="n">
        <v>29</v>
      </c>
      <c r="G666" t="n">
        <v>0.1</v>
      </c>
      <c r="H666">
        <f>E666*F666*(1-G666)</f>
        <v/>
      </c>
      <c r="I666">
        <f>XLOOKUP(D666,Products!$A$2:$A$15,Products!$B$2:$B$15,"Not found")</f>
        <v/>
      </c>
    </row>
    <row r="667">
      <c r="A667" t="n">
        <v>104986</v>
      </c>
      <c r="B667" s="1" t="n">
        <v>45704</v>
      </c>
      <c r="C667" t="inlineStr">
        <is>
          <t>S01</t>
        </is>
      </c>
      <c r="D667" t="inlineStr">
        <is>
          <t>P104</t>
        </is>
      </c>
      <c r="E667" t="n">
        <v>1</v>
      </c>
      <c r="F667" t="n">
        <v>189</v>
      </c>
      <c r="G667" t="n">
        <v>0.2</v>
      </c>
      <c r="H667">
        <f>E667*F667*(1-G667)</f>
        <v/>
      </c>
      <c r="I667">
        <f>XLOOKUP(D667,Products!$A$2:$A$15,Products!$B$2:$B$15,"Not found")</f>
        <v/>
      </c>
    </row>
    <row r="668">
      <c r="A668" t="n">
        <v>104987</v>
      </c>
      <c r="B668" s="1" t="n">
        <v>45704</v>
      </c>
      <c r="C668" t="inlineStr">
        <is>
          <t>S01</t>
        </is>
      </c>
      <c r="D668" t="inlineStr">
        <is>
          <t>P101</t>
        </is>
      </c>
      <c r="E668" t="n">
        <v>1</v>
      </c>
      <c r="F668" t="n">
        <v>39</v>
      </c>
      <c r="G668" t="n">
        <v>0</v>
      </c>
      <c r="H668">
        <f>E668*F668*(1-G668)</f>
        <v/>
      </c>
      <c r="I668">
        <f>XLOOKUP(D668,Products!$A$2:$A$15,Products!$B$2:$B$15,"Not found")</f>
        <v/>
      </c>
    </row>
    <row r="669">
      <c r="A669" t="n">
        <v>104988</v>
      </c>
      <c r="B669" s="1" t="n">
        <v>45704</v>
      </c>
      <c r="C669" t="inlineStr">
        <is>
          <t>S01</t>
        </is>
      </c>
      <c r="D669" t="inlineStr">
        <is>
          <t>P401</t>
        </is>
      </c>
      <c r="E669" t="n">
        <v>1</v>
      </c>
      <c r="F669" t="n">
        <v>549</v>
      </c>
      <c r="G669" t="n">
        <v>0</v>
      </c>
      <c r="H669">
        <f>E669*F669*(1-G669)</f>
        <v/>
      </c>
      <c r="I669">
        <f>XLOOKUP(D669,Products!$A$2:$A$15,Products!$B$2:$B$15,"Not found")</f>
        <v/>
      </c>
    </row>
    <row r="670">
      <c r="A670" t="n">
        <v>104989</v>
      </c>
      <c r="B670" s="1" t="n">
        <v>45704</v>
      </c>
      <c r="C670" t="inlineStr">
        <is>
          <t>S01</t>
        </is>
      </c>
      <c r="D670" t="inlineStr">
        <is>
          <t>P203</t>
        </is>
      </c>
      <c r="E670" t="n">
        <v>3</v>
      </c>
      <c r="F670" t="n">
        <v>19.5</v>
      </c>
      <c r="G670" t="n">
        <v>0</v>
      </c>
      <c r="H670">
        <f>E670*F670*(1-G670)</f>
        <v/>
      </c>
      <c r="I670">
        <f>XLOOKUP(D670,Products!$A$2:$A$15,Products!$B$2:$B$15,"Not found")</f>
        <v/>
      </c>
    </row>
    <row r="671">
      <c r="A671" t="n">
        <v>104990</v>
      </c>
      <c r="B671" s="1" t="n">
        <v>45704</v>
      </c>
      <c r="C671" t="inlineStr">
        <is>
          <t>S01</t>
        </is>
      </c>
      <c r="D671" t="inlineStr">
        <is>
          <t>P201</t>
        </is>
      </c>
      <c r="E671" t="n">
        <v>1</v>
      </c>
      <c r="F671" t="n">
        <v>149</v>
      </c>
      <c r="G671" t="n">
        <v>0</v>
      </c>
      <c r="H671">
        <f>E671*F671*(1-G671)</f>
        <v/>
      </c>
      <c r="I671">
        <f>XLOOKUP(D671,Products!$A$2:$A$15,Products!$B$2:$B$15,"Not found")</f>
        <v/>
      </c>
    </row>
    <row r="672">
      <c r="A672" t="n">
        <v>104991</v>
      </c>
      <c r="B672" s="1" t="n">
        <v>45704</v>
      </c>
      <c r="C672" t="inlineStr">
        <is>
          <t>S02</t>
        </is>
      </c>
      <c r="D672" t="inlineStr">
        <is>
          <t>P301</t>
        </is>
      </c>
      <c r="E672" t="n">
        <v>1</v>
      </c>
      <c r="F672" t="n">
        <v>119</v>
      </c>
      <c r="G672" t="n">
        <v>0.2</v>
      </c>
      <c r="H672">
        <f>E672*F672*(1-G672)</f>
        <v/>
      </c>
      <c r="I672">
        <f>XLOOKUP(D672,Products!$A$2:$A$15,Products!$B$2:$B$15,"Not found")</f>
        <v/>
      </c>
    </row>
    <row r="673">
      <c r="A673" t="n">
        <v>104992</v>
      </c>
      <c r="B673" s="1" t="n">
        <v>45704</v>
      </c>
      <c r="C673" t="inlineStr">
        <is>
          <t>S02</t>
        </is>
      </c>
      <c r="D673" t="inlineStr">
        <is>
          <t>P203</t>
        </is>
      </c>
      <c r="E673" t="n">
        <v>2</v>
      </c>
      <c r="F673" t="n">
        <v>19.5</v>
      </c>
      <c r="G673" t="n">
        <v>0.1</v>
      </c>
      <c r="H673">
        <f>E673*F673*(1-G673)</f>
        <v/>
      </c>
      <c r="I673">
        <f>XLOOKUP(D673,Products!$A$2:$A$15,Products!$B$2:$B$15,"Not found")</f>
        <v/>
      </c>
    </row>
    <row r="674">
      <c r="A674" t="n">
        <v>104993</v>
      </c>
      <c r="B674" s="1" t="n">
        <v>45704</v>
      </c>
      <c r="C674" t="inlineStr">
        <is>
          <t>S02</t>
        </is>
      </c>
      <c r="D674" t="inlineStr">
        <is>
          <t>P302</t>
        </is>
      </c>
      <c r="E674" t="n">
        <v>2</v>
      </c>
      <c r="F674" t="n">
        <v>24</v>
      </c>
      <c r="G674" t="n">
        <v>0</v>
      </c>
      <c r="H674">
        <f>E674*F674*(1-G674)</f>
        <v/>
      </c>
      <c r="I674">
        <f>XLOOKUP(D674,Products!$A$2:$A$15,Products!$B$2:$B$15,"Not found")</f>
        <v/>
      </c>
    </row>
    <row r="675">
      <c r="A675" t="n">
        <v>104994</v>
      </c>
      <c r="B675" s="1" t="n">
        <v>45704</v>
      </c>
      <c r="C675" t="inlineStr">
        <is>
          <t>S02</t>
        </is>
      </c>
      <c r="D675" t="inlineStr">
        <is>
          <t>P101</t>
        </is>
      </c>
      <c r="E675" t="n">
        <v>2</v>
      </c>
      <c r="F675" t="n">
        <v>39</v>
      </c>
      <c r="G675" t="n">
        <v>0</v>
      </c>
      <c r="H675">
        <f>E675*F675*(1-G675)</f>
        <v/>
      </c>
      <c r="I675">
        <f>XLOOKUP(D675,Products!$A$2:$A$15,Products!$B$2:$B$15,"Not found")</f>
        <v/>
      </c>
    </row>
    <row r="676">
      <c r="A676" t="n">
        <v>104995</v>
      </c>
      <c r="B676" s="1" t="n">
        <v>45704</v>
      </c>
      <c r="C676" t="inlineStr">
        <is>
          <t>S02</t>
        </is>
      </c>
      <c r="D676" t="inlineStr">
        <is>
          <t>P201</t>
        </is>
      </c>
      <c r="E676" t="n">
        <v>1</v>
      </c>
      <c r="F676" t="n">
        <v>149</v>
      </c>
      <c r="G676" t="n">
        <v>0</v>
      </c>
      <c r="H676">
        <f>E676*F676*(1-G676)</f>
        <v/>
      </c>
      <c r="I676">
        <f>XLOOKUP(D676,Products!$A$2:$A$15,Products!$B$2:$B$15,"Not found")</f>
        <v/>
      </c>
    </row>
    <row r="677">
      <c r="A677" t="n">
        <v>104996</v>
      </c>
      <c r="B677" s="1" t="n">
        <v>45704</v>
      </c>
      <c r="C677" t="inlineStr">
        <is>
          <t>S03</t>
        </is>
      </c>
      <c r="D677" t="inlineStr">
        <is>
          <t>P301</t>
        </is>
      </c>
      <c r="E677" t="n">
        <v>1</v>
      </c>
      <c r="F677" t="n">
        <v>119</v>
      </c>
      <c r="G677" t="n">
        <v>0.1</v>
      </c>
      <c r="H677">
        <f>E677*F677*(1-G677)</f>
        <v/>
      </c>
      <c r="I677">
        <f>XLOOKUP(D677,Products!$A$2:$A$15,Products!$B$2:$B$15,"Not found")</f>
        <v/>
      </c>
    </row>
    <row r="678">
      <c r="A678" t="n">
        <v>104997</v>
      </c>
      <c r="B678" s="1" t="n">
        <v>45704</v>
      </c>
      <c r="C678" t="inlineStr">
        <is>
          <t>S03</t>
        </is>
      </c>
      <c r="D678" t="inlineStr">
        <is>
          <t>P303</t>
        </is>
      </c>
      <c r="E678" t="n">
        <v>3</v>
      </c>
      <c r="F678" t="n">
        <v>12</v>
      </c>
      <c r="G678" t="n">
        <v>0</v>
      </c>
      <c r="H678">
        <f>E678*F678*(1-G678)</f>
        <v/>
      </c>
      <c r="I678">
        <f>XLOOKUP(D678,Products!$A$2:$A$15,Products!$B$2:$B$15,"Not found")</f>
        <v/>
      </c>
    </row>
    <row r="679">
      <c r="A679" t="n">
        <v>104998</v>
      </c>
      <c r="B679" s="1" t="n">
        <v>45704</v>
      </c>
      <c r="C679" t="inlineStr">
        <is>
          <t>S03</t>
        </is>
      </c>
      <c r="D679" t="inlineStr">
        <is>
          <t>P204</t>
        </is>
      </c>
      <c r="E679" t="n">
        <v>1</v>
      </c>
      <c r="F679" t="n">
        <v>229</v>
      </c>
      <c r="G679" t="n">
        <v>0.15</v>
      </c>
      <c r="H679">
        <f>E679*F679*(1-G679)</f>
        <v/>
      </c>
      <c r="I679">
        <f>XLOOKUP(D679,Products!$A$2:$A$15,Products!$B$2:$B$15,"Not found")</f>
        <v/>
      </c>
    </row>
    <row r="680">
      <c r="A680" t="n">
        <v>104999</v>
      </c>
      <c r="B680" s="1" t="n">
        <v>45704</v>
      </c>
      <c r="C680" t="inlineStr">
        <is>
          <t>S04</t>
        </is>
      </c>
      <c r="D680" t="inlineStr">
        <is>
          <t>P203</t>
        </is>
      </c>
      <c r="E680" t="n">
        <v>1</v>
      </c>
      <c r="F680" t="n">
        <v>19.5</v>
      </c>
      <c r="G680" t="n">
        <v>0.1</v>
      </c>
      <c r="H680">
        <f>E680*F680*(1-G680)</f>
        <v/>
      </c>
      <c r="I680">
        <f>XLOOKUP(D680,Products!$A$2:$A$15,Products!$B$2:$B$15,"Not found")</f>
        <v/>
      </c>
    </row>
    <row r="681">
      <c r="A681" t="n">
        <v>105000</v>
      </c>
      <c r="B681" s="1" t="n">
        <v>45704</v>
      </c>
      <c r="C681" t="inlineStr">
        <is>
          <t>S04</t>
        </is>
      </c>
      <c r="D681" t="inlineStr">
        <is>
          <t>P104</t>
        </is>
      </c>
      <c r="E681" t="n">
        <v>1</v>
      </c>
      <c r="F681" t="n">
        <v>189</v>
      </c>
      <c r="G681" t="n">
        <v>0</v>
      </c>
      <c r="H681">
        <f>E681*F681*(1-G681)</f>
        <v/>
      </c>
      <c r="I681">
        <f>XLOOKUP(D681,Products!$A$2:$A$15,Products!$B$2:$B$15,"Not found")</f>
        <v/>
      </c>
    </row>
    <row r="682">
      <c r="A682" t="n">
        <v>105001</v>
      </c>
      <c r="B682" s="1" t="n">
        <v>45704</v>
      </c>
      <c r="C682" t="inlineStr">
        <is>
          <t>S04</t>
        </is>
      </c>
      <c r="D682" t="inlineStr">
        <is>
          <t>P302</t>
        </is>
      </c>
      <c r="E682" t="n">
        <v>1</v>
      </c>
      <c r="F682" t="n">
        <v>24</v>
      </c>
      <c r="G682" t="n">
        <v>0.1</v>
      </c>
      <c r="H682">
        <f>E682*F682*(1-G682)</f>
        <v/>
      </c>
      <c r="I682">
        <f>XLOOKUP(D682,Products!$A$2:$A$15,Products!$B$2:$B$15,"Not found")</f>
        <v/>
      </c>
    </row>
    <row r="683">
      <c r="A683" t="n">
        <v>105002</v>
      </c>
      <c r="B683" s="1" t="n">
        <v>45704</v>
      </c>
      <c r="C683" t="inlineStr">
        <is>
          <t>S04</t>
        </is>
      </c>
      <c r="D683" t="inlineStr">
        <is>
          <t>P102</t>
        </is>
      </c>
      <c r="E683" t="n">
        <v>1</v>
      </c>
      <c r="F683" t="n">
        <v>14.5</v>
      </c>
      <c r="G683" t="n">
        <v>0.1</v>
      </c>
      <c r="H683">
        <f>E683*F683*(1-G683)</f>
        <v/>
      </c>
      <c r="I683">
        <f>XLOOKUP(D683,Products!$A$2:$A$15,Products!$B$2:$B$15,"Not found")</f>
        <v/>
      </c>
    </row>
    <row r="684">
      <c r="A684" t="n">
        <v>105003</v>
      </c>
      <c r="B684" s="1" t="n">
        <v>45704</v>
      </c>
      <c r="C684" t="inlineStr">
        <is>
          <t>S05</t>
        </is>
      </c>
      <c r="D684" t="inlineStr">
        <is>
          <t>P102</t>
        </is>
      </c>
      <c r="E684" t="n">
        <v>1</v>
      </c>
      <c r="F684" t="n">
        <v>14.5</v>
      </c>
      <c r="G684" t="n">
        <v>0</v>
      </c>
      <c r="H684">
        <f>E684*F684*(1-G684)</f>
        <v/>
      </c>
      <c r="I684">
        <f>XLOOKUP(D684,Products!$A$2:$A$15,Products!$B$2:$B$15,"Not found")</f>
        <v/>
      </c>
    </row>
    <row r="685">
      <c r="A685" t="n">
        <v>105004</v>
      </c>
      <c r="B685" s="1" t="n">
        <v>45704</v>
      </c>
      <c r="C685" t="inlineStr">
        <is>
          <t>S06</t>
        </is>
      </c>
      <c r="D685" t="inlineStr">
        <is>
          <t>P102</t>
        </is>
      </c>
      <c r="E685" t="n">
        <v>1</v>
      </c>
      <c r="F685" t="n">
        <v>14.5</v>
      </c>
      <c r="G685" t="n">
        <v>0</v>
      </c>
      <c r="H685">
        <f>E685*F685*(1-G685)</f>
        <v/>
      </c>
      <c r="I685">
        <f>XLOOKUP(D685,Products!$A$2:$A$15,Products!$B$2:$B$15,"Not found")</f>
        <v/>
      </c>
    </row>
    <row r="686">
      <c r="A686" t="n">
        <v>105005</v>
      </c>
      <c r="B686" s="1" t="n">
        <v>45705</v>
      </c>
      <c r="C686" t="inlineStr">
        <is>
          <t>S01</t>
        </is>
      </c>
      <c r="D686" t="inlineStr">
        <is>
          <t>P204</t>
        </is>
      </c>
      <c r="E686" t="n">
        <v>1</v>
      </c>
      <c r="F686" t="n">
        <v>229</v>
      </c>
      <c r="G686" t="n">
        <v>0</v>
      </c>
      <c r="H686">
        <f>E686*F686*(1-G686)</f>
        <v/>
      </c>
      <c r="I686">
        <f>XLOOKUP(D686,Products!$A$2:$A$15,Products!$B$2:$B$15,"Not found")</f>
        <v/>
      </c>
    </row>
    <row r="687">
      <c r="A687" t="n">
        <v>105006</v>
      </c>
      <c r="B687" s="1" t="n">
        <v>45705</v>
      </c>
      <c r="C687" t="inlineStr">
        <is>
          <t>S01</t>
        </is>
      </c>
      <c r="D687" t="inlineStr">
        <is>
          <t>P301</t>
        </is>
      </c>
      <c r="E687" t="n">
        <v>1</v>
      </c>
      <c r="F687" t="n">
        <v>119</v>
      </c>
      <c r="G687" t="n">
        <v>0</v>
      </c>
      <c r="H687">
        <f>E687*F687*(1-G687)</f>
        <v/>
      </c>
      <c r="I687">
        <f>XLOOKUP(D687,Products!$A$2:$A$15,Products!$B$2:$B$15,"Not found")</f>
        <v/>
      </c>
    </row>
    <row r="688">
      <c r="A688" t="n">
        <v>105007</v>
      </c>
      <c r="B688" s="1" t="n">
        <v>45705</v>
      </c>
      <c r="C688" t="inlineStr">
        <is>
          <t>S01</t>
        </is>
      </c>
      <c r="D688" t="inlineStr">
        <is>
          <t>P202</t>
        </is>
      </c>
      <c r="E688" t="n">
        <v>1</v>
      </c>
      <c r="F688" t="n">
        <v>79</v>
      </c>
      <c r="G688" t="n">
        <v>0</v>
      </c>
      <c r="H688">
        <f>E688*F688*(1-G688)</f>
        <v/>
      </c>
      <c r="I688">
        <f>XLOOKUP(D688,Products!$A$2:$A$15,Products!$B$2:$B$15,"Not found")</f>
        <v/>
      </c>
    </row>
    <row r="689">
      <c r="A689" t="n">
        <v>105008</v>
      </c>
      <c r="B689" s="1" t="n">
        <v>45705</v>
      </c>
      <c r="C689" t="inlineStr">
        <is>
          <t>S01</t>
        </is>
      </c>
      <c r="D689" t="inlineStr">
        <is>
          <t>P303</t>
        </is>
      </c>
      <c r="E689" t="n">
        <v>2</v>
      </c>
      <c r="F689" t="n">
        <v>12</v>
      </c>
      <c r="G689" t="n">
        <v>0.1</v>
      </c>
      <c r="H689">
        <f>E689*F689*(1-G689)</f>
        <v/>
      </c>
      <c r="I689">
        <f>XLOOKUP(D689,Products!$A$2:$A$15,Products!$B$2:$B$15,"Not found")</f>
        <v/>
      </c>
    </row>
    <row r="690">
      <c r="A690" t="n">
        <v>105009</v>
      </c>
      <c r="B690" s="1" t="n">
        <v>45705</v>
      </c>
      <c r="C690" t="inlineStr">
        <is>
          <t>S02</t>
        </is>
      </c>
      <c r="D690" t="inlineStr">
        <is>
          <t>P102</t>
        </is>
      </c>
      <c r="E690" t="n">
        <v>1</v>
      </c>
      <c r="F690" t="n">
        <v>14.5</v>
      </c>
      <c r="G690" t="n">
        <v>0</v>
      </c>
      <c r="H690">
        <f>E690*F690*(1-G690)</f>
        <v/>
      </c>
      <c r="I690">
        <f>XLOOKUP(D690,Products!$A$2:$A$15,Products!$B$2:$B$15,"Not found")</f>
        <v/>
      </c>
    </row>
    <row r="691">
      <c r="A691" t="n">
        <v>105010</v>
      </c>
      <c r="B691" s="1" t="n">
        <v>45705</v>
      </c>
      <c r="C691" t="inlineStr">
        <is>
          <t>S02</t>
        </is>
      </c>
      <c r="D691" t="inlineStr">
        <is>
          <t>P102</t>
        </is>
      </c>
      <c r="E691" t="n">
        <v>2</v>
      </c>
      <c r="F691" t="n">
        <v>14.5</v>
      </c>
      <c r="G691" t="n">
        <v>0</v>
      </c>
      <c r="H691">
        <f>E691*F691*(1-G691)</f>
        <v/>
      </c>
      <c r="I691">
        <f>XLOOKUP(D691,Products!$A$2:$A$15,Products!$B$2:$B$15,"Not found")</f>
        <v/>
      </c>
    </row>
    <row r="692">
      <c r="A692" t="n">
        <v>105011</v>
      </c>
      <c r="B692" s="1" t="n">
        <v>45705</v>
      </c>
      <c r="C692" t="inlineStr">
        <is>
          <t>S03</t>
        </is>
      </c>
      <c r="D692" t="inlineStr">
        <is>
          <t>P301</t>
        </is>
      </c>
      <c r="E692" t="n">
        <v>1</v>
      </c>
      <c r="F692" t="n">
        <v>119</v>
      </c>
      <c r="G692" t="n">
        <v>0</v>
      </c>
      <c r="H692">
        <f>E692*F692*(1-G692)</f>
        <v/>
      </c>
      <c r="I692">
        <f>XLOOKUP(D692,Products!$A$2:$A$15,Products!$B$2:$B$15,"Not found")</f>
        <v/>
      </c>
    </row>
    <row r="693">
      <c r="A693" t="n">
        <v>105012</v>
      </c>
      <c r="B693" s="1" t="n">
        <v>45705</v>
      </c>
      <c r="C693" t="inlineStr">
        <is>
          <t>S03</t>
        </is>
      </c>
      <c r="D693" t="inlineStr">
        <is>
          <t>P102</t>
        </is>
      </c>
      <c r="E693" t="n">
        <v>2</v>
      </c>
      <c r="F693" t="n">
        <v>14.5</v>
      </c>
      <c r="G693" t="n">
        <v>0</v>
      </c>
      <c r="H693">
        <f>E693*F693*(1-G693)</f>
        <v/>
      </c>
      <c r="I693">
        <f>XLOOKUP(D693,Products!$A$2:$A$15,Products!$B$2:$B$15,"Not found")</f>
        <v/>
      </c>
    </row>
    <row r="694">
      <c r="A694" t="n">
        <v>105013</v>
      </c>
      <c r="B694" s="1" t="n">
        <v>45705</v>
      </c>
      <c r="C694" t="inlineStr">
        <is>
          <t>S04</t>
        </is>
      </c>
      <c r="D694" t="inlineStr">
        <is>
          <t>P301</t>
        </is>
      </c>
      <c r="E694" t="n">
        <v>1</v>
      </c>
      <c r="F694" t="n">
        <v>119</v>
      </c>
      <c r="G694" t="n">
        <v>0</v>
      </c>
      <c r="H694">
        <f>E694*F694*(1-G694)</f>
        <v/>
      </c>
      <c r="I694">
        <f>XLOOKUP(D694,Products!$A$2:$A$15,Products!$B$2:$B$15,"Not found")</f>
        <v/>
      </c>
    </row>
    <row r="695">
      <c r="A695" t="n">
        <v>105014</v>
      </c>
      <c r="B695" s="1" t="n">
        <v>45705</v>
      </c>
      <c r="C695" t="inlineStr">
        <is>
          <t>S04</t>
        </is>
      </c>
      <c r="D695" t="inlineStr">
        <is>
          <t>P101</t>
        </is>
      </c>
      <c r="E695" t="n">
        <v>3</v>
      </c>
      <c r="F695" t="n">
        <v>39</v>
      </c>
      <c r="G695" t="n">
        <v>0</v>
      </c>
      <c r="H695">
        <f>E695*F695*(1-G695)</f>
        <v/>
      </c>
      <c r="I695">
        <f>XLOOKUP(D695,Products!$A$2:$A$15,Products!$B$2:$B$15,"Not found")</f>
        <v/>
      </c>
    </row>
    <row r="696">
      <c r="A696" t="n">
        <v>105015</v>
      </c>
      <c r="B696" s="1" t="n">
        <v>45705</v>
      </c>
      <c r="C696" t="inlineStr">
        <is>
          <t>S04</t>
        </is>
      </c>
      <c r="D696" t="inlineStr">
        <is>
          <t>P103</t>
        </is>
      </c>
      <c r="E696" t="n">
        <v>2</v>
      </c>
      <c r="F696" t="n">
        <v>29</v>
      </c>
      <c r="G696" t="n">
        <v>0</v>
      </c>
      <c r="H696">
        <f>E696*F696*(1-G696)</f>
        <v/>
      </c>
      <c r="I696">
        <f>XLOOKUP(D696,Products!$A$2:$A$15,Products!$B$2:$B$15,"Not found")</f>
        <v/>
      </c>
    </row>
    <row r="697">
      <c r="A697" t="n">
        <v>105016</v>
      </c>
      <c r="B697" s="1" t="n">
        <v>45705</v>
      </c>
      <c r="C697" t="inlineStr">
        <is>
          <t>S05</t>
        </is>
      </c>
      <c r="D697" t="inlineStr">
        <is>
          <t>P303</t>
        </is>
      </c>
      <c r="E697" t="n">
        <v>1</v>
      </c>
      <c r="F697" t="n">
        <v>12</v>
      </c>
      <c r="G697" t="n">
        <v>0</v>
      </c>
      <c r="H697">
        <f>E697*F697*(1-G697)</f>
        <v/>
      </c>
      <c r="I697">
        <f>XLOOKUP(D697,Products!$A$2:$A$15,Products!$B$2:$B$15,"Not found")</f>
        <v/>
      </c>
    </row>
    <row r="698">
      <c r="A698" t="n">
        <v>105017</v>
      </c>
      <c r="B698" s="1" t="n">
        <v>45706</v>
      </c>
      <c r="C698" t="inlineStr">
        <is>
          <t>S01</t>
        </is>
      </c>
      <c r="D698" t="inlineStr">
        <is>
          <t>P201</t>
        </is>
      </c>
      <c r="E698" t="n">
        <v>1</v>
      </c>
      <c r="F698" t="n">
        <v>149</v>
      </c>
      <c r="G698" t="n">
        <v>0.1</v>
      </c>
      <c r="H698">
        <f>E698*F698*(1-G698)</f>
        <v/>
      </c>
      <c r="I698">
        <f>XLOOKUP(D698,Products!$A$2:$A$15,Products!$B$2:$B$15,"Not found")</f>
        <v/>
      </c>
    </row>
    <row r="699">
      <c r="A699" t="n">
        <v>105018</v>
      </c>
      <c r="B699" s="1" t="n">
        <v>45706</v>
      </c>
      <c r="C699" t="inlineStr">
        <is>
          <t>S01</t>
        </is>
      </c>
      <c r="D699" t="inlineStr">
        <is>
          <t>P201</t>
        </is>
      </c>
      <c r="E699" t="n">
        <v>1</v>
      </c>
      <c r="F699" t="n">
        <v>149</v>
      </c>
      <c r="G699" t="n">
        <v>0</v>
      </c>
      <c r="H699">
        <f>E699*F699*(1-G699)</f>
        <v/>
      </c>
      <c r="I699">
        <f>XLOOKUP(D699,Products!$A$2:$A$15,Products!$B$2:$B$15,"Not found")</f>
        <v/>
      </c>
    </row>
    <row r="700">
      <c r="A700" t="n">
        <v>105019</v>
      </c>
      <c r="B700" s="1" t="n">
        <v>45706</v>
      </c>
      <c r="C700" t="inlineStr">
        <is>
          <t>S02</t>
        </is>
      </c>
      <c r="D700" t="inlineStr">
        <is>
          <t>P303</t>
        </is>
      </c>
      <c r="E700" t="n">
        <v>3</v>
      </c>
      <c r="F700" t="n">
        <v>12</v>
      </c>
      <c r="G700" t="n">
        <v>0</v>
      </c>
      <c r="H700">
        <f>E700*F700*(1-G700)</f>
        <v/>
      </c>
      <c r="I700">
        <f>XLOOKUP(D700,Products!$A$2:$A$15,Products!$B$2:$B$15,"Not found")</f>
        <v/>
      </c>
    </row>
    <row r="701">
      <c r="A701" t="n">
        <v>105020</v>
      </c>
      <c r="B701" s="1" t="n">
        <v>45706</v>
      </c>
      <c r="C701" t="inlineStr">
        <is>
          <t>S02</t>
        </is>
      </c>
      <c r="D701" t="inlineStr">
        <is>
          <t>P302</t>
        </is>
      </c>
      <c r="E701" t="n">
        <v>2</v>
      </c>
      <c r="F701" t="n">
        <v>24</v>
      </c>
      <c r="G701" t="n">
        <v>0</v>
      </c>
      <c r="H701">
        <f>E701*F701*(1-G701)</f>
        <v/>
      </c>
      <c r="I701">
        <f>XLOOKUP(D701,Products!$A$2:$A$15,Products!$B$2:$B$15,"Not found")</f>
        <v/>
      </c>
    </row>
    <row r="702">
      <c r="A702" t="n">
        <v>105021</v>
      </c>
      <c r="B702" s="1" t="n">
        <v>45706</v>
      </c>
      <c r="C702" t="inlineStr">
        <is>
          <t>S04</t>
        </is>
      </c>
      <c r="D702" t="inlineStr">
        <is>
          <t>P102</t>
        </is>
      </c>
      <c r="E702" t="n">
        <v>1</v>
      </c>
      <c r="F702" t="n">
        <v>14.5</v>
      </c>
      <c r="G702" t="n">
        <v>0.2</v>
      </c>
      <c r="H702">
        <f>E702*F702*(1-G702)</f>
        <v/>
      </c>
      <c r="I702">
        <f>XLOOKUP(D702,Products!$A$2:$A$15,Products!$B$2:$B$15,"Not found")</f>
        <v/>
      </c>
    </row>
    <row r="703">
      <c r="A703" t="n">
        <v>105022</v>
      </c>
      <c r="B703" s="1" t="n">
        <v>45706</v>
      </c>
      <c r="C703" t="inlineStr">
        <is>
          <t>S05</t>
        </is>
      </c>
      <c r="D703" t="inlineStr">
        <is>
          <t>P203</t>
        </is>
      </c>
      <c r="E703" t="n">
        <v>3</v>
      </c>
      <c r="F703" t="n">
        <v>19.5</v>
      </c>
      <c r="G703" t="n">
        <v>0.15</v>
      </c>
      <c r="H703">
        <f>E703*F703*(1-G703)</f>
        <v/>
      </c>
      <c r="I703">
        <f>XLOOKUP(D703,Products!$A$2:$A$15,Products!$B$2:$B$15,"Not found")</f>
        <v/>
      </c>
    </row>
    <row r="704">
      <c r="A704" t="n">
        <v>105023</v>
      </c>
      <c r="B704" s="1" t="n">
        <v>45707</v>
      </c>
      <c r="C704" t="inlineStr">
        <is>
          <t>S01</t>
        </is>
      </c>
      <c r="D704" t="inlineStr">
        <is>
          <t>P303</t>
        </is>
      </c>
      <c r="E704" t="n">
        <v>4</v>
      </c>
      <c r="F704" t="n">
        <v>12</v>
      </c>
      <c r="G704" t="n">
        <v>0.15</v>
      </c>
      <c r="H704">
        <f>E704*F704*(1-G704)</f>
        <v/>
      </c>
      <c r="I704">
        <f>XLOOKUP(D704,Products!$A$2:$A$15,Products!$B$2:$B$15,"Not found")</f>
        <v/>
      </c>
    </row>
    <row r="705">
      <c r="A705" t="n">
        <v>105024</v>
      </c>
      <c r="B705" s="1" t="n">
        <v>45707</v>
      </c>
      <c r="C705" t="inlineStr">
        <is>
          <t>S01</t>
        </is>
      </c>
      <c r="D705" t="inlineStr">
        <is>
          <t>P101</t>
        </is>
      </c>
      <c r="E705" t="n">
        <v>3</v>
      </c>
      <c r="F705" t="n">
        <v>39</v>
      </c>
      <c r="G705" t="n">
        <v>0</v>
      </c>
      <c r="H705">
        <f>E705*F705*(1-G705)</f>
        <v/>
      </c>
      <c r="I705">
        <f>XLOOKUP(D705,Products!$A$2:$A$15,Products!$B$2:$B$15,"Not found")</f>
        <v/>
      </c>
    </row>
    <row r="706">
      <c r="A706" t="n">
        <v>105025</v>
      </c>
      <c r="B706" s="1" t="n">
        <v>45707</v>
      </c>
      <c r="C706" t="inlineStr">
        <is>
          <t>S01</t>
        </is>
      </c>
      <c r="D706" t="inlineStr">
        <is>
          <t>P104</t>
        </is>
      </c>
      <c r="E706" t="n">
        <v>1</v>
      </c>
      <c r="F706" t="n">
        <v>189</v>
      </c>
      <c r="G706" t="n">
        <v>0</v>
      </c>
      <c r="H706">
        <f>E706*F706*(1-G706)</f>
        <v/>
      </c>
      <c r="I706">
        <f>XLOOKUP(D706,Products!$A$2:$A$15,Products!$B$2:$B$15,"Not found")</f>
        <v/>
      </c>
    </row>
    <row r="707">
      <c r="A707" t="n">
        <v>105026</v>
      </c>
      <c r="B707" s="1" t="n">
        <v>45707</v>
      </c>
      <c r="C707" t="inlineStr">
        <is>
          <t>S01</t>
        </is>
      </c>
      <c r="D707" t="inlineStr">
        <is>
          <t>P201</t>
        </is>
      </c>
      <c r="E707" t="n">
        <v>1</v>
      </c>
      <c r="F707" t="n">
        <v>149</v>
      </c>
      <c r="G707" t="n">
        <v>0</v>
      </c>
      <c r="H707">
        <f>E707*F707*(1-G707)</f>
        <v/>
      </c>
      <c r="I707">
        <f>XLOOKUP(D707,Products!$A$2:$A$15,Products!$B$2:$B$15,"Not found")</f>
        <v/>
      </c>
    </row>
    <row r="708">
      <c r="A708" t="n">
        <v>105027</v>
      </c>
      <c r="B708" s="1" t="n">
        <v>45707</v>
      </c>
      <c r="C708" t="inlineStr">
        <is>
          <t>S02</t>
        </is>
      </c>
      <c r="D708" t="inlineStr">
        <is>
          <t>P303</t>
        </is>
      </c>
      <c r="E708" t="n">
        <v>1</v>
      </c>
      <c r="F708" t="n">
        <v>12</v>
      </c>
      <c r="G708" t="n">
        <v>0.1</v>
      </c>
      <c r="H708">
        <f>E708*F708*(1-G708)</f>
        <v/>
      </c>
      <c r="I708">
        <f>XLOOKUP(D708,Products!$A$2:$A$15,Products!$B$2:$B$15,"Not found")</f>
        <v/>
      </c>
    </row>
    <row r="709">
      <c r="A709" t="n">
        <v>105028</v>
      </c>
      <c r="B709" s="1" t="n">
        <v>45707</v>
      </c>
      <c r="C709" t="inlineStr">
        <is>
          <t>S02</t>
        </is>
      </c>
      <c r="D709" t="inlineStr">
        <is>
          <t>P303</t>
        </is>
      </c>
      <c r="E709" t="n">
        <v>4</v>
      </c>
      <c r="F709" t="n">
        <v>12</v>
      </c>
      <c r="G709" t="n">
        <v>0.2</v>
      </c>
      <c r="H709">
        <f>E709*F709*(1-G709)</f>
        <v/>
      </c>
      <c r="I709">
        <f>XLOOKUP(D709,Products!$A$2:$A$15,Products!$B$2:$B$15,"Not found")</f>
        <v/>
      </c>
    </row>
    <row r="710">
      <c r="A710" t="n">
        <v>105029</v>
      </c>
      <c r="B710" s="1" t="n">
        <v>45707</v>
      </c>
      <c r="C710" t="inlineStr">
        <is>
          <t>S02</t>
        </is>
      </c>
      <c r="D710" t="inlineStr">
        <is>
          <t>P203</t>
        </is>
      </c>
      <c r="E710" t="n">
        <v>1</v>
      </c>
      <c r="F710" t="n">
        <v>19.5</v>
      </c>
      <c r="G710" t="n">
        <v>0</v>
      </c>
      <c r="H710">
        <f>E710*F710*(1-G710)</f>
        <v/>
      </c>
      <c r="I710">
        <f>XLOOKUP(D710,Products!$A$2:$A$15,Products!$B$2:$B$15,"Not found")</f>
        <v/>
      </c>
    </row>
    <row r="711">
      <c r="A711" t="n">
        <v>105030</v>
      </c>
      <c r="B711" s="1" t="n">
        <v>45707</v>
      </c>
      <c r="C711" t="inlineStr">
        <is>
          <t>S03</t>
        </is>
      </c>
      <c r="D711" t="inlineStr">
        <is>
          <t>P102</t>
        </is>
      </c>
      <c r="E711" t="n">
        <v>1</v>
      </c>
      <c r="F711" t="n">
        <v>14.5</v>
      </c>
      <c r="G711" t="n">
        <v>0</v>
      </c>
      <c r="H711">
        <f>E711*F711*(1-G711)</f>
        <v/>
      </c>
      <c r="I711">
        <f>XLOOKUP(D711,Products!$A$2:$A$15,Products!$B$2:$B$15,"Not found")</f>
        <v/>
      </c>
    </row>
    <row r="712">
      <c r="A712" t="n">
        <v>105031</v>
      </c>
      <c r="B712" s="1" t="n">
        <v>45707</v>
      </c>
      <c r="C712" t="inlineStr">
        <is>
          <t>S03</t>
        </is>
      </c>
      <c r="D712" t="inlineStr">
        <is>
          <t>P102</t>
        </is>
      </c>
      <c r="E712" t="n">
        <v>1</v>
      </c>
      <c r="F712" t="n">
        <v>14.5</v>
      </c>
      <c r="G712" t="n">
        <v>0</v>
      </c>
      <c r="H712">
        <f>E712*F712*(1-G712)</f>
        <v/>
      </c>
      <c r="I712">
        <f>XLOOKUP(D712,Products!$A$2:$A$15,Products!$B$2:$B$15,"Not found")</f>
        <v/>
      </c>
    </row>
    <row r="713">
      <c r="A713" t="n">
        <v>105032</v>
      </c>
      <c r="B713" s="1" t="n">
        <v>45707</v>
      </c>
      <c r="C713" t="inlineStr">
        <is>
          <t>S04</t>
        </is>
      </c>
      <c r="D713" t="inlineStr">
        <is>
          <t>P302</t>
        </is>
      </c>
      <c r="E713" t="n">
        <v>2</v>
      </c>
      <c r="F713" t="n">
        <v>24</v>
      </c>
      <c r="G713" t="n">
        <v>0.2</v>
      </c>
      <c r="H713">
        <f>E713*F713*(1-G713)</f>
        <v/>
      </c>
      <c r="I713">
        <f>XLOOKUP(D713,Products!$A$2:$A$15,Products!$B$2:$B$15,"Not found")</f>
        <v/>
      </c>
    </row>
    <row r="714">
      <c r="A714" t="n">
        <v>105033</v>
      </c>
      <c r="B714" s="1" t="n">
        <v>45707</v>
      </c>
      <c r="C714" t="inlineStr">
        <is>
          <t>S04</t>
        </is>
      </c>
      <c r="D714" t="inlineStr">
        <is>
          <t>P301</t>
        </is>
      </c>
      <c r="E714" t="n">
        <v>1</v>
      </c>
      <c r="F714" t="n">
        <v>119</v>
      </c>
      <c r="G714" t="n">
        <v>0.2</v>
      </c>
      <c r="H714">
        <f>E714*F714*(1-G714)</f>
        <v/>
      </c>
      <c r="I714">
        <f>XLOOKUP(D714,Products!$A$2:$A$15,Products!$B$2:$B$15,"Not found")</f>
        <v/>
      </c>
    </row>
    <row r="715">
      <c r="A715" t="n">
        <v>105034</v>
      </c>
      <c r="B715" s="1" t="n">
        <v>45707</v>
      </c>
      <c r="C715" t="inlineStr">
        <is>
          <t>S04</t>
        </is>
      </c>
      <c r="D715" t="inlineStr">
        <is>
          <t>P303</t>
        </is>
      </c>
      <c r="E715" t="n">
        <v>1</v>
      </c>
      <c r="F715" t="n">
        <v>12</v>
      </c>
      <c r="G715" t="n">
        <v>0</v>
      </c>
      <c r="H715">
        <f>E715*F715*(1-G715)</f>
        <v/>
      </c>
      <c r="I715">
        <f>XLOOKUP(D715,Products!$A$2:$A$15,Products!$B$2:$B$15,"Not found")</f>
        <v/>
      </c>
    </row>
    <row r="716">
      <c r="A716" t="n">
        <v>105035</v>
      </c>
      <c r="B716" s="1" t="n">
        <v>45707</v>
      </c>
      <c r="C716" t="inlineStr">
        <is>
          <t>S04</t>
        </is>
      </c>
      <c r="D716" t="inlineStr">
        <is>
          <t>P403</t>
        </is>
      </c>
      <c r="E716" t="n">
        <v>1</v>
      </c>
      <c r="F716" t="n">
        <v>89</v>
      </c>
      <c r="G716" t="n">
        <v>0</v>
      </c>
      <c r="H716">
        <f>E716*F716*(1-G716)</f>
        <v/>
      </c>
      <c r="I716">
        <f>XLOOKUP(D716,Products!$A$2:$A$15,Products!$B$2:$B$15,"Not found")</f>
        <v/>
      </c>
    </row>
    <row r="717">
      <c r="A717" t="n">
        <v>105036</v>
      </c>
      <c r="B717" s="1" t="n">
        <v>45707</v>
      </c>
      <c r="C717" t="inlineStr">
        <is>
          <t>S05</t>
        </is>
      </c>
      <c r="D717" t="inlineStr">
        <is>
          <t>P302</t>
        </is>
      </c>
      <c r="E717" t="n">
        <v>2</v>
      </c>
      <c r="F717" t="n">
        <v>24</v>
      </c>
      <c r="G717" t="n">
        <v>0.15</v>
      </c>
      <c r="H717">
        <f>E717*F717*(1-G717)</f>
        <v/>
      </c>
      <c r="I717">
        <f>XLOOKUP(D717,Products!$A$2:$A$15,Products!$B$2:$B$15,"Not found")</f>
        <v/>
      </c>
    </row>
    <row r="718">
      <c r="A718" t="n">
        <v>105037</v>
      </c>
      <c r="B718" s="1" t="n">
        <v>45707</v>
      </c>
      <c r="C718" t="inlineStr">
        <is>
          <t>S05</t>
        </is>
      </c>
      <c r="D718" t="inlineStr">
        <is>
          <t>P301</t>
        </is>
      </c>
      <c r="E718" t="n">
        <v>1</v>
      </c>
      <c r="F718" t="n">
        <v>119</v>
      </c>
      <c r="G718" t="n">
        <v>0</v>
      </c>
      <c r="H718">
        <f>E718*F718*(1-G718)</f>
        <v/>
      </c>
      <c r="I718">
        <f>XLOOKUP(D718,Products!$A$2:$A$15,Products!$B$2:$B$15,"Not found")</f>
        <v/>
      </c>
    </row>
    <row r="719">
      <c r="A719" t="n">
        <v>105038</v>
      </c>
      <c r="B719" s="1" t="n">
        <v>45707</v>
      </c>
      <c r="C719" t="inlineStr">
        <is>
          <t>S06</t>
        </is>
      </c>
      <c r="D719" t="inlineStr">
        <is>
          <t>P101</t>
        </is>
      </c>
      <c r="E719" t="n">
        <v>2</v>
      </c>
      <c r="F719" t="n">
        <v>39</v>
      </c>
      <c r="G719" t="n">
        <v>0</v>
      </c>
      <c r="H719">
        <f>E719*F719*(1-G719)</f>
        <v/>
      </c>
      <c r="I719">
        <f>XLOOKUP(D719,Products!$A$2:$A$15,Products!$B$2:$B$15,"Not found")</f>
        <v/>
      </c>
    </row>
    <row r="720">
      <c r="A720" t="n">
        <v>105039</v>
      </c>
      <c r="B720" s="1" t="n">
        <v>45708</v>
      </c>
      <c r="C720" t="inlineStr">
        <is>
          <t>S01</t>
        </is>
      </c>
      <c r="D720" t="inlineStr">
        <is>
          <t>P103</t>
        </is>
      </c>
      <c r="E720" t="n">
        <v>1</v>
      </c>
      <c r="F720" t="n">
        <v>29</v>
      </c>
      <c r="G720" t="n">
        <v>0</v>
      </c>
      <c r="H720">
        <f>E720*F720*(1-G720)</f>
        <v/>
      </c>
      <c r="I720">
        <f>XLOOKUP(D720,Products!$A$2:$A$15,Products!$B$2:$B$15,"Not found")</f>
        <v/>
      </c>
    </row>
    <row r="721">
      <c r="A721" t="n">
        <v>105040</v>
      </c>
      <c r="B721" s="1" t="n">
        <v>45708</v>
      </c>
      <c r="C721" t="inlineStr">
        <is>
          <t>S01</t>
        </is>
      </c>
      <c r="D721" t="inlineStr">
        <is>
          <t>P301</t>
        </is>
      </c>
      <c r="E721" t="n">
        <v>1</v>
      </c>
      <c r="F721" t="n">
        <v>119</v>
      </c>
      <c r="G721" t="n">
        <v>0</v>
      </c>
      <c r="H721">
        <f>E721*F721*(1-G721)</f>
        <v/>
      </c>
      <c r="I721">
        <f>XLOOKUP(D721,Products!$A$2:$A$15,Products!$B$2:$B$15,"Not found")</f>
        <v/>
      </c>
    </row>
    <row r="722">
      <c r="A722" t="n">
        <v>105041</v>
      </c>
      <c r="B722" s="1" t="n">
        <v>45708</v>
      </c>
      <c r="C722" t="inlineStr">
        <is>
          <t>S01</t>
        </is>
      </c>
      <c r="D722" t="inlineStr">
        <is>
          <t>P102</t>
        </is>
      </c>
      <c r="E722" t="n">
        <v>1</v>
      </c>
      <c r="F722" t="n">
        <v>14.5</v>
      </c>
      <c r="G722" t="n">
        <v>0</v>
      </c>
      <c r="H722">
        <f>E722*F722*(1-G722)</f>
        <v/>
      </c>
      <c r="I722">
        <f>XLOOKUP(D722,Products!$A$2:$A$15,Products!$B$2:$B$15,"Not found")</f>
        <v/>
      </c>
    </row>
    <row r="723">
      <c r="A723" t="n">
        <v>105042</v>
      </c>
      <c r="B723" s="1" t="n">
        <v>45708</v>
      </c>
      <c r="C723" t="inlineStr">
        <is>
          <t>S01</t>
        </is>
      </c>
      <c r="D723" t="inlineStr">
        <is>
          <t>P102</t>
        </is>
      </c>
      <c r="E723" t="n">
        <v>1</v>
      </c>
      <c r="F723" t="n">
        <v>14.5</v>
      </c>
      <c r="G723" t="n">
        <v>0</v>
      </c>
      <c r="H723">
        <f>E723*F723*(1-G723)</f>
        <v/>
      </c>
      <c r="I723">
        <f>XLOOKUP(D723,Products!$A$2:$A$15,Products!$B$2:$B$15,"Not found")</f>
        <v/>
      </c>
    </row>
    <row r="724">
      <c r="A724" t="n">
        <v>105043</v>
      </c>
      <c r="B724" s="1" t="n">
        <v>45708</v>
      </c>
      <c r="C724" t="inlineStr">
        <is>
          <t>S01</t>
        </is>
      </c>
      <c r="D724" t="inlineStr">
        <is>
          <t>P302</t>
        </is>
      </c>
      <c r="E724" t="n">
        <v>2</v>
      </c>
      <c r="F724" t="n">
        <v>24</v>
      </c>
      <c r="G724" t="n">
        <v>0.2</v>
      </c>
      <c r="H724">
        <f>E724*F724*(1-G724)</f>
        <v/>
      </c>
      <c r="I724">
        <f>XLOOKUP(D724,Products!$A$2:$A$15,Products!$B$2:$B$15,"Not found")</f>
        <v/>
      </c>
    </row>
    <row r="725">
      <c r="A725" t="n">
        <v>105044</v>
      </c>
      <c r="B725" s="1" t="n">
        <v>45708</v>
      </c>
      <c r="C725" t="inlineStr">
        <is>
          <t>S01</t>
        </is>
      </c>
      <c r="D725" t="inlineStr">
        <is>
          <t>P203</t>
        </is>
      </c>
      <c r="E725" t="n">
        <v>3</v>
      </c>
      <c r="F725" t="n">
        <v>19.5</v>
      </c>
      <c r="G725" t="n">
        <v>0.2</v>
      </c>
      <c r="H725">
        <f>E725*F725*(1-G725)</f>
        <v/>
      </c>
      <c r="I725">
        <f>XLOOKUP(D725,Products!$A$2:$A$15,Products!$B$2:$B$15,"Not found")</f>
        <v/>
      </c>
    </row>
    <row r="726">
      <c r="A726" t="n">
        <v>105045</v>
      </c>
      <c r="B726" s="1" t="n">
        <v>45708</v>
      </c>
      <c r="C726" t="inlineStr">
        <is>
          <t>S01</t>
        </is>
      </c>
      <c r="D726" t="inlineStr">
        <is>
          <t>P202</t>
        </is>
      </c>
      <c r="E726" t="n">
        <v>4</v>
      </c>
      <c r="F726" t="n">
        <v>79</v>
      </c>
      <c r="G726" t="n">
        <v>0</v>
      </c>
      <c r="H726">
        <f>E726*F726*(1-G726)</f>
        <v/>
      </c>
      <c r="I726">
        <f>XLOOKUP(D726,Products!$A$2:$A$15,Products!$B$2:$B$15,"Not found")</f>
        <v/>
      </c>
    </row>
    <row r="727">
      <c r="A727" t="n">
        <v>105046</v>
      </c>
      <c r="B727" s="1" t="n">
        <v>45708</v>
      </c>
      <c r="C727" t="inlineStr">
        <is>
          <t>S02</t>
        </is>
      </c>
      <c r="D727" t="inlineStr">
        <is>
          <t>P302</t>
        </is>
      </c>
      <c r="E727" t="n">
        <v>1</v>
      </c>
      <c r="F727" t="n">
        <v>24</v>
      </c>
      <c r="G727" t="n">
        <v>0</v>
      </c>
      <c r="H727">
        <f>E727*F727*(1-G727)</f>
        <v/>
      </c>
      <c r="I727">
        <f>XLOOKUP(D727,Products!$A$2:$A$15,Products!$B$2:$B$15,"Not found")</f>
        <v/>
      </c>
    </row>
    <row r="728">
      <c r="A728" t="n">
        <v>105047</v>
      </c>
      <c r="B728" s="1" t="n">
        <v>45708</v>
      </c>
      <c r="C728" t="inlineStr">
        <is>
          <t>S02</t>
        </is>
      </c>
      <c r="D728" t="inlineStr">
        <is>
          <t>P203</t>
        </is>
      </c>
      <c r="E728" t="n">
        <v>1</v>
      </c>
      <c r="F728" t="n">
        <v>19.5</v>
      </c>
      <c r="G728" t="n">
        <v>0</v>
      </c>
      <c r="H728">
        <f>E728*F728*(1-G728)</f>
        <v/>
      </c>
      <c r="I728">
        <f>XLOOKUP(D728,Products!$A$2:$A$15,Products!$B$2:$B$15,"Not found")</f>
        <v/>
      </c>
    </row>
    <row r="729">
      <c r="A729" t="n">
        <v>105048</v>
      </c>
      <c r="B729" s="1" t="n">
        <v>45708</v>
      </c>
      <c r="C729" t="inlineStr">
        <is>
          <t>S02</t>
        </is>
      </c>
      <c r="D729" t="inlineStr">
        <is>
          <t>P102</t>
        </is>
      </c>
      <c r="E729" t="n">
        <v>1</v>
      </c>
      <c r="F729" t="n">
        <v>14.5</v>
      </c>
      <c r="G729" t="n">
        <v>0.15</v>
      </c>
      <c r="H729">
        <f>E729*F729*(1-G729)</f>
        <v/>
      </c>
      <c r="I729">
        <f>XLOOKUP(D729,Products!$A$2:$A$15,Products!$B$2:$B$15,"Not found")</f>
        <v/>
      </c>
    </row>
    <row r="730">
      <c r="A730" t="n">
        <v>105049</v>
      </c>
      <c r="B730" s="1" t="n">
        <v>45708</v>
      </c>
      <c r="C730" t="inlineStr">
        <is>
          <t>S02</t>
        </is>
      </c>
      <c r="D730" t="inlineStr">
        <is>
          <t>P102</t>
        </is>
      </c>
      <c r="E730" t="n">
        <v>1</v>
      </c>
      <c r="F730" t="n">
        <v>14.5</v>
      </c>
      <c r="G730" t="n">
        <v>0.1</v>
      </c>
      <c r="H730">
        <f>E730*F730*(1-G730)</f>
        <v/>
      </c>
      <c r="I730">
        <f>XLOOKUP(D730,Products!$A$2:$A$15,Products!$B$2:$B$15,"Not found")</f>
        <v/>
      </c>
    </row>
    <row r="731">
      <c r="A731" t="n">
        <v>105050</v>
      </c>
      <c r="B731" s="1" t="n">
        <v>45708</v>
      </c>
      <c r="C731" t="inlineStr">
        <is>
          <t>S03</t>
        </is>
      </c>
      <c r="D731" t="inlineStr">
        <is>
          <t>P101</t>
        </is>
      </c>
      <c r="E731" t="n">
        <v>2</v>
      </c>
      <c r="F731" t="n">
        <v>39</v>
      </c>
      <c r="G731" t="n">
        <v>0.15</v>
      </c>
      <c r="H731">
        <f>E731*F731*(1-G731)</f>
        <v/>
      </c>
      <c r="I731">
        <f>XLOOKUP(D731,Products!$A$2:$A$15,Products!$B$2:$B$15,"Not found")</f>
        <v/>
      </c>
    </row>
    <row r="732">
      <c r="A732" t="n">
        <v>105051</v>
      </c>
      <c r="B732" s="1" t="n">
        <v>45708</v>
      </c>
      <c r="C732" t="inlineStr">
        <is>
          <t>S03</t>
        </is>
      </c>
      <c r="D732" t="inlineStr">
        <is>
          <t>P104</t>
        </is>
      </c>
      <c r="E732" t="n">
        <v>1</v>
      </c>
      <c r="F732" t="n">
        <v>189</v>
      </c>
      <c r="G732" t="n">
        <v>0.2</v>
      </c>
      <c r="H732">
        <f>E732*F732*(1-G732)</f>
        <v/>
      </c>
      <c r="I732">
        <f>XLOOKUP(D732,Products!$A$2:$A$15,Products!$B$2:$B$15,"Not found")</f>
        <v/>
      </c>
    </row>
    <row r="733">
      <c r="A733" t="n">
        <v>105052</v>
      </c>
      <c r="B733" s="1" t="n">
        <v>45708</v>
      </c>
      <c r="C733" t="inlineStr">
        <is>
          <t>S04</t>
        </is>
      </c>
      <c r="D733" t="inlineStr">
        <is>
          <t>P301</t>
        </is>
      </c>
      <c r="E733" t="n">
        <v>1</v>
      </c>
      <c r="F733" t="n">
        <v>119</v>
      </c>
      <c r="G733" t="n">
        <v>0.15</v>
      </c>
      <c r="H733">
        <f>E733*F733*(1-G733)</f>
        <v/>
      </c>
      <c r="I733">
        <f>XLOOKUP(D733,Products!$A$2:$A$15,Products!$B$2:$B$15,"Not found")</f>
        <v/>
      </c>
    </row>
    <row r="734">
      <c r="A734" t="n">
        <v>105053</v>
      </c>
      <c r="B734" s="1" t="n">
        <v>45709</v>
      </c>
      <c r="C734" t="inlineStr">
        <is>
          <t>S01</t>
        </is>
      </c>
      <c r="D734" t="inlineStr">
        <is>
          <t>P202</t>
        </is>
      </c>
      <c r="E734" t="n">
        <v>3</v>
      </c>
      <c r="F734" t="n">
        <v>79</v>
      </c>
      <c r="G734" t="n">
        <v>0</v>
      </c>
      <c r="H734">
        <f>E734*F734*(1-G734)</f>
        <v/>
      </c>
      <c r="I734">
        <f>XLOOKUP(D734,Products!$A$2:$A$15,Products!$B$2:$B$15,"Not found")</f>
        <v/>
      </c>
    </row>
    <row r="735">
      <c r="A735" t="n">
        <v>105054</v>
      </c>
      <c r="B735" s="1" t="n">
        <v>45709</v>
      </c>
      <c r="C735" t="inlineStr">
        <is>
          <t>S02</t>
        </is>
      </c>
      <c r="D735" t="inlineStr">
        <is>
          <t>P403</t>
        </is>
      </c>
      <c r="E735" t="n">
        <v>3</v>
      </c>
      <c r="F735" t="n">
        <v>89</v>
      </c>
      <c r="G735" t="n">
        <v>0</v>
      </c>
      <c r="H735">
        <f>E735*F735*(1-G735)</f>
        <v/>
      </c>
      <c r="I735">
        <f>XLOOKUP(D735,Products!$A$2:$A$15,Products!$B$2:$B$15,"Not found")</f>
        <v/>
      </c>
    </row>
    <row r="736">
      <c r="A736" t="n">
        <v>105055</v>
      </c>
      <c r="B736" s="1" t="n">
        <v>45709</v>
      </c>
      <c r="C736" t="inlineStr">
        <is>
          <t>S02</t>
        </is>
      </c>
      <c r="D736" t="inlineStr">
        <is>
          <t>P202</t>
        </is>
      </c>
      <c r="E736" t="n">
        <v>1</v>
      </c>
      <c r="F736" t="n">
        <v>79</v>
      </c>
      <c r="G736" t="n">
        <v>0</v>
      </c>
      <c r="H736">
        <f>E736*F736*(1-G736)</f>
        <v/>
      </c>
      <c r="I736">
        <f>XLOOKUP(D736,Products!$A$2:$A$15,Products!$B$2:$B$15,"Not found")</f>
        <v/>
      </c>
    </row>
    <row r="737">
      <c r="A737" t="n">
        <v>105056</v>
      </c>
      <c r="B737" s="1" t="n">
        <v>45709</v>
      </c>
      <c r="C737" t="inlineStr">
        <is>
          <t>S03</t>
        </is>
      </c>
      <c r="D737" t="inlineStr">
        <is>
          <t>P401</t>
        </is>
      </c>
      <c r="E737" t="n">
        <v>1</v>
      </c>
      <c r="F737" t="n">
        <v>549</v>
      </c>
      <c r="G737" t="n">
        <v>0</v>
      </c>
      <c r="H737">
        <f>E737*F737*(1-G737)</f>
        <v/>
      </c>
      <c r="I737">
        <f>XLOOKUP(D737,Products!$A$2:$A$15,Products!$B$2:$B$15,"Not found")</f>
        <v/>
      </c>
    </row>
    <row r="738">
      <c r="A738" t="n">
        <v>105057</v>
      </c>
      <c r="B738" s="1" t="n">
        <v>45709</v>
      </c>
      <c r="C738" t="inlineStr">
        <is>
          <t>S03</t>
        </is>
      </c>
      <c r="D738" t="inlineStr">
        <is>
          <t>P401</t>
        </is>
      </c>
      <c r="E738" t="n">
        <v>1</v>
      </c>
      <c r="F738" t="n">
        <v>549</v>
      </c>
      <c r="G738" t="n">
        <v>0.1</v>
      </c>
      <c r="H738">
        <f>E738*F738*(1-G738)</f>
        <v/>
      </c>
      <c r="I738">
        <f>XLOOKUP(D738,Products!$A$2:$A$15,Products!$B$2:$B$15,"Not found")</f>
        <v/>
      </c>
    </row>
    <row r="739">
      <c r="A739" t="n">
        <v>105058</v>
      </c>
      <c r="B739" s="1" t="n">
        <v>45709</v>
      </c>
      <c r="C739" t="inlineStr">
        <is>
          <t>S03</t>
        </is>
      </c>
      <c r="D739" t="inlineStr">
        <is>
          <t>P203</t>
        </is>
      </c>
      <c r="E739" t="n">
        <v>1</v>
      </c>
      <c r="F739" t="n">
        <v>19.5</v>
      </c>
      <c r="G739" t="n">
        <v>0.1</v>
      </c>
      <c r="H739">
        <f>E739*F739*(1-G739)</f>
        <v/>
      </c>
      <c r="I739">
        <f>XLOOKUP(D739,Products!$A$2:$A$15,Products!$B$2:$B$15,"Not found")</f>
        <v/>
      </c>
    </row>
    <row r="740">
      <c r="A740" t="n">
        <v>105059</v>
      </c>
      <c r="B740" s="1" t="n">
        <v>45709</v>
      </c>
      <c r="C740" t="inlineStr">
        <is>
          <t>S04</t>
        </is>
      </c>
      <c r="D740" t="inlineStr">
        <is>
          <t>P102</t>
        </is>
      </c>
      <c r="E740" t="n">
        <v>1</v>
      </c>
      <c r="F740" t="n">
        <v>14.5</v>
      </c>
      <c r="G740" t="n">
        <v>0.1</v>
      </c>
      <c r="H740">
        <f>E740*F740*(1-G740)</f>
        <v/>
      </c>
      <c r="I740">
        <f>XLOOKUP(D740,Products!$A$2:$A$15,Products!$B$2:$B$15,"Not found")</f>
        <v/>
      </c>
    </row>
    <row r="741">
      <c r="A741" t="n">
        <v>105060</v>
      </c>
      <c r="B741" s="1" t="n">
        <v>45709</v>
      </c>
      <c r="C741" t="inlineStr">
        <is>
          <t>S06</t>
        </is>
      </c>
      <c r="D741" t="inlineStr">
        <is>
          <t>P301</t>
        </is>
      </c>
      <c r="E741" t="n">
        <v>1</v>
      </c>
      <c r="F741" t="n">
        <v>119</v>
      </c>
      <c r="G741" t="n">
        <v>0</v>
      </c>
      <c r="H741">
        <f>E741*F741*(1-G741)</f>
        <v/>
      </c>
      <c r="I741">
        <f>XLOOKUP(D741,Products!$A$2:$A$15,Products!$B$2:$B$15,"Not found")</f>
        <v/>
      </c>
    </row>
    <row r="742">
      <c r="A742" t="n">
        <v>105061</v>
      </c>
      <c r="B742" s="1" t="n">
        <v>45710</v>
      </c>
      <c r="C742" t="inlineStr">
        <is>
          <t>S01</t>
        </is>
      </c>
      <c r="D742" t="inlineStr">
        <is>
          <t>P303</t>
        </is>
      </c>
      <c r="E742" t="n">
        <v>3</v>
      </c>
      <c r="F742" t="n">
        <v>12</v>
      </c>
      <c r="G742" t="n">
        <v>0</v>
      </c>
      <c r="H742">
        <f>E742*F742*(1-G742)</f>
        <v/>
      </c>
      <c r="I742">
        <f>XLOOKUP(D742,Products!$A$2:$A$15,Products!$B$2:$B$15,"Not found")</f>
        <v/>
      </c>
    </row>
    <row r="743">
      <c r="A743" t="n">
        <v>105062</v>
      </c>
      <c r="B743" s="1" t="n">
        <v>45710</v>
      </c>
      <c r="C743" t="inlineStr">
        <is>
          <t>S01</t>
        </is>
      </c>
      <c r="D743" t="inlineStr">
        <is>
          <t>P302</t>
        </is>
      </c>
      <c r="E743" t="n">
        <v>2</v>
      </c>
      <c r="F743" t="n">
        <v>24</v>
      </c>
      <c r="G743" t="n">
        <v>0.2</v>
      </c>
      <c r="H743">
        <f>E743*F743*(1-G743)</f>
        <v/>
      </c>
      <c r="I743">
        <f>XLOOKUP(D743,Products!$A$2:$A$15,Products!$B$2:$B$15,"Not found")</f>
        <v/>
      </c>
    </row>
    <row r="744">
      <c r="A744" t="n">
        <v>105063</v>
      </c>
      <c r="B744" s="1" t="n">
        <v>45710</v>
      </c>
      <c r="C744" t="inlineStr">
        <is>
          <t>S01</t>
        </is>
      </c>
      <c r="D744" t="inlineStr">
        <is>
          <t>P103</t>
        </is>
      </c>
      <c r="E744" t="n">
        <v>1</v>
      </c>
      <c r="F744" t="n">
        <v>29</v>
      </c>
      <c r="G744" t="n">
        <v>0</v>
      </c>
      <c r="H744">
        <f>E744*F744*(1-G744)</f>
        <v/>
      </c>
      <c r="I744">
        <f>XLOOKUP(D744,Products!$A$2:$A$15,Products!$B$2:$B$15,"Not found")</f>
        <v/>
      </c>
    </row>
    <row r="745">
      <c r="A745" t="n">
        <v>105064</v>
      </c>
      <c r="B745" s="1" t="n">
        <v>45710</v>
      </c>
      <c r="C745" t="inlineStr">
        <is>
          <t>S02</t>
        </is>
      </c>
      <c r="D745" t="inlineStr">
        <is>
          <t>P203</t>
        </is>
      </c>
      <c r="E745" t="n">
        <v>1</v>
      </c>
      <c r="F745" t="n">
        <v>19.5</v>
      </c>
      <c r="G745" t="n">
        <v>0</v>
      </c>
      <c r="H745">
        <f>E745*F745*(1-G745)</f>
        <v/>
      </c>
      <c r="I745">
        <f>XLOOKUP(D745,Products!$A$2:$A$15,Products!$B$2:$B$15,"Not found")</f>
        <v/>
      </c>
    </row>
    <row r="746">
      <c r="A746" t="n">
        <v>105065</v>
      </c>
      <c r="B746" s="1" t="n">
        <v>45710</v>
      </c>
      <c r="C746" t="inlineStr">
        <is>
          <t>S02</t>
        </is>
      </c>
      <c r="D746" t="inlineStr">
        <is>
          <t>P203</t>
        </is>
      </c>
      <c r="E746" t="n">
        <v>1</v>
      </c>
      <c r="F746" t="n">
        <v>19.5</v>
      </c>
      <c r="G746" t="n">
        <v>0</v>
      </c>
      <c r="H746">
        <f>E746*F746*(1-G746)</f>
        <v/>
      </c>
      <c r="I746">
        <f>XLOOKUP(D746,Products!$A$2:$A$15,Products!$B$2:$B$15,"Not found")</f>
        <v/>
      </c>
    </row>
    <row r="747">
      <c r="A747" t="n">
        <v>105066</v>
      </c>
      <c r="B747" s="1" t="n">
        <v>45710</v>
      </c>
      <c r="C747" t="inlineStr">
        <is>
          <t>S02</t>
        </is>
      </c>
      <c r="D747" t="inlineStr">
        <is>
          <t>P403</t>
        </is>
      </c>
      <c r="E747" t="n">
        <v>1</v>
      </c>
      <c r="F747" t="n">
        <v>89</v>
      </c>
      <c r="G747" t="n">
        <v>0.15</v>
      </c>
      <c r="H747">
        <f>E747*F747*(1-G747)</f>
        <v/>
      </c>
      <c r="I747">
        <f>XLOOKUP(D747,Products!$A$2:$A$15,Products!$B$2:$B$15,"Not found")</f>
        <v/>
      </c>
    </row>
    <row r="748">
      <c r="A748" t="n">
        <v>105067</v>
      </c>
      <c r="B748" s="1" t="n">
        <v>45710</v>
      </c>
      <c r="C748" t="inlineStr">
        <is>
          <t>S02</t>
        </is>
      </c>
      <c r="D748" t="inlineStr">
        <is>
          <t>P102</t>
        </is>
      </c>
      <c r="E748" t="n">
        <v>1</v>
      </c>
      <c r="F748" t="n">
        <v>14.5</v>
      </c>
      <c r="G748" t="n">
        <v>0</v>
      </c>
      <c r="H748">
        <f>E748*F748*(1-G748)</f>
        <v/>
      </c>
      <c r="I748">
        <f>XLOOKUP(D748,Products!$A$2:$A$15,Products!$B$2:$B$15,"Not found")</f>
        <v/>
      </c>
    </row>
    <row r="749">
      <c r="A749" t="n">
        <v>105068</v>
      </c>
      <c r="B749" s="1" t="n">
        <v>45710</v>
      </c>
      <c r="C749" t="inlineStr">
        <is>
          <t>S02</t>
        </is>
      </c>
      <c r="D749" t="inlineStr">
        <is>
          <t>P301</t>
        </is>
      </c>
      <c r="E749" t="n">
        <v>1</v>
      </c>
      <c r="F749" t="n">
        <v>119</v>
      </c>
      <c r="G749" t="n">
        <v>0</v>
      </c>
      <c r="H749">
        <f>E749*F749*(1-G749)</f>
        <v/>
      </c>
      <c r="I749">
        <f>XLOOKUP(D749,Products!$A$2:$A$15,Products!$B$2:$B$15,"Not found")</f>
        <v/>
      </c>
    </row>
    <row r="750">
      <c r="A750" t="n">
        <v>105069</v>
      </c>
      <c r="B750" s="1" t="n">
        <v>45710</v>
      </c>
      <c r="C750" t="inlineStr">
        <is>
          <t>S03</t>
        </is>
      </c>
      <c r="D750" t="inlineStr">
        <is>
          <t>P301</t>
        </is>
      </c>
      <c r="E750" t="n">
        <v>1</v>
      </c>
      <c r="F750" t="n">
        <v>119</v>
      </c>
      <c r="G750" t="n">
        <v>0.15</v>
      </c>
      <c r="H750">
        <f>E750*F750*(1-G750)</f>
        <v/>
      </c>
      <c r="I750">
        <f>XLOOKUP(D750,Products!$A$2:$A$15,Products!$B$2:$B$15,"Not found")</f>
        <v/>
      </c>
    </row>
    <row r="751">
      <c r="A751" t="n">
        <v>105070</v>
      </c>
      <c r="B751" s="1" t="n">
        <v>45710</v>
      </c>
      <c r="C751" t="inlineStr">
        <is>
          <t>S03</t>
        </is>
      </c>
      <c r="D751" t="inlineStr">
        <is>
          <t>P302</t>
        </is>
      </c>
      <c r="E751" t="n">
        <v>1</v>
      </c>
      <c r="F751" t="n">
        <v>24</v>
      </c>
      <c r="G751" t="n">
        <v>0</v>
      </c>
      <c r="H751">
        <f>E751*F751*(1-G751)</f>
        <v/>
      </c>
      <c r="I751">
        <f>XLOOKUP(D751,Products!$A$2:$A$15,Products!$B$2:$B$15,"Not found")</f>
        <v/>
      </c>
    </row>
    <row r="752">
      <c r="A752" t="n">
        <v>105071</v>
      </c>
      <c r="B752" s="1" t="n">
        <v>45710</v>
      </c>
      <c r="C752" t="inlineStr">
        <is>
          <t>S04</t>
        </is>
      </c>
      <c r="D752" t="inlineStr">
        <is>
          <t>P202</t>
        </is>
      </c>
      <c r="E752" t="n">
        <v>2</v>
      </c>
      <c r="F752" t="n">
        <v>79</v>
      </c>
      <c r="G752" t="n">
        <v>0</v>
      </c>
      <c r="H752">
        <f>E752*F752*(1-G752)</f>
        <v/>
      </c>
      <c r="I752">
        <f>XLOOKUP(D752,Products!$A$2:$A$15,Products!$B$2:$B$15,"Not found")</f>
        <v/>
      </c>
    </row>
    <row r="753">
      <c r="A753" t="n">
        <v>105072</v>
      </c>
      <c r="B753" s="1" t="n">
        <v>45710</v>
      </c>
      <c r="C753" t="inlineStr">
        <is>
          <t>S05</t>
        </is>
      </c>
      <c r="D753" t="inlineStr">
        <is>
          <t>P103</t>
        </is>
      </c>
      <c r="E753" t="n">
        <v>2</v>
      </c>
      <c r="F753" t="n">
        <v>29</v>
      </c>
      <c r="G753" t="n">
        <v>0</v>
      </c>
      <c r="H753">
        <f>E753*F753*(1-G753)</f>
        <v/>
      </c>
      <c r="I753">
        <f>XLOOKUP(D753,Products!$A$2:$A$15,Products!$B$2:$B$15,"Not found")</f>
        <v/>
      </c>
    </row>
    <row r="754">
      <c r="A754" t="n">
        <v>105073</v>
      </c>
      <c r="B754" s="1" t="n">
        <v>45710</v>
      </c>
      <c r="C754" t="inlineStr">
        <is>
          <t>S06</t>
        </is>
      </c>
      <c r="D754" t="inlineStr">
        <is>
          <t>P302</t>
        </is>
      </c>
      <c r="E754" t="n">
        <v>1</v>
      </c>
      <c r="F754" t="n">
        <v>24</v>
      </c>
      <c r="G754" t="n">
        <v>0</v>
      </c>
      <c r="H754">
        <f>E754*F754*(1-G754)</f>
        <v/>
      </c>
      <c r="I754">
        <f>XLOOKUP(D754,Products!$A$2:$A$15,Products!$B$2:$B$15,"Not found")</f>
        <v/>
      </c>
    </row>
    <row r="755">
      <c r="A755" t="n">
        <v>105074</v>
      </c>
      <c r="B755" s="1" t="n">
        <v>45711</v>
      </c>
      <c r="C755" t="inlineStr">
        <is>
          <t>S01</t>
        </is>
      </c>
      <c r="D755" t="inlineStr">
        <is>
          <t>P203</t>
        </is>
      </c>
      <c r="E755" t="n">
        <v>2</v>
      </c>
      <c r="F755" t="n">
        <v>19.5</v>
      </c>
      <c r="G755" t="n">
        <v>0.15</v>
      </c>
      <c r="H755">
        <f>E755*F755*(1-G755)</f>
        <v/>
      </c>
      <c r="I755">
        <f>XLOOKUP(D755,Products!$A$2:$A$15,Products!$B$2:$B$15,"Not found")</f>
        <v/>
      </c>
    </row>
    <row r="756">
      <c r="A756" t="n">
        <v>105075</v>
      </c>
      <c r="B756" s="1" t="n">
        <v>45711</v>
      </c>
      <c r="C756" t="inlineStr">
        <is>
          <t>S01</t>
        </is>
      </c>
      <c r="D756" t="inlineStr">
        <is>
          <t>P301</t>
        </is>
      </c>
      <c r="E756" t="n">
        <v>1</v>
      </c>
      <c r="F756" t="n">
        <v>119</v>
      </c>
      <c r="G756" t="n">
        <v>0</v>
      </c>
      <c r="H756">
        <f>E756*F756*(1-G756)</f>
        <v/>
      </c>
      <c r="I756">
        <f>XLOOKUP(D756,Products!$A$2:$A$15,Products!$B$2:$B$15,"Not found")</f>
        <v/>
      </c>
    </row>
    <row r="757">
      <c r="A757" t="n">
        <v>105076</v>
      </c>
      <c r="B757" s="1" t="n">
        <v>45711</v>
      </c>
      <c r="C757" t="inlineStr">
        <is>
          <t>S01</t>
        </is>
      </c>
      <c r="D757" t="inlineStr">
        <is>
          <t>P103</t>
        </is>
      </c>
      <c r="E757" t="n">
        <v>1</v>
      </c>
      <c r="F757" t="n">
        <v>29</v>
      </c>
      <c r="G757" t="n">
        <v>0.15</v>
      </c>
      <c r="H757">
        <f>E757*F757*(1-G757)</f>
        <v/>
      </c>
      <c r="I757">
        <f>XLOOKUP(D757,Products!$A$2:$A$15,Products!$B$2:$B$15,"Not found")</f>
        <v/>
      </c>
    </row>
    <row r="758">
      <c r="A758" t="n">
        <v>105077</v>
      </c>
      <c r="B758" s="1" t="n">
        <v>45711</v>
      </c>
      <c r="C758" t="inlineStr">
        <is>
          <t>S02</t>
        </is>
      </c>
      <c r="D758" t="inlineStr">
        <is>
          <t>P101</t>
        </is>
      </c>
      <c r="E758" t="n">
        <v>1</v>
      </c>
      <c r="F758" t="n">
        <v>39</v>
      </c>
      <c r="G758" t="n">
        <v>0.1</v>
      </c>
      <c r="H758">
        <f>E758*F758*(1-G758)</f>
        <v/>
      </c>
      <c r="I758">
        <f>XLOOKUP(D758,Products!$A$2:$A$15,Products!$B$2:$B$15,"Not found")</f>
        <v/>
      </c>
    </row>
    <row r="759">
      <c r="A759" t="n">
        <v>105078</v>
      </c>
      <c r="B759" s="1" t="n">
        <v>45711</v>
      </c>
      <c r="C759" t="inlineStr">
        <is>
          <t>S03</t>
        </is>
      </c>
      <c r="D759" t="inlineStr">
        <is>
          <t>P102</t>
        </is>
      </c>
      <c r="E759" t="n">
        <v>4</v>
      </c>
      <c r="F759" t="n">
        <v>14.5</v>
      </c>
      <c r="G759" t="n">
        <v>0.1</v>
      </c>
      <c r="H759">
        <f>E759*F759*(1-G759)</f>
        <v/>
      </c>
      <c r="I759">
        <f>XLOOKUP(D759,Products!$A$2:$A$15,Products!$B$2:$B$15,"Not found")</f>
        <v/>
      </c>
    </row>
    <row r="760">
      <c r="A760" t="n">
        <v>105079</v>
      </c>
      <c r="B760" s="1" t="n">
        <v>45711</v>
      </c>
      <c r="C760" t="inlineStr">
        <is>
          <t>S03</t>
        </is>
      </c>
      <c r="D760" t="inlineStr">
        <is>
          <t>P101</t>
        </is>
      </c>
      <c r="E760" t="n">
        <v>2</v>
      </c>
      <c r="F760" t="n">
        <v>39</v>
      </c>
      <c r="G760" t="n">
        <v>0</v>
      </c>
      <c r="H760">
        <f>E760*F760*(1-G760)</f>
        <v/>
      </c>
      <c r="I760">
        <f>XLOOKUP(D760,Products!$A$2:$A$15,Products!$B$2:$B$15,"Not found")</f>
        <v/>
      </c>
    </row>
    <row r="761">
      <c r="A761" t="n">
        <v>105080</v>
      </c>
      <c r="B761" s="1" t="n">
        <v>45711</v>
      </c>
      <c r="C761" t="inlineStr">
        <is>
          <t>S03</t>
        </is>
      </c>
      <c r="D761" t="inlineStr">
        <is>
          <t>P102</t>
        </is>
      </c>
      <c r="E761" t="n">
        <v>1</v>
      </c>
      <c r="F761" t="n">
        <v>14.5</v>
      </c>
      <c r="G761" t="n">
        <v>0</v>
      </c>
      <c r="H761">
        <f>E761*F761*(1-G761)</f>
        <v/>
      </c>
      <c r="I761">
        <f>XLOOKUP(D761,Products!$A$2:$A$15,Products!$B$2:$B$15,"Not found")</f>
        <v/>
      </c>
    </row>
    <row r="762">
      <c r="A762" t="n">
        <v>105081</v>
      </c>
      <c r="B762" s="1" t="n">
        <v>45711</v>
      </c>
      <c r="C762" t="inlineStr">
        <is>
          <t>S03</t>
        </is>
      </c>
      <c r="D762" t="inlineStr">
        <is>
          <t>P303</t>
        </is>
      </c>
      <c r="E762" t="n">
        <v>2</v>
      </c>
      <c r="F762" t="n">
        <v>12</v>
      </c>
      <c r="G762" t="n">
        <v>0</v>
      </c>
      <c r="H762">
        <f>E762*F762*(1-G762)</f>
        <v/>
      </c>
      <c r="I762">
        <f>XLOOKUP(D762,Products!$A$2:$A$15,Products!$B$2:$B$15,"Not found")</f>
        <v/>
      </c>
    </row>
    <row r="763">
      <c r="A763" t="n">
        <v>105082</v>
      </c>
      <c r="B763" s="1" t="n">
        <v>45711</v>
      </c>
      <c r="C763" t="inlineStr">
        <is>
          <t>S04</t>
        </is>
      </c>
      <c r="D763" t="inlineStr">
        <is>
          <t>P101</t>
        </is>
      </c>
      <c r="E763" t="n">
        <v>1</v>
      </c>
      <c r="F763" t="n">
        <v>39</v>
      </c>
      <c r="G763" t="n">
        <v>0.15</v>
      </c>
      <c r="H763">
        <f>E763*F763*(1-G763)</f>
        <v/>
      </c>
      <c r="I763">
        <f>XLOOKUP(D763,Products!$A$2:$A$15,Products!$B$2:$B$15,"Not found")</f>
        <v/>
      </c>
    </row>
    <row r="764">
      <c r="A764" t="n">
        <v>105083</v>
      </c>
      <c r="B764" s="1" t="n">
        <v>45711</v>
      </c>
      <c r="C764" t="inlineStr">
        <is>
          <t>S04</t>
        </is>
      </c>
      <c r="D764" t="inlineStr">
        <is>
          <t>P102</t>
        </is>
      </c>
      <c r="E764" t="n">
        <v>1</v>
      </c>
      <c r="F764" t="n">
        <v>14.5</v>
      </c>
      <c r="G764" t="n">
        <v>0.2</v>
      </c>
      <c r="H764">
        <f>E764*F764*(1-G764)</f>
        <v/>
      </c>
      <c r="I764">
        <f>XLOOKUP(D764,Products!$A$2:$A$15,Products!$B$2:$B$15,"Not found")</f>
        <v/>
      </c>
    </row>
    <row r="765">
      <c r="A765" t="n">
        <v>105084</v>
      </c>
      <c r="B765" s="1" t="n">
        <v>45711</v>
      </c>
      <c r="C765" t="inlineStr">
        <is>
          <t>S04</t>
        </is>
      </c>
      <c r="D765" t="inlineStr">
        <is>
          <t>P102</t>
        </is>
      </c>
      <c r="E765" t="n">
        <v>1</v>
      </c>
      <c r="F765" t="n">
        <v>14.5</v>
      </c>
      <c r="G765" t="n">
        <v>0.2</v>
      </c>
      <c r="H765">
        <f>E765*F765*(1-G765)</f>
        <v/>
      </c>
      <c r="I765">
        <f>XLOOKUP(D765,Products!$A$2:$A$15,Products!$B$2:$B$15,"Not found")</f>
        <v/>
      </c>
    </row>
    <row r="766">
      <c r="A766" t="n">
        <v>105085</v>
      </c>
      <c r="B766" s="1" t="n">
        <v>45711</v>
      </c>
      <c r="C766" t="inlineStr">
        <is>
          <t>S05</t>
        </is>
      </c>
      <c r="D766" t="inlineStr">
        <is>
          <t>P103</t>
        </is>
      </c>
      <c r="E766" t="n">
        <v>2</v>
      </c>
      <c r="F766" t="n">
        <v>29</v>
      </c>
      <c r="G766" t="n">
        <v>0</v>
      </c>
      <c r="H766">
        <f>E766*F766*(1-G766)</f>
        <v/>
      </c>
      <c r="I766">
        <f>XLOOKUP(D766,Products!$A$2:$A$15,Products!$B$2:$B$15,"Not found")</f>
        <v/>
      </c>
    </row>
    <row r="767">
      <c r="A767" t="n">
        <v>105086</v>
      </c>
      <c r="B767" s="1" t="n">
        <v>45712</v>
      </c>
      <c r="C767" t="inlineStr">
        <is>
          <t>S01</t>
        </is>
      </c>
      <c r="D767" t="inlineStr">
        <is>
          <t>P203</t>
        </is>
      </c>
      <c r="E767" t="n">
        <v>2</v>
      </c>
      <c r="F767" t="n">
        <v>19.5</v>
      </c>
      <c r="G767" t="n">
        <v>0.2</v>
      </c>
      <c r="H767">
        <f>E767*F767*(1-G767)</f>
        <v/>
      </c>
      <c r="I767">
        <f>XLOOKUP(D767,Products!$A$2:$A$15,Products!$B$2:$B$15,"Not found")</f>
        <v/>
      </c>
    </row>
    <row r="768">
      <c r="A768" t="n">
        <v>105087</v>
      </c>
      <c r="B768" s="1" t="n">
        <v>45712</v>
      </c>
      <c r="C768" t="inlineStr">
        <is>
          <t>S01</t>
        </is>
      </c>
      <c r="D768" t="inlineStr">
        <is>
          <t>P302</t>
        </is>
      </c>
      <c r="E768" t="n">
        <v>1</v>
      </c>
      <c r="F768" t="n">
        <v>24</v>
      </c>
      <c r="G768" t="n">
        <v>0</v>
      </c>
      <c r="H768">
        <f>E768*F768*(1-G768)</f>
        <v/>
      </c>
      <c r="I768">
        <f>XLOOKUP(D768,Products!$A$2:$A$15,Products!$B$2:$B$15,"Not found")</f>
        <v/>
      </c>
    </row>
    <row r="769">
      <c r="A769" t="n">
        <v>105088</v>
      </c>
      <c r="B769" s="1" t="n">
        <v>45712</v>
      </c>
      <c r="C769" t="inlineStr">
        <is>
          <t>S01</t>
        </is>
      </c>
      <c r="D769" t="inlineStr">
        <is>
          <t>P303</t>
        </is>
      </c>
      <c r="E769" t="n">
        <v>3</v>
      </c>
      <c r="F769" t="n">
        <v>12</v>
      </c>
      <c r="G769" t="n">
        <v>0.15</v>
      </c>
      <c r="H769">
        <f>E769*F769*(1-G769)</f>
        <v/>
      </c>
      <c r="I769">
        <f>XLOOKUP(D769,Products!$A$2:$A$15,Products!$B$2:$B$15,"Not found")</f>
        <v/>
      </c>
    </row>
    <row r="770">
      <c r="A770" t="n">
        <v>105089</v>
      </c>
      <c r="B770" s="1" t="n">
        <v>45712</v>
      </c>
      <c r="C770" t="inlineStr">
        <is>
          <t>S01</t>
        </is>
      </c>
      <c r="D770" t="inlineStr">
        <is>
          <t>P203</t>
        </is>
      </c>
      <c r="E770" t="n">
        <v>4</v>
      </c>
      <c r="F770" t="n">
        <v>19.5</v>
      </c>
      <c r="G770" t="n">
        <v>0</v>
      </c>
      <c r="H770">
        <f>E770*F770*(1-G770)</f>
        <v/>
      </c>
      <c r="I770">
        <f>XLOOKUP(D770,Products!$A$2:$A$15,Products!$B$2:$B$15,"Not found")</f>
        <v/>
      </c>
    </row>
    <row r="771">
      <c r="A771" t="n">
        <v>105090</v>
      </c>
      <c r="B771" s="1" t="n">
        <v>45712</v>
      </c>
      <c r="C771" t="inlineStr">
        <is>
          <t>S01</t>
        </is>
      </c>
      <c r="D771" t="inlineStr">
        <is>
          <t>P202</t>
        </is>
      </c>
      <c r="E771" t="n">
        <v>1</v>
      </c>
      <c r="F771" t="n">
        <v>79</v>
      </c>
      <c r="G771" t="n">
        <v>0.2</v>
      </c>
      <c r="H771">
        <f>E771*F771*(1-G771)</f>
        <v/>
      </c>
      <c r="I771">
        <f>XLOOKUP(D771,Products!$A$2:$A$15,Products!$B$2:$B$15,"Not found")</f>
        <v/>
      </c>
    </row>
    <row r="772">
      <c r="A772" t="n">
        <v>105091</v>
      </c>
      <c r="B772" s="1" t="n">
        <v>45712</v>
      </c>
      <c r="C772" t="inlineStr">
        <is>
          <t>S02</t>
        </is>
      </c>
      <c r="D772" t="inlineStr">
        <is>
          <t>P102</t>
        </is>
      </c>
      <c r="E772" t="n">
        <v>4</v>
      </c>
      <c r="F772" t="n">
        <v>14.5</v>
      </c>
      <c r="G772" t="n">
        <v>0.1</v>
      </c>
      <c r="H772">
        <f>E772*F772*(1-G772)</f>
        <v/>
      </c>
      <c r="I772">
        <f>XLOOKUP(D772,Products!$A$2:$A$15,Products!$B$2:$B$15,"Not found")</f>
        <v/>
      </c>
    </row>
    <row r="773">
      <c r="A773" t="n">
        <v>105092</v>
      </c>
      <c r="B773" s="1" t="n">
        <v>45712</v>
      </c>
      <c r="C773" t="inlineStr">
        <is>
          <t>S02</t>
        </is>
      </c>
      <c r="D773" t="inlineStr">
        <is>
          <t>P203</t>
        </is>
      </c>
      <c r="E773" t="n">
        <v>1</v>
      </c>
      <c r="F773" t="n">
        <v>19.5</v>
      </c>
      <c r="G773" t="n">
        <v>0</v>
      </c>
      <c r="H773">
        <f>E773*F773*(1-G773)</f>
        <v/>
      </c>
      <c r="I773">
        <f>XLOOKUP(D773,Products!$A$2:$A$15,Products!$B$2:$B$15,"Not found")</f>
        <v/>
      </c>
    </row>
    <row r="774">
      <c r="A774" t="n">
        <v>105093</v>
      </c>
      <c r="B774" s="1" t="n">
        <v>45712</v>
      </c>
      <c r="C774" t="inlineStr">
        <is>
          <t>S02</t>
        </is>
      </c>
      <c r="D774" t="inlineStr">
        <is>
          <t>P102</t>
        </is>
      </c>
      <c r="E774" t="n">
        <v>1</v>
      </c>
      <c r="F774" t="n">
        <v>14.5</v>
      </c>
      <c r="G774" t="n">
        <v>0.1</v>
      </c>
      <c r="H774">
        <f>E774*F774*(1-G774)</f>
        <v/>
      </c>
      <c r="I774">
        <f>XLOOKUP(D774,Products!$A$2:$A$15,Products!$B$2:$B$15,"Not found")</f>
        <v/>
      </c>
    </row>
    <row r="775">
      <c r="A775" t="n">
        <v>105094</v>
      </c>
      <c r="B775" s="1" t="n">
        <v>45712</v>
      </c>
      <c r="C775" t="inlineStr">
        <is>
          <t>S03</t>
        </is>
      </c>
      <c r="D775" t="inlineStr">
        <is>
          <t>P201</t>
        </is>
      </c>
      <c r="E775" t="n">
        <v>1</v>
      </c>
      <c r="F775" t="n">
        <v>149</v>
      </c>
      <c r="G775" t="n">
        <v>0</v>
      </c>
      <c r="H775">
        <f>E775*F775*(1-G775)</f>
        <v/>
      </c>
      <c r="I775">
        <f>XLOOKUP(D775,Products!$A$2:$A$15,Products!$B$2:$B$15,"Not found")</f>
        <v/>
      </c>
    </row>
    <row r="776">
      <c r="A776" t="n">
        <v>105095</v>
      </c>
      <c r="B776" s="1" t="n">
        <v>45712</v>
      </c>
      <c r="C776" t="inlineStr">
        <is>
          <t>S03</t>
        </is>
      </c>
      <c r="D776" t="inlineStr">
        <is>
          <t>P102</t>
        </is>
      </c>
      <c r="E776" t="n">
        <v>4</v>
      </c>
      <c r="F776" t="n">
        <v>14.5</v>
      </c>
      <c r="G776" t="n">
        <v>0</v>
      </c>
      <c r="H776">
        <f>E776*F776*(1-G776)</f>
        <v/>
      </c>
      <c r="I776">
        <f>XLOOKUP(D776,Products!$A$2:$A$15,Products!$B$2:$B$15,"Not found")</f>
        <v/>
      </c>
    </row>
    <row r="777">
      <c r="A777" t="n">
        <v>105096</v>
      </c>
      <c r="B777" s="1" t="n">
        <v>45712</v>
      </c>
      <c r="C777" t="inlineStr">
        <is>
          <t>S03</t>
        </is>
      </c>
      <c r="D777" t="inlineStr">
        <is>
          <t>P302</t>
        </is>
      </c>
      <c r="E777" t="n">
        <v>1</v>
      </c>
      <c r="F777" t="n">
        <v>24</v>
      </c>
      <c r="G777" t="n">
        <v>0</v>
      </c>
      <c r="H777">
        <f>E777*F777*(1-G777)</f>
        <v/>
      </c>
      <c r="I777">
        <f>XLOOKUP(D777,Products!$A$2:$A$15,Products!$B$2:$B$15,"Not found")</f>
        <v/>
      </c>
    </row>
    <row r="778">
      <c r="A778" t="n">
        <v>105097</v>
      </c>
      <c r="B778" s="1" t="n">
        <v>45712</v>
      </c>
      <c r="C778" t="inlineStr">
        <is>
          <t>S04</t>
        </is>
      </c>
      <c r="D778" t="inlineStr">
        <is>
          <t>P103</t>
        </is>
      </c>
      <c r="E778" t="n">
        <v>1</v>
      </c>
      <c r="F778" t="n">
        <v>29</v>
      </c>
      <c r="G778" t="n">
        <v>0</v>
      </c>
      <c r="H778">
        <f>E778*F778*(1-G778)</f>
        <v/>
      </c>
      <c r="I778">
        <f>XLOOKUP(D778,Products!$A$2:$A$15,Products!$B$2:$B$15,"Not found")</f>
        <v/>
      </c>
    </row>
    <row r="779">
      <c r="A779" t="n">
        <v>105098</v>
      </c>
      <c r="B779" s="1" t="n">
        <v>45712</v>
      </c>
      <c r="C779" t="inlineStr">
        <is>
          <t>S05</t>
        </is>
      </c>
      <c r="D779" t="inlineStr">
        <is>
          <t>P302</t>
        </is>
      </c>
      <c r="E779" t="n">
        <v>1</v>
      </c>
      <c r="F779" t="n">
        <v>24</v>
      </c>
      <c r="G779" t="n">
        <v>0</v>
      </c>
      <c r="H779">
        <f>E779*F779*(1-G779)</f>
        <v/>
      </c>
      <c r="I779">
        <f>XLOOKUP(D779,Products!$A$2:$A$15,Products!$B$2:$B$15,"Not found")</f>
        <v/>
      </c>
    </row>
    <row r="780">
      <c r="A780" t="n">
        <v>105099</v>
      </c>
      <c r="B780" s="1" t="n">
        <v>45712</v>
      </c>
      <c r="C780" t="inlineStr">
        <is>
          <t>S06</t>
        </is>
      </c>
      <c r="D780" t="inlineStr">
        <is>
          <t>P201</t>
        </is>
      </c>
      <c r="E780" t="n">
        <v>1</v>
      </c>
      <c r="F780" t="n">
        <v>149</v>
      </c>
      <c r="G780" t="n">
        <v>0.2</v>
      </c>
      <c r="H780">
        <f>E780*F780*(1-G780)</f>
        <v/>
      </c>
      <c r="I780">
        <f>XLOOKUP(D780,Products!$A$2:$A$15,Products!$B$2:$B$15,"Not found")</f>
        <v/>
      </c>
    </row>
    <row r="781">
      <c r="A781" t="n">
        <v>105100</v>
      </c>
      <c r="B781" s="1" t="n">
        <v>45712</v>
      </c>
      <c r="C781" t="inlineStr">
        <is>
          <t>S06</t>
        </is>
      </c>
      <c r="D781" t="inlineStr">
        <is>
          <t>P102</t>
        </is>
      </c>
      <c r="E781" t="n">
        <v>3</v>
      </c>
      <c r="F781" t="n">
        <v>14.5</v>
      </c>
      <c r="G781" t="n">
        <v>0.2</v>
      </c>
      <c r="H781">
        <f>E781*F781*(1-G781)</f>
        <v/>
      </c>
      <c r="I781">
        <f>XLOOKUP(D781,Products!$A$2:$A$15,Products!$B$2:$B$15,"Not found")</f>
        <v/>
      </c>
    </row>
    <row r="782">
      <c r="A782" t="n">
        <v>105101</v>
      </c>
      <c r="B782" s="1" t="n">
        <v>45713</v>
      </c>
      <c r="C782" t="inlineStr">
        <is>
          <t>S01</t>
        </is>
      </c>
      <c r="D782" t="inlineStr">
        <is>
          <t>P302</t>
        </is>
      </c>
      <c r="E782" t="n">
        <v>3</v>
      </c>
      <c r="F782" t="n">
        <v>24</v>
      </c>
      <c r="G782" t="n">
        <v>0.15</v>
      </c>
      <c r="H782">
        <f>E782*F782*(1-G782)</f>
        <v/>
      </c>
      <c r="I782">
        <f>XLOOKUP(D782,Products!$A$2:$A$15,Products!$B$2:$B$15,"Not found")</f>
        <v/>
      </c>
    </row>
    <row r="783">
      <c r="A783" t="n">
        <v>105102</v>
      </c>
      <c r="B783" s="1" t="n">
        <v>45713</v>
      </c>
      <c r="C783" t="inlineStr">
        <is>
          <t>S01</t>
        </is>
      </c>
      <c r="D783" t="inlineStr">
        <is>
          <t>P101</t>
        </is>
      </c>
      <c r="E783" t="n">
        <v>4</v>
      </c>
      <c r="F783" t="n">
        <v>39</v>
      </c>
      <c r="G783" t="n">
        <v>0.2</v>
      </c>
      <c r="H783">
        <f>E783*F783*(1-G783)</f>
        <v/>
      </c>
      <c r="I783">
        <f>XLOOKUP(D783,Products!$A$2:$A$15,Products!$B$2:$B$15,"Not found")</f>
        <v/>
      </c>
    </row>
    <row r="784">
      <c r="A784" t="n">
        <v>105103</v>
      </c>
      <c r="B784" s="1" t="n">
        <v>45713</v>
      </c>
      <c r="C784" t="inlineStr">
        <is>
          <t>S02</t>
        </is>
      </c>
      <c r="D784" t="inlineStr">
        <is>
          <t>P201</t>
        </is>
      </c>
      <c r="E784" t="n">
        <v>1</v>
      </c>
      <c r="F784" t="n">
        <v>149</v>
      </c>
      <c r="G784" t="n">
        <v>0</v>
      </c>
      <c r="H784">
        <f>E784*F784*(1-G784)</f>
        <v/>
      </c>
      <c r="I784">
        <f>XLOOKUP(D784,Products!$A$2:$A$15,Products!$B$2:$B$15,"Not found")</f>
        <v/>
      </c>
    </row>
    <row r="785">
      <c r="A785" t="n">
        <v>105104</v>
      </c>
      <c r="B785" s="1" t="n">
        <v>45713</v>
      </c>
      <c r="C785" t="inlineStr">
        <is>
          <t>S02</t>
        </is>
      </c>
      <c r="D785" t="inlineStr">
        <is>
          <t>P303</t>
        </is>
      </c>
      <c r="E785" t="n">
        <v>4</v>
      </c>
      <c r="F785" t="n">
        <v>12</v>
      </c>
      <c r="G785" t="n">
        <v>0</v>
      </c>
      <c r="H785">
        <f>E785*F785*(1-G785)</f>
        <v/>
      </c>
      <c r="I785">
        <f>XLOOKUP(D785,Products!$A$2:$A$15,Products!$B$2:$B$15,"Not found")</f>
        <v/>
      </c>
    </row>
    <row r="786">
      <c r="A786" t="n">
        <v>105105</v>
      </c>
      <c r="B786" s="1" t="n">
        <v>45713</v>
      </c>
      <c r="C786" t="inlineStr">
        <is>
          <t>S03</t>
        </is>
      </c>
      <c r="D786" t="inlineStr">
        <is>
          <t>P303</t>
        </is>
      </c>
      <c r="E786" t="n">
        <v>3</v>
      </c>
      <c r="F786" t="n">
        <v>12</v>
      </c>
      <c r="G786" t="n">
        <v>0</v>
      </c>
      <c r="H786">
        <f>E786*F786*(1-G786)</f>
        <v/>
      </c>
      <c r="I786">
        <f>XLOOKUP(D786,Products!$A$2:$A$15,Products!$B$2:$B$15,"Not found")</f>
        <v/>
      </c>
    </row>
    <row r="787">
      <c r="A787" t="n">
        <v>105106</v>
      </c>
      <c r="B787" s="1" t="n">
        <v>45713</v>
      </c>
      <c r="C787" t="inlineStr">
        <is>
          <t>S03</t>
        </is>
      </c>
      <c r="D787" t="inlineStr">
        <is>
          <t>P102</t>
        </is>
      </c>
      <c r="E787" t="n">
        <v>1</v>
      </c>
      <c r="F787" t="n">
        <v>14.5</v>
      </c>
      <c r="G787" t="n">
        <v>0</v>
      </c>
      <c r="H787">
        <f>E787*F787*(1-G787)</f>
        <v/>
      </c>
      <c r="I787">
        <f>XLOOKUP(D787,Products!$A$2:$A$15,Products!$B$2:$B$15,"Not found")</f>
        <v/>
      </c>
    </row>
    <row r="788">
      <c r="A788" t="n">
        <v>105107</v>
      </c>
      <c r="B788" s="1" t="n">
        <v>45713</v>
      </c>
      <c r="C788" t="inlineStr">
        <is>
          <t>S03</t>
        </is>
      </c>
      <c r="D788" t="inlineStr">
        <is>
          <t>P302</t>
        </is>
      </c>
      <c r="E788" t="n">
        <v>1</v>
      </c>
      <c r="F788" t="n">
        <v>24</v>
      </c>
      <c r="G788" t="n">
        <v>0.1</v>
      </c>
      <c r="H788">
        <f>E788*F788*(1-G788)</f>
        <v/>
      </c>
      <c r="I788">
        <f>XLOOKUP(D788,Products!$A$2:$A$15,Products!$B$2:$B$15,"Not found")</f>
        <v/>
      </c>
    </row>
    <row r="789">
      <c r="A789" t="n">
        <v>105108</v>
      </c>
      <c r="B789" s="1" t="n">
        <v>45713</v>
      </c>
      <c r="C789" t="inlineStr">
        <is>
          <t>S04</t>
        </is>
      </c>
      <c r="D789" t="inlineStr">
        <is>
          <t>P203</t>
        </is>
      </c>
      <c r="E789" t="n">
        <v>4</v>
      </c>
      <c r="F789" t="n">
        <v>19.5</v>
      </c>
      <c r="G789" t="n">
        <v>0</v>
      </c>
      <c r="H789">
        <f>E789*F789*(1-G789)</f>
        <v/>
      </c>
      <c r="I789">
        <f>XLOOKUP(D789,Products!$A$2:$A$15,Products!$B$2:$B$15,"Not found")</f>
        <v/>
      </c>
    </row>
    <row r="790">
      <c r="A790" t="n">
        <v>105109</v>
      </c>
      <c r="B790" s="1" t="n">
        <v>45714</v>
      </c>
      <c r="C790" t="inlineStr">
        <is>
          <t>S01</t>
        </is>
      </c>
      <c r="D790" t="inlineStr">
        <is>
          <t>P103</t>
        </is>
      </c>
      <c r="E790" t="n">
        <v>1</v>
      </c>
      <c r="F790" t="n">
        <v>29</v>
      </c>
      <c r="G790" t="n">
        <v>0.2</v>
      </c>
      <c r="H790">
        <f>E790*F790*(1-G790)</f>
        <v/>
      </c>
      <c r="I790">
        <f>XLOOKUP(D790,Products!$A$2:$A$15,Products!$B$2:$B$15,"Not found")</f>
        <v/>
      </c>
    </row>
    <row r="791">
      <c r="A791" t="n">
        <v>105110</v>
      </c>
      <c r="B791" s="1" t="n">
        <v>45714</v>
      </c>
      <c r="C791" t="inlineStr">
        <is>
          <t>S02</t>
        </is>
      </c>
      <c r="D791" t="inlineStr">
        <is>
          <t>P202</t>
        </is>
      </c>
      <c r="E791" t="n">
        <v>2</v>
      </c>
      <c r="F791" t="n">
        <v>79</v>
      </c>
      <c r="G791" t="n">
        <v>0</v>
      </c>
      <c r="H791">
        <f>E791*F791*(1-G791)</f>
        <v/>
      </c>
      <c r="I791">
        <f>XLOOKUP(D791,Products!$A$2:$A$15,Products!$B$2:$B$15,"Not found")</f>
        <v/>
      </c>
    </row>
    <row r="792">
      <c r="A792" t="n">
        <v>105111</v>
      </c>
      <c r="B792" s="1" t="n">
        <v>45714</v>
      </c>
      <c r="C792" t="inlineStr">
        <is>
          <t>S02</t>
        </is>
      </c>
      <c r="D792" t="inlineStr">
        <is>
          <t>P401</t>
        </is>
      </c>
      <c r="E792" t="n">
        <v>1</v>
      </c>
      <c r="F792" t="n">
        <v>549</v>
      </c>
      <c r="G792" t="n">
        <v>0</v>
      </c>
      <c r="H792">
        <f>E792*F792*(1-G792)</f>
        <v/>
      </c>
      <c r="I792">
        <f>XLOOKUP(D792,Products!$A$2:$A$15,Products!$B$2:$B$15,"Not found")</f>
        <v/>
      </c>
    </row>
    <row r="793">
      <c r="A793" t="n">
        <v>105112</v>
      </c>
      <c r="B793" s="1" t="n">
        <v>45714</v>
      </c>
      <c r="C793" t="inlineStr">
        <is>
          <t>S02</t>
        </is>
      </c>
      <c r="D793" t="inlineStr">
        <is>
          <t>P103</t>
        </is>
      </c>
      <c r="E793" t="n">
        <v>1</v>
      </c>
      <c r="F793" t="n">
        <v>29</v>
      </c>
      <c r="G793" t="n">
        <v>0</v>
      </c>
      <c r="H793">
        <f>E793*F793*(1-G793)</f>
        <v/>
      </c>
      <c r="I793">
        <f>XLOOKUP(D793,Products!$A$2:$A$15,Products!$B$2:$B$15,"Not found")</f>
        <v/>
      </c>
    </row>
    <row r="794">
      <c r="A794" t="n">
        <v>105113</v>
      </c>
      <c r="B794" s="1" t="n">
        <v>45714</v>
      </c>
      <c r="C794" t="inlineStr">
        <is>
          <t>S02</t>
        </is>
      </c>
      <c r="D794" t="inlineStr">
        <is>
          <t>P102</t>
        </is>
      </c>
      <c r="E794" t="n">
        <v>1</v>
      </c>
      <c r="F794" t="n">
        <v>14.5</v>
      </c>
      <c r="G794" t="n">
        <v>0</v>
      </c>
      <c r="H794">
        <f>E794*F794*(1-G794)</f>
        <v/>
      </c>
      <c r="I794">
        <f>XLOOKUP(D794,Products!$A$2:$A$15,Products!$B$2:$B$15,"Not found")</f>
        <v/>
      </c>
    </row>
    <row r="795">
      <c r="A795" t="n">
        <v>105114</v>
      </c>
      <c r="B795" s="1" t="n">
        <v>45714</v>
      </c>
      <c r="C795" t="inlineStr">
        <is>
          <t>S02</t>
        </is>
      </c>
      <c r="D795" t="inlineStr">
        <is>
          <t>P203</t>
        </is>
      </c>
      <c r="E795" t="n">
        <v>1</v>
      </c>
      <c r="F795" t="n">
        <v>19.5</v>
      </c>
      <c r="G795" t="n">
        <v>0</v>
      </c>
      <c r="H795">
        <f>E795*F795*(1-G795)</f>
        <v/>
      </c>
      <c r="I795">
        <f>XLOOKUP(D795,Products!$A$2:$A$15,Products!$B$2:$B$15,"Not found")</f>
        <v/>
      </c>
    </row>
    <row r="796">
      <c r="A796" t="n">
        <v>105115</v>
      </c>
      <c r="B796" s="1" t="n">
        <v>45714</v>
      </c>
      <c r="C796" t="inlineStr">
        <is>
          <t>S04</t>
        </is>
      </c>
      <c r="D796" t="inlineStr">
        <is>
          <t>P303</t>
        </is>
      </c>
      <c r="E796" t="n">
        <v>1</v>
      </c>
      <c r="F796" t="n">
        <v>12</v>
      </c>
      <c r="G796" t="n">
        <v>0</v>
      </c>
      <c r="H796">
        <f>E796*F796*(1-G796)</f>
        <v/>
      </c>
      <c r="I796">
        <f>XLOOKUP(D796,Products!$A$2:$A$15,Products!$B$2:$B$15,"Not found")</f>
        <v/>
      </c>
    </row>
    <row r="797">
      <c r="A797" t="n">
        <v>105116</v>
      </c>
      <c r="B797" s="1" t="n">
        <v>45714</v>
      </c>
      <c r="C797" t="inlineStr">
        <is>
          <t>S05</t>
        </is>
      </c>
      <c r="D797" t="inlineStr">
        <is>
          <t>P102</t>
        </is>
      </c>
      <c r="E797" t="n">
        <v>1</v>
      </c>
      <c r="F797" t="n">
        <v>14.5</v>
      </c>
      <c r="G797" t="n">
        <v>0</v>
      </c>
      <c r="H797">
        <f>E797*F797*(1-G797)</f>
        <v/>
      </c>
      <c r="I797">
        <f>XLOOKUP(D797,Products!$A$2:$A$15,Products!$B$2:$B$15,"Not found")</f>
        <v/>
      </c>
    </row>
    <row r="798">
      <c r="A798" t="n">
        <v>105117</v>
      </c>
      <c r="B798" s="1" t="n">
        <v>45715</v>
      </c>
      <c r="C798" t="inlineStr">
        <is>
          <t>S01</t>
        </is>
      </c>
      <c r="D798" t="inlineStr">
        <is>
          <t>P303</t>
        </is>
      </c>
      <c r="E798" t="n">
        <v>1</v>
      </c>
      <c r="F798" t="n">
        <v>12</v>
      </c>
      <c r="G798" t="n">
        <v>0.1</v>
      </c>
      <c r="H798">
        <f>E798*F798*(1-G798)</f>
        <v/>
      </c>
      <c r="I798">
        <f>XLOOKUP(D798,Products!$A$2:$A$15,Products!$B$2:$B$15,"Not found")</f>
        <v/>
      </c>
    </row>
    <row r="799">
      <c r="A799" t="n">
        <v>105118</v>
      </c>
      <c r="B799" s="1" t="n">
        <v>45715</v>
      </c>
      <c r="C799" t="inlineStr">
        <is>
          <t>S01</t>
        </is>
      </c>
      <c r="D799" t="inlineStr">
        <is>
          <t>P202</t>
        </is>
      </c>
      <c r="E799" t="n">
        <v>3</v>
      </c>
      <c r="F799" t="n">
        <v>79</v>
      </c>
      <c r="G799" t="n">
        <v>0</v>
      </c>
      <c r="H799">
        <f>E799*F799*(1-G799)</f>
        <v/>
      </c>
      <c r="I799">
        <f>XLOOKUP(D799,Products!$A$2:$A$15,Products!$B$2:$B$15,"Not found")</f>
        <v/>
      </c>
    </row>
    <row r="800">
      <c r="A800" t="n">
        <v>105119</v>
      </c>
      <c r="B800" s="1" t="n">
        <v>45715</v>
      </c>
      <c r="C800" t="inlineStr">
        <is>
          <t>S01</t>
        </is>
      </c>
      <c r="D800" t="inlineStr">
        <is>
          <t>P401</t>
        </is>
      </c>
      <c r="E800" t="n">
        <v>1</v>
      </c>
      <c r="F800" t="n">
        <v>549</v>
      </c>
      <c r="G800" t="n">
        <v>0.2</v>
      </c>
      <c r="H800">
        <f>E800*F800*(1-G800)</f>
        <v/>
      </c>
      <c r="I800">
        <f>XLOOKUP(D800,Products!$A$2:$A$15,Products!$B$2:$B$15,"Not found")</f>
        <v/>
      </c>
    </row>
    <row r="801">
      <c r="A801" t="n">
        <v>105120</v>
      </c>
      <c r="B801" s="1" t="n">
        <v>45715</v>
      </c>
      <c r="C801" t="inlineStr">
        <is>
          <t>S01</t>
        </is>
      </c>
      <c r="D801" t="inlineStr">
        <is>
          <t>P101</t>
        </is>
      </c>
      <c r="E801" t="n">
        <v>1</v>
      </c>
      <c r="F801" t="n">
        <v>39</v>
      </c>
      <c r="G801" t="n">
        <v>0</v>
      </c>
      <c r="H801">
        <f>E801*F801*(1-G801)</f>
        <v/>
      </c>
      <c r="I801">
        <f>XLOOKUP(D801,Products!$A$2:$A$15,Products!$B$2:$B$15,"Not found")</f>
        <v/>
      </c>
    </row>
    <row r="802">
      <c r="A802" t="n">
        <v>105121</v>
      </c>
      <c r="B802" s="1" t="n">
        <v>45715</v>
      </c>
      <c r="C802" t="inlineStr">
        <is>
          <t>S02</t>
        </is>
      </c>
      <c r="D802" t="inlineStr">
        <is>
          <t>P303</t>
        </is>
      </c>
      <c r="E802" t="n">
        <v>2</v>
      </c>
      <c r="F802" t="n">
        <v>12</v>
      </c>
      <c r="G802" t="n">
        <v>0.15</v>
      </c>
      <c r="H802">
        <f>E802*F802*(1-G802)</f>
        <v/>
      </c>
      <c r="I802">
        <f>XLOOKUP(D802,Products!$A$2:$A$15,Products!$B$2:$B$15,"Not found")</f>
        <v/>
      </c>
    </row>
    <row r="803">
      <c r="A803" t="n">
        <v>105122</v>
      </c>
      <c r="B803" s="1" t="n">
        <v>45715</v>
      </c>
      <c r="C803" t="inlineStr">
        <is>
          <t>S02</t>
        </is>
      </c>
      <c r="D803" t="inlineStr">
        <is>
          <t>P302</t>
        </is>
      </c>
      <c r="E803" t="n">
        <v>2</v>
      </c>
      <c r="F803" t="n">
        <v>24</v>
      </c>
      <c r="G803" t="n">
        <v>0.15</v>
      </c>
      <c r="H803">
        <f>E803*F803*(1-G803)</f>
        <v/>
      </c>
      <c r="I803">
        <f>XLOOKUP(D803,Products!$A$2:$A$15,Products!$B$2:$B$15,"Not found")</f>
        <v/>
      </c>
    </row>
    <row r="804">
      <c r="A804" t="n">
        <v>105123</v>
      </c>
      <c r="B804" s="1" t="n">
        <v>45715</v>
      </c>
      <c r="C804" t="inlineStr">
        <is>
          <t>S02</t>
        </is>
      </c>
      <c r="D804" t="inlineStr">
        <is>
          <t>P303</t>
        </is>
      </c>
      <c r="E804" t="n">
        <v>1</v>
      </c>
      <c r="F804" t="n">
        <v>12</v>
      </c>
      <c r="G804" t="n">
        <v>0.1</v>
      </c>
      <c r="H804">
        <f>E804*F804*(1-G804)</f>
        <v/>
      </c>
      <c r="I804">
        <f>XLOOKUP(D804,Products!$A$2:$A$15,Products!$B$2:$B$15,"Not found")</f>
        <v/>
      </c>
    </row>
    <row r="805">
      <c r="A805" t="n">
        <v>105124</v>
      </c>
      <c r="B805" s="1" t="n">
        <v>45715</v>
      </c>
      <c r="C805" t="inlineStr">
        <is>
          <t>S02</t>
        </is>
      </c>
      <c r="D805" t="inlineStr">
        <is>
          <t>P204</t>
        </is>
      </c>
      <c r="E805" t="n">
        <v>1</v>
      </c>
      <c r="F805" t="n">
        <v>229</v>
      </c>
      <c r="G805" t="n">
        <v>0</v>
      </c>
      <c r="H805">
        <f>E805*F805*(1-G805)</f>
        <v/>
      </c>
      <c r="I805">
        <f>XLOOKUP(D805,Products!$A$2:$A$15,Products!$B$2:$B$15,"Not found")</f>
        <v/>
      </c>
    </row>
    <row r="806">
      <c r="A806" t="n">
        <v>105125</v>
      </c>
      <c r="B806" s="1" t="n">
        <v>45715</v>
      </c>
      <c r="C806" t="inlineStr">
        <is>
          <t>S02</t>
        </is>
      </c>
      <c r="D806" t="inlineStr">
        <is>
          <t>P103</t>
        </is>
      </c>
      <c r="E806" t="n">
        <v>1</v>
      </c>
      <c r="F806" t="n">
        <v>29</v>
      </c>
      <c r="G806" t="n">
        <v>0.15</v>
      </c>
      <c r="H806">
        <f>E806*F806*(1-G806)</f>
        <v/>
      </c>
      <c r="I806">
        <f>XLOOKUP(D806,Products!$A$2:$A$15,Products!$B$2:$B$15,"Not found")</f>
        <v/>
      </c>
    </row>
    <row r="807">
      <c r="A807" t="n">
        <v>105126</v>
      </c>
      <c r="B807" s="1" t="n">
        <v>45715</v>
      </c>
      <c r="C807" t="inlineStr">
        <is>
          <t>S02</t>
        </is>
      </c>
      <c r="D807" t="inlineStr">
        <is>
          <t>P202</t>
        </is>
      </c>
      <c r="E807" t="n">
        <v>1</v>
      </c>
      <c r="F807" t="n">
        <v>79</v>
      </c>
      <c r="G807" t="n">
        <v>0.1</v>
      </c>
      <c r="H807">
        <f>E807*F807*(1-G807)</f>
        <v/>
      </c>
      <c r="I807">
        <f>XLOOKUP(D807,Products!$A$2:$A$15,Products!$B$2:$B$15,"Not found")</f>
        <v/>
      </c>
    </row>
    <row r="808">
      <c r="A808" t="n">
        <v>105127</v>
      </c>
      <c r="B808" s="1" t="n">
        <v>45715</v>
      </c>
      <c r="C808" t="inlineStr">
        <is>
          <t>S03</t>
        </is>
      </c>
      <c r="D808" t="inlineStr">
        <is>
          <t>P103</t>
        </is>
      </c>
      <c r="E808" t="n">
        <v>4</v>
      </c>
      <c r="F808" t="n">
        <v>29</v>
      </c>
      <c r="G808" t="n">
        <v>0</v>
      </c>
      <c r="H808">
        <f>E808*F808*(1-G808)</f>
        <v/>
      </c>
      <c r="I808">
        <f>XLOOKUP(D808,Products!$A$2:$A$15,Products!$B$2:$B$15,"Not found")</f>
        <v/>
      </c>
    </row>
    <row r="809">
      <c r="A809" t="n">
        <v>105128</v>
      </c>
      <c r="B809" s="1" t="n">
        <v>45715</v>
      </c>
      <c r="C809" t="inlineStr">
        <is>
          <t>S03</t>
        </is>
      </c>
      <c r="D809" t="inlineStr">
        <is>
          <t>P303</t>
        </is>
      </c>
      <c r="E809" t="n">
        <v>4</v>
      </c>
      <c r="F809" t="n">
        <v>12</v>
      </c>
      <c r="G809" t="n">
        <v>0.15</v>
      </c>
      <c r="H809">
        <f>E809*F809*(1-G809)</f>
        <v/>
      </c>
      <c r="I809">
        <f>XLOOKUP(D809,Products!$A$2:$A$15,Products!$B$2:$B$15,"Not found")</f>
        <v/>
      </c>
    </row>
    <row r="810">
      <c r="A810" t="n">
        <v>105129</v>
      </c>
      <c r="B810" s="1" t="n">
        <v>45715</v>
      </c>
      <c r="C810" t="inlineStr">
        <is>
          <t>S04</t>
        </is>
      </c>
      <c r="D810" t="inlineStr">
        <is>
          <t>P104</t>
        </is>
      </c>
      <c r="E810" t="n">
        <v>1</v>
      </c>
      <c r="F810" t="n">
        <v>189</v>
      </c>
      <c r="G810" t="n">
        <v>0.2</v>
      </c>
      <c r="H810">
        <f>E810*F810*(1-G810)</f>
        <v/>
      </c>
      <c r="I810">
        <f>XLOOKUP(D810,Products!$A$2:$A$15,Products!$B$2:$B$15,"Not found")</f>
        <v/>
      </c>
    </row>
    <row r="811">
      <c r="A811" t="n">
        <v>105130</v>
      </c>
      <c r="B811" s="1" t="n">
        <v>45715</v>
      </c>
      <c r="C811" t="inlineStr">
        <is>
          <t>S05</t>
        </is>
      </c>
      <c r="D811" t="inlineStr">
        <is>
          <t>P303</t>
        </is>
      </c>
      <c r="E811" t="n">
        <v>1</v>
      </c>
      <c r="F811" t="n">
        <v>12</v>
      </c>
      <c r="G811" t="n">
        <v>0.2</v>
      </c>
      <c r="H811">
        <f>E811*F811*(1-G811)</f>
        <v/>
      </c>
      <c r="I811">
        <f>XLOOKUP(D811,Products!$A$2:$A$15,Products!$B$2:$B$15,"Not found")</f>
        <v/>
      </c>
    </row>
    <row r="812">
      <c r="A812" t="n">
        <v>105131</v>
      </c>
      <c r="B812" s="1" t="n">
        <v>45715</v>
      </c>
      <c r="C812" t="inlineStr">
        <is>
          <t>S06</t>
        </is>
      </c>
      <c r="D812" t="inlineStr">
        <is>
          <t>P302</t>
        </is>
      </c>
      <c r="E812" t="n">
        <v>1</v>
      </c>
      <c r="F812" t="n">
        <v>24</v>
      </c>
      <c r="G812" t="n">
        <v>0</v>
      </c>
      <c r="H812">
        <f>E812*F812*(1-G812)</f>
        <v/>
      </c>
      <c r="I812">
        <f>XLOOKUP(D812,Products!$A$2:$A$15,Products!$B$2:$B$15,"Not found")</f>
        <v/>
      </c>
    </row>
    <row r="813">
      <c r="A813" t="n">
        <v>105132</v>
      </c>
      <c r="B813" s="1" t="n">
        <v>45716</v>
      </c>
      <c r="C813" t="inlineStr">
        <is>
          <t>S01</t>
        </is>
      </c>
      <c r="D813" t="inlineStr">
        <is>
          <t>P103</t>
        </is>
      </c>
      <c r="E813" t="n">
        <v>1</v>
      </c>
      <c r="F813" t="n">
        <v>29</v>
      </c>
      <c r="G813" t="n">
        <v>0.1</v>
      </c>
      <c r="H813">
        <f>E813*F813*(1-G813)</f>
        <v/>
      </c>
      <c r="I813">
        <f>XLOOKUP(D813,Products!$A$2:$A$15,Products!$B$2:$B$15,"Not found")</f>
        <v/>
      </c>
    </row>
    <row r="814">
      <c r="A814" t="n">
        <v>105133</v>
      </c>
      <c r="B814" s="1" t="n">
        <v>45716</v>
      </c>
      <c r="C814" t="inlineStr">
        <is>
          <t>S01</t>
        </is>
      </c>
      <c r="D814" t="inlineStr">
        <is>
          <t>P303</t>
        </is>
      </c>
      <c r="E814" t="n">
        <v>2</v>
      </c>
      <c r="F814" t="n">
        <v>12</v>
      </c>
      <c r="G814" t="n">
        <v>0.2</v>
      </c>
      <c r="H814">
        <f>E814*F814*(1-G814)</f>
        <v/>
      </c>
      <c r="I814">
        <f>XLOOKUP(D814,Products!$A$2:$A$15,Products!$B$2:$B$15,"Not found")</f>
        <v/>
      </c>
    </row>
    <row r="815">
      <c r="A815" t="n">
        <v>105134</v>
      </c>
      <c r="B815" s="1" t="n">
        <v>45716</v>
      </c>
      <c r="C815" t="inlineStr">
        <is>
          <t>S01</t>
        </is>
      </c>
      <c r="D815" t="inlineStr">
        <is>
          <t>P102</t>
        </is>
      </c>
      <c r="E815" t="n">
        <v>1</v>
      </c>
      <c r="F815" t="n">
        <v>14.5</v>
      </c>
      <c r="G815" t="n">
        <v>0</v>
      </c>
      <c r="H815">
        <f>E815*F815*(1-G815)</f>
        <v/>
      </c>
      <c r="I815">
        <f>XLOOKUP(D815,Products!$A$2:$A$15,Products!$B$2:$B$15,"Not found")</f>
        <v/>
      </c>
    </row>
    <row r="816">
      <c r="A816" t="n">
        <v>105135</v>
      </c>
      <c r="B816" s="1" t="n">
        <v>45716</v>
      </c>
      <c r="C816" t="inlineStr">
        <is>
          <t>S04</t>
        </is>
      </c>
      <c r="D816" t="inlineStr">
        <is>
          <t>P103</t>
        </is>
      </c>
      <c r="E816" t="n">
        <v>2</v>
      </c>
      <c r="F816" t="n">
        <v>29</v>
      </c>
      <c r="G816" t="n">
        <v>0.1</v>
      </c>
      <c r="H816">
        <f>E816*F816*(1-G816)</f>
        <v/>
      </c>
      <c r="I816">
        <f>XLOOKUP(D816,Products!$A$2:$A$15,Products!$B$2:$B$15,"Not found")</f>
        <v/>
      </c>
    </row>
    <row r="817">
      <c r="A817" t="n">
        <v>105136</v>
      </c>
      <c r="B817" s="1" t="n">
        <v>45716</v>
      </c>
      <c r="C817" t="inlineStr">
        <is>
          <t>S05</t>
        </is>
      </c>
      <c r="D817" t="inlineStr">
        <is>
          <t>P102</t>
        </is>
      </c>
      <c r="E817" t="n">
        <v>4</v>
      </c>
      <c r="F817" t="n">
        <v>14.5</v>
      </c>
      <c r="G817" t="n">
        <v>0</v>
      </c>
      <c r="H817">
        <f>E817*F817*(1-G817)</f>
        <v/>
      </c>
      <c r="I817">
        <f>XLOOKUP(D817,Products!$A$2:$A$15,Products!$B$2:$B$15,"Not found")</f>
        <v/>
      </c>
    </row>
    <row r="818">
      <c r="A818" t="n">
        <v>105137</v>
      </c>
      <c r="B818" s="1" t="n">
        <v>45716</v>
      </c>
      <c r="C818" t="inlineStr">
        <is>
          <t>S05</t>
        </is>
      </c>
      <c r="D818" t="inlineStr">
        <is>
          <t>P203</t>
        </is>
      </c>
      <c r="E818" t="n">
        <v>1</v>
      </c>
      <c r="F818" t="n">
        <v>19.5</v>
      </c>
      <c r="G818" t="n">
        <v>0.15</v>
      </c>
      <c r="H818">
        <f>E818*F818*(1-G818)</f>
        <v/>
      </c>
      <c r="I818">
        <f>XLOOKUP(D818,Products!$A$2:$A$15,Products!$B$2:$B$15,"Not found")</f>
        <v/>
      </c>
    </row>
    <row r="819">
      <c r="A819" t="n">
        <v>105138</v>
      </c>
      <c r="B819" s="1" t="n">
        <v>45716</v>
      </c>
      <c r="C819" t="inlineStr">
        <is>
          <t>S05</t>
        </is>
      </c>
      <c r="D819" t="inlineStr">
        <is>
          <t>P401</t>
        </is>
      </c>
      <c r="E819" t="n">
        <v>1</v>
      </c>
      <c r="F819" t="n">
        <v>549</v>
      </c>
      <c r="G819" t="n">
        <v>0.15</v>
      </c>
      <c r="H819">
        <f>E819*F819*(1-G819)</f>
        <v/>
      </c>
      <c r="I819">
        <f>XLOOKUP(D819,Products!$A$2:$A$15,Products!$B$2:$B$15,"Not found")</f>
        <v/>
      </c>
    </row>
    <row r="820">
      <c r="A820" t="n">
        <v>105139</v>
      </c>
      <c r="B820" s="1" t="n">
        <v>45717</v>
      </c>
      <c r="C820" t="inlineStr">
        <is>
          <t>S01</t>
        </is>
      </c>
      <c r="D820" t="inlineStr">
        <is>
          <t>P301</t>
        </is>
      </c>
      <c r="E820" t="n">
        <v>1</v>
      </c>
      <c r="F820" t="n">
        <v>119</v>
      </c>
      <c r="G820" t="n">
        <v>0</v>
      </c>
      <c r="H820">
        <f>E820*F820*(1-G820)</f>
        <v/>
      </c>
      <c r="I820">
        <f>XLOOKUP(D820,Products!$A$2:$A$15,Products!$B$2:$B$15,"Not found")</f>
        <v/>
      </c>
    </row>
    <row r="821">
      <c r="A821" t="n">
        <v>105140</v>
      </c>
      <c r="B821" s="1" t="n">
        <v>45717</v>
      </c>
      <c r="C821" t="inlineStr">
        <is>
          <t>S02</t>
        </is>
      </c>
      <c r="D821" t="inlineStr">
        <is>
          <t>P301</t>
        </is>
      </c>
      <c r="E821" t="n">
        <v>1</v>
      </c>
      <c r="F821" t="n">
        <v>119</v>
      </c>
      <c r="G821" t="n">
        <v>0</v>
      </c>
      <c r="H821">
        <f>E821*F821*(1-G821)</f>
        <v/>
      </c>
      <c r="I821">
        <f>XLOOKUP(D821,Products!$A$2:$A$15,Products!$B$2:$B$15,"Not found")</f>
        <v/>
      </c>
    </row>
    <row r="822">
      <c r="A822" t="n">
        <v>105141</v>
      </c>
      <c r="B822" s="1" t="n">
        <v>45717</v>
      </c>
      <c r="C822" t="inlineStr">
        <is>
          <t>S02</t>
        </is>
      </c>
      <c r="D822" t="inlineStr">
        <is>
          <t>P202</t>
        </is>
      </c>
      <c r="E822" t="n">
        <v>4</v>
      </c>
      <c r="F822" t="n">
        <v>79</v>
      </c>
      <c r="G822" t="n">
        <v>0</v>
      </c>
      <c r="H822">
        <f>E822*F822*(1-G822)</f>
        <v/>
      </c>
      <c r="I822">
        <f>XLOOKUP(D822,Products!$A$2:$A$15,Products!$B$2:$B$15,"Not found")</f>
        <v/>
      </c>
    </row>
    <row r="823">
      <c r="A823" t="n">
        <v>105142</v>
      </c>
      <c r="B823" s="1" t="n">
        <v>45717</v>
      </c>
      <c r="C823" t="inlineStr">
        <is>
          <t>S03</t>
        </is>
      </c>
      <c r="D823" t="inlineStr">
        <is>
          <t>P202</t>
        </is>
      </c>
      <c r="E823" t="n">
        <v>2</v>
      </c>
      <c r="F823" t="n">
        <v>79</v>
      </c>
      <c r="G823" t="n">
        <v>0.2</v>
      </c>
      <c r="H823">
        <f>E823*F823*(1-G823)</f>
        <v/>
      </c>
      <c r="I823">
        <f>XLOOKUP(D823,Products!$A$2:$A$15,Products!$B$2:$B$15,"Not found")</f>
        <v/>
      </c>
    </row>
    <row r="824">
      <c r="A824" t="n">
        <v>105143</v>
      </c>
      <c r="B824" s="1" t="n">
        <v>45717</v>
      </c>
      <c r="C824" t="inlineStr">
        <is>
          <t>S03</t>
        </is>
      </c>
      <c r="D824" t="inlineStr">
        <is>
          <t>P102</t>
        </is>
      </c>
      <c r="E824" t="n">
        <v>1</v>
      </c>
      <c r="F824" t="n">
        <v>14.5</v>
      </c>
      <c r="G824" t="n">
        <v>0</v>
      </c>
      <c r="H824">
        <f>E824*F824*(1-G824)</f>
        <v/>
      </c>
      <c r="I824">
        <f>XLOOKUP(D824,Products!$A$2:$A$15,Products!$B$2:$B$15,"Not found")</f>
        <v/>
      </c>
    </row>
    <row r="825">
      <c r="A825" t="n">
        <v>105144</v>
      </c>
      <c r="B825" s="1" t="n">
        <v>45717</v>
      </c>
      <c r="C825" t="inlineStr">
        <is>
          <t>S03</t>
        </is>
      </c>
      <c r="D825" t="inlineStr">
        <is>
          <t>P103</t>
        </is>
      </c>
      <c r="E825" t="n">
        <v>3</v>
      </c>
      <c r="F825" t="n">
        <v>29</v>
      </c>
      <c r="G825" t="n">
        <v>0.15</v>
      </c>
      <c r="H825">
        <f>E825*F825*(1-G825)</f>
        <v/>
      </c>
      <c r="I825">
        <f>XLOOKUP(D825,Products!$A$2:$A$15,Products!$B$2:$B$15,"Not found")</f>
        <v/>
      </c>
    </row>
    <row r="826">
      <c r="A826" t="n">
        <v>105145</v>
      </c>
      <c r="B826" s="1" t="n">
        <v>45717</v>
      </c>
      <c r="C826" t="inlineStr">
        <is>
          <t>S03</t>
        </is>
      </c>
      <c r="D826" t="inlineStr">
        <is>
          <t>P103</t>
        </is>
      </c>
      <c r="E826" t="n">
        <v>1</v>
      </c>
      <c r="F826" t="n">
        <v>29</v>
      </c>
      <c r="G826" t="n">
        <v>0.2</v>
      </c>
      <c r="H826">
        <f>E826*F826*(1-G826)</f>
        <v/>
      </c>
      <c r="I826">
        <f>XLOOKUP(D826,Products!$A$2:$A$15,Products!$B$2:$B$15,"Not found")</f>
        <v/>
      </c>
    </row>
    <row r="827">
      <c r="A827" t="n">
        <v>105146</v>
      </c>
      <c r="B827" s="1" t="n">
        <v>45717</v>
      </c>
      <c r="C827" t="inlineStr">
        <is>
          <t>S03</t>
        </is>
      </c>
      <c r="D827" t="inlineStr">
        <is>
          <t>P103</t>
        </is>
      </c>
      <c r="E827" t="n">
        <v>4</v>
      </c>
      <c r="F827" t="n">
        <v>29</v>
      </c>
      <c r="G827" t="n">
        <v>0.1</v>
      </c>
      <c r="H827">
        <f>E827*F827*(1-G827)</f>
        <v/>
      </c>
      <c r="I827">
        <f>XLOOKUP(D827,Products!$A$2:$A$15,Products!$B$2:$B$15,"Not found")</f>
        <v/>
      </c>
    </row>
    <row r="828">
      <c r="A828" t="n">
        <v>105147</v>
      </c>
      <c r="B828" s="1" t="n">
        <v>45717</v>
      </c>
      <c r="C828" t="inlineStr">
        <is>
          <t>S04</t>
        </is>
      </c>
      <c r="D828" t="inlineStr">
        <is>
          <t>P103</t>
        </is>
      </c>
      <c r="E828" t="n">
        <v>1</v>
      </c>
      <c r="F828" t="n">
        <v>29</v>
      </c>
      <c r="G828" t="n">
        <v>0</v>
      </c>
      <c r="H828">
        <f>E828*F828*(1-G828)</f>
        <v/>
      </c>
      <c r="I828">
        <f>XLOOKUP(D828,Products!$A$2:$A$15,Products!$B$2:$B$15,"Not found")</f>
        <v/>
      </c>
    </row>
    <row r="829">
      <c r="A829" t="n">
        <v>105148</v>
      </c>
      <c r="B829" s="1" t="n">
        <v>45717</v>
      </c>
      <c r="C829" t="inlineStr">
        <is>
          <t>S05</t>
        </is>
      </c>
      <c r="D829" t="inlineStr">
        <is>
          <t>P101</t>
        </is>
      </c>
      <c r="E829" t="n">
        <v>2</v>
      </c>
      <c r="F829" t="n">
        <v>39</v>
      </c>
      <c r="G829" t="n">
        <v>0</v>
      </c>
      <c r="H829">
        <f>E829*F829*(1-G829)</f>
        <v/>
      </c>
      <c r="I829">
        <f>XLOOKUP(D829,Products!$A$2:$A$15,Products!$B$2:$B$15,"Not found")</f>
        <v/>
      </c>
    </row>
    <row r="830">
      <c r="A830" t="n">
        <v>105149</v>
      </c>
      <c r="B830" s="1" t="n">
        <v>45717</v>
      </c>
      <c r="C830" t="inlineStr">
        <is>
          <t>S05</t>
        </is>
      </c>
      <c r="D830" t="inlineStr">
        <is>
          <t>P101</t>
        </is>
      </c>
      <c r="E830" t="n">
        <v>3</v>
      </c>
      <c r="F830" t="n">
        <v>39</v>
      </c>
      <c r="G830" t="n">
        <v>0</v>
      </c>
      <c r="H830">
        <f>E830*F830*(1-G830)</f>
        <v/>
      </c>
      <c r="I830">
        <f>XLOOKUP(D830,Products!$A$2:$A$15,Products!$B$2:$B$15,"Not found")</f>
        <v/>
      </c>
    </row>
    <row r="831">
      <c r="A831" t="n">
        <v>105150</v>
      </c>
      <c r="B831" s="1" t="n">
        <v>45718</v>
      </c>
      <c r="C831" t="inlineStr">
        <is>
          <t>S01</t>
        </is>
      </c>
      <c r="D831" t="inlineStr">
        <is>
          <t>P103</t>
        </is>
      </c>
      <c r="E831" t="n">
        <v>1</v>
      </c>
      <c r="F831" t="n">
        <v>29</v>
      </c>
      <c r="G831" t="n">
        <v>0</v>
      </c>
      <c r="H831">
        <f>E831*F831*(1-G831)</f>
        <v/>
      </c>
      <c r="I831">
        <f>XLOOKUP(D831,Products!$A$2:$A$15,Products!$B$2:$B$15,"Not found")</f>
        <v/>
      </c>
    </row>
    <row r="832">
      <c r="A832" t="n">
        <v>105151</v>
      </c>
      <c r="B832" s="1" t="n">
        <v>45718</v>
      </c>
      <c r="C832" t="inlineStr">
        <is>
          <t>S01</t>
        </is>
      </c>
      <c r="D832" t="inlineStr">
        <is>
          <t>P101</t>
        </is>
      </c>
      <c r="E832" t="n">
        <v>1</v>
      </c>
      <c r="F832" t="n">
        <v>39</v>
      </c>
      <c r="G832" t="n">
        <v>0.15</v>
      </c>
      <c r="H832">
        <f>E832*F832*(1-G832)</f>
        <v/>
      </c>
      <c r="I832">
        <f>XLOOKUP(D832,Products!$A$2:$A$15,Products!$B$2:$B$15,"Not found")</f>
        <v/>
      </c>
    </row>
    <row r="833">
      <c r="A833" t="n">
        <v>105152</v>
      </c>
      <c r="B833" s="1" t="n">
        <v>45718</v>
      </c>
      <c r="C833" t="inlineStr">
        <is>
          <t>S01</t>
        </is>
      </c>
      <c r="D833" t="inlineStr">
        <is>
          <t>P403</t>
        </is>
      </c>
      <c r="E833" t="n">
        <v>1</v>
      </c>
      <c r="F833" t="n">
        <v>89</v>
      </c>
      <c r="G833" t="n">
        <v>0</v>
      </c>
      <c r="H833">
        <f>E833*F833*(1-G833)</f>
        <v/>
      </c>
      <c r="I833">
        <f>XLOOKUP(D833,Products!$A$2:$A$15,Products!$B$2:$B$15,"Not found")</f>
        <v/>
      </c>
    </row>
    <row r="834">
      <c r="A834" t="n">
        <v>105153</v>
      </c>
      <c r="B834" s="1" t="n">
        <v>45718</v>
      </c>
      <c r="C834" t="inlineStr">
        <is>
          <t>S01</t>
        </is>
      </c>
      <c r="D834" t="inlineStr">
        <is>
          <t>P204</t>
        </is>
      </c>
      <c r="E834" t="n">
        <v>1</v>
      </c>
      <c r="F834" t="n">
        <v>229</v>
      </c>
      <c r="G834" t="n">
        <v>0.1</v>
      </c>
      <c r="H834">
        <f>E834*F834*(1-G834)</f>
        <v/>
      </c>
      <c r="I834">
        <f>XLOOKUP(D834,Products!$A$2:$A$15,Products!$B$2:$B$15,"Not found")</f>
        <v/>
      </c>
    </row>
    <row r="835">
      <c r="A835" t="n">
        <v>105154</v>
      </c>
      <c r="B835" s="1" t="n">
        <v>45718</v>
      </c>
      <c r="C835" t="inlineStr">
        <is>
          <t>S01</t>
        </is>
      </c>
      <c r="D835" t="inlineStr">
        <is>
          <t>P202</t>
        </is>
      </c>
      <c r="E835" t="n">
        <v>3</v>
      </c>
      <c r="F835" t="n">
        <v>79</v>
      </c>
      <c r="G835" t="n">
        <v>0.15</v>
      </c>
      <c r="H835">
        <f>E835*F835*(1-G835)</f>
        <v/>
      </c>
      <c r="I835">
        <f>XLOOKUP(D835,Products!$A$2:$A$15,Products!$B$2:$B$15,"Not found")</f>
        <v/>
      </c>
    </row>
    <row r="836">
      <c r="A836" t="n">
        <v>105155</v>
      </c>
      <c r="B836" s="1" t="n">
        <v>45718</v>
      </c>
      <c r="C836" t="inlineStr">
        <is>
          <t>S02</t>
        </is>
      </c>
      <c r="D836" t="inlineStr">
        <is>
          <t>P104</t>
        </is>
      </c>
      <c r="E836" t="n">
        <v>1</v>
      </c>
      <c r="F836" t="n">
        <v>189</v>
      </c>
      <c r="G836" t="n">
        <v>0</v>
      </c>
      <c r="H836">
        <f>E836*F836*(1-G836)</f>
        <v/>
      </c>
      <c r="I836">
        <f>XLOOKUP(D836,Products!$A$2:$A$15,Products!$B$2:$B$15,"Not found")</f>
        <v/>
      </c>
    </row>
    <row r="837">
      <c r="A837" t="n">
        <v>105156</v>
      </c>
      <c r="B837" s="1" t="n">
        <v>45718</v>
      </c>
      <c r="C837" t="inlineStr">
        <is>
          <t>S03</t>
        </is>
      </c>
      <c r="D837" t="inlineStr">
        <is>
          <t>P301</t>
        </is>
      </c>
      <c r="E837" t="n">
        <v>1</v>
      </c>
      <c r="F837" t="n">
        <v>119</v>
      </c>
      <c r="G837" t="n">
        <v>0</v>
      </c>
      <c r="H837">
        <f>E837*F837*(1-G837)</f>
        <v/>
      </c>
      <c r="I837">
        <f>XLOOKUP(D837,Products!$A$2:$A$15,Products!$B$2:$B$15,"Not found")</f>
        <v/>
      </c>
    </row>
    <row r="838">
      <c r="A838" t="n">
        <v>105157</v>
      </c>
      <c r="B838" s="1" t="n">
        <v>45718</v>
      </c>
      <c r="C838" t="inlineStr">
        <is>
          <t>S03</t>
        </is>
      </c>
      <c r="D838" t="inlineStr">
        <is>
          <t>P303</t>
        </is>
      </c>
      <c r="E838" t="n">
        <v>2</v>
      </c>
      <c r="F838" t="n">
        <v>12</v>
      </c>
      <c r="G838" t="n">
        <v>0.15</v>
      </c>
      <c r="H838">
        <f>E838*F838*(1-G838)</f>
        <v/>
      </c>
      <c r="I838">
        <f>XLOOKUP(D838,Products!$A$2:$A$15,Products!$B$2:$B$15,"Not found")</f>
        <v/>
      </c>
    </row>
    <row r="839">
      <c r="A839" t="n">
        <v>105158</v>
      </c>
      <c r="B839" s="1" t="n">
        <v>45718</v>
      </c>
      <c r="C839" t="inlineStr">
        <is>
          <t>S03</t>
        </is>
      </c>
      <c r="D839" t="inlineStr">
        <is>
          <t>P103</t>
        </is>
      </c>
      <c r="E839" t="n">
        <v>1</v>
      </c>
      <c r="F839" t="n">
        <v>29</v>
      </c>
      <c r="G839" t="n">
        <v>0</v>
      </c>
      <c r="H839">
        <f>E839*F839*(1-G839)</f>
        <v/>
      </c>
      <c r="I839">
        <f>XLOOKUP(D839,Products!$A$2:$A$15,Products!$B$2:$B$15,"Not found")</f>
        <v/>
      </c>
    </row>
    <row r="840">
      <c r="A840" t="n">
        <v>105159</v>
      </c>
      <c r="B840" s="1" t="n">
        <v>45718</v>
      </c>
      <c r="C840" t="inlineStr">
        <is>
          <t>S04</t>
        </is>
      </c>
      <c r="D840" t="inlineStr">
        <is>
          <t>P301</t>
        </is>
      </c>
      <c r="E840" t="n">
        <v>1</v>
      </c>
      <c r="F840" t="n">
        <v>119</v>
      </c>
      <c r="G840" t="n">
        <v>0</v>
      </c>
      <c r="H840">
        <f>E840*F840*(1-G840)</f>
        <v/>
      </c>
      <c r="I840">
        <f>XLOOKUP(D840,Products!$A$2:$A$15,Products!$B$2:$B$15,"Not found")</f>
        <v/>
      </c>
    </row>
    <row r="841">
      <c r="A841" t="n">
        <v>105160</v>
      </c>
      <c r="B841" s="1" t="n">
        <v>45718</v>
      </c>
      <c r="C841" t="inlineStr">
        <is>
          <t>S04</t>
        </is>
      </c>
      <c r="D841" t="inlineStr">
        <is>
          <t>P201</t>
        </is>
      </c>
      <c r="E841" t="n">
        <v>1</v>
      </c>
      <c r="F841" t="n">
        <v>149</v>
      </c>
      <c r="G841" t="n">
        <v>0</v>
      </c>
      <c r="H841">
        <f>E841*F841*(1-G841)</f>
        <v/>
      </c>
      <c r="I841">
        <f>XLOOKUP(D841,Products!$A$2:$A$15,Products!$B$2:$B$15,"Not found")</f>
        <v/>
      </c>
    </row>
    <row r="842">
      <c r="A842" t="n">
        <v>105161</v>
      </c>
      <c r="B842" s="1" t="n">
        <v>45718</v>
      </c>
      <c r="C842" t="inlineStr">
        <is>
          <t>S05</t>
        </is>
      </c>
      <c r="D842" t="inlineStr">
        <is>
          <t>P302</t>
        </is>
      </c>
      <c r="E842" t="n">
        <v>1</v>
      </c>
      <c r="F842" t="n">
        <v>24</v>
      </c>
      <c r="G842" t="n">
        <v>0</v>
      </c>
      <c r="H842">
        <f>E842*F842*(1-G842)</f>
        <v/>
      </c>
      <c r="I842">
        <f>XLOOKUP(D842,Products!$A$2:$A$15,Products!$B$2:$B$15,"Not found")</f>
        <v/>
      </c>
    </row>
    <row r="843">
      <c r="A843" t="n">
        <v>105162</v>
      </c>
      <c r="B843" s="1" t="n">
        <v>45718</v>
      </c>
      <c r="C843" t="inlineStr">
        <is>
          <t>S05</t>
        </is>
      </c>
      <c r="D843" t="inlineStr">
        <is>
          <t>P302</t>
        </is>
      </c>
      <c r="E843" t="n">
        <v>2</v>
      </c>
      <c r="F843" t="n">
        <v>24</v>
      </c>
      <c r="G843" t="n">
        <v>0</v>
      </c>
      <c r="H843">
        <f>E843*F843*(1-G843)</f>
        <v/>
      </c>
      <c r="I843">
        <f>XLOOKUP(D843,Products!$A$2:$A$15,Products!$B$2:$B$15,"Not found")</f>
        <v/>
      </c>
    </row>
    <row r="844">
      <c r="A844" t="n">
        <v>105163</v>
      </c>
      <c r="B844" s="1" t="n">
        <v>45718</v>
      </c>
      <c r="C844" t="inlineStr">
        <is>
          <t>S05</t>
        </is>
      </c>
      <c r="D844" t="inlineStr">
        <is>
          <t>P303</t>
        </is>
      </c>
      <c r="E844" t="n">
        <v>2</v>
      </c>
      <c r="F844" t="n">
        <v>12</v>
      </c>
      <c r="G844" t="n">
        <v>0</v>
      </c>
      <c r="H844">
        <f>E844*F844*(1-G844)</f>
        <v/>
      </c>
      <c r="I844">
        <f>XLOOKUP(D844,Products!$A$2:$A$15,Products!$B$2:$B$15,"Not found")</f>
        <v/>
      </c>
    </row>
    <row r="845">
      <c r="A845" t="n">
        <v>105164</v>
      </c>
      <c r="B845" s="1" t="n">
        <v>45718</v>
      </c>
      <c r="C845" t="inlineStr">
        <is>
          <t>S06</t>
        </is>
      </c>
      <c r="D845" t="inlineStr">
        <is>
          <t>P302</t>
        </is>
      </c>
      <c r="E845" t="n">
        <v>2</v>
      </c>
      <c r="F845" t="n">
        <v>24</v>
      </c>
      <c r="G845" t="n">
        <v>0.15</v>
      </c>
      <c r="H845">
        <f>E845*F845*(1-G845)</f>
        <v/>
      </c>
      <c r="I845">
        <f>XLOOKUP(D845,Products!$A$2:$A$15,Products!$B$2:$B$15,"Not found")</f>
        <v/>
      </c>
    </row>
    <row r="846">
      <c r="A846" t="n">
        <v>105165</v>
      </c>
      <c r="B846" s="1" t="n">
        <v>45719</v>
      </c>
      <c r="C846" t="inlineStr">
        <is>
          <t>S01</t>
        </is>
      </c>
      <c r="D846" t="inlineStr">
        <is>
          <t>P203</t>
        </is>
      </c>
      <c r="E846" t="n">
        <v>1</v>
      </c>
      <c r="F846" t="n">
        <v>19.5</v>
      </c>
      <c r="G846" t="n">
        <v>0</v>
      </c>
      <c r="H846">
        <f>E846*F846*(1-G846)</f>
        <v/>
      </c>
      <c r="I846">
        <f>XLOOKUP(D846,Products!$A$2:$A$15,Products!$B$2:$B$15,"Not found")</f>
        <v/>
      </c>
    </row>
    <row r="847">
      <c r="A847" t="n">
        <v>105166</v>
      </c>
      <c r="B847" s="1" t="n">
        <v>45719</v>
      </c>
      <c r="C847" t="inlineStr">
        <is>
          <t>S01</t>
        </is>
      </c>
      <c r="D847" t="inlineStr">
        <is>
          <t>P202</t>
        </is>
      </c>
      <c r="E847" t="n">
        <v>1</v>
      </c>
      <c r="F847" t="n">
        <v>79</v>
      </c>
      <c r="G847" t="n">
        <v>0.1</v>
      </c>
      <c r="H847">
        <f>E847*F847*(1-G847)</f>
        <v/>
      </c>
      <c r="I847">
        <f>XLOOKUP(D847,Products!$A$2:$A$15,Products!$B$2:$B$15,"Not found")</f>
        <v/>
      </c>
    </row>
    <row r="848">
      <c r="A848" t="n">
        <v>105167</v>
      </c>
      <c r="B848" s="1" t="n">
        <v>45719</v>
      </c>
      <c r="C848" t="inlineStr">
        <is>
          <t>S02</t>
        </is>
      </c>
      <c r="D848" t="inlineStr">
        <is>
          <t>P303</t>
        </is>
      </c>
      <c r="E848" t="n">
        <v>1</v>
      </c>
      <c r="F848" t="n">
        <v>12</v>
      </c>
      <c r="G848" t="n">
        <v>0</v>
      </c>
      <c r="H848">
        <f>E848*F848*(1-G848)</f>
        <v/>
      </c>
      <c r="I848">
        <f>XLOOKUP(D848,Products!$A$2:$A$15,Products!$B$2:$B$15,"Not found")</f>
        <v/>
      </c>
    </row>
    <row r="849">
      <c r="A849" t="n">
        <v>105168</v>
      </c>
      <c r="B849" s="1" t="n">
        <v>45719</v>
      </c>
      <c r="C849" t="inlineStr">
        <is>
          <t>S02</t>
        </is>
      </c>
      <c r="D849" t="inlineStr">
        <is>
          <t>P103</t>
        </is>
      </c>
      <c r="E849" t="n">
        <v>3</v>
      </c>
      <c r="F849" t="n">
        <v>29</v>
      </c>
      <c r="G849" t="n">
        <v>0</v>
      </c>
      <c r="H849">
        <f>E849*F849*(1-G849)</f>
        <v/>
      </c>
      <c r="I849">
        <f>XLOOKUP(D849,Products!$A$2:$A$15,Products!$B$2:$B$15,"Not found")</f>
        <v/>
      </c>
    </row>
    <row r="850">
      <c r="A850" t="n">
        <v>105169</v>
      </c>
      <c r="B850" s="1" t="n">
        <v>45719</v>
      </c>
      <c r="C850" t="inlineStr">
        <is>
          <t>S02</t>
        </is>
      </c>
      <c r="D850" t="inlineStr">
        <is>
          <t>P102</t>
        </is>
      </c>
      <c r="E850" t="n">
        <v>4</v>
      </c>
      <c r="F850" t="n">
        <v>14.5</v>
      </c>
      <c r="G850" t="n">
        <v>0</v>
      </c>
      <c r="H850">
        <f>E850*F850*(1-G850)</f>
        <v/>
      </c>
      <c r="I850">
        <f>XLOOKUP(D850,Products!$A$2:$A$15,Products!$B$2:$B$15,"Not found")</f>
        <v/>
      </c>
    </row>
    <row r="851">
      <c r="A851" t="n">
        <v>105170</v>
      </c>
      <c r="B851" s="1" t="n">
        <v>45719</v>
      </c>
      <c r="C851" t="inlineStr">
        <is>
          <t>S02</t>
        </is>
      </c>
      <c r="D851" t="inlineStr">
        <is>
          <t>P202</t>
        </is>
      </c>
      <c r="E851" t="n">
        <v>1</v>
      </c>
      <c r="F851" t="n">
        <v>79</v>
      </c>
      <c r="G851" t="n">
        <v>0.15</v>
      </c>
      <c r="H851">
        <f>E851*F851*(1-G851)</f>
        <v/>
      </c>
      <c r="I851">
        <f>XLOOKUP(D851,Products!$A$2:$A$15,Products!$B$2:$B$15,"Not found")</f>
        <v/>
      </c>
    </row>
    <row r="852">
      <c r="A852" t="n">
        <v>105171</v>
      </c>
      <c r="B852" s="1" t="n">
        <v>45719</v>
      </c>
      <c r="C852" t="inlineStr">
        <is>
          <t>S03</t>
        </is>
      </c>
      <c r="D852" t="inlineStr">
        <is>
          <t>P301</t>
        </is>
      </c>
      <c r="E852" t="n">
        <v>1</v>
      </c>
      <c r="F852" t="n">
        <v>119</v>
      </c>
      <c r="G852" t="n">
        <v>0</v>
      </c>
      <c r="H852">
        <f>E852*F852*(1-G852)</f>
        <v/>
      </c>
      <c r="I852">
        <f>XLOOKUP(D852,Products!$A$2:$A$15,Products!$B$2:$B$15,"Not found")</f>
        <v/>
      </c>
    </row>
    <row r="853">
      <c r="A853" t="n">
        <v>105172</v>
      </c>
      <c r="B853" s="1" t="n">
        <v>45719</v>
      </c>
      <c r="C853" t="inlineStr">
        <is>
          <t>S03</t>
        </is>
      </c>
      <c r="D853" t="inlineStr">
        <is>
          <t>P403</t>
        </is>
      </c>
      <c r="E853" t="n">
        <v>2</v>
      </c>
      <c r="F853" t="n">
        <v>89</v>
      </c>
      <c r="G853" t="n">
        <v>0</v>
      </c>
      <c r="H853">
        <f>E853*F853*(1-G853)</f>
        <v/>
      </c>
      <c r="I853">
        <f>XLOOKUP(D853,Products!$A$2:$A$15,Products!$B$2:$B$15,"Not found")</f>
        <v/>
      </c>
    </row>
    <row r="854">
      <c r="A854" t="n">
        <v>105173</v>
      </c>
      <c r="B854" s="1" t="n">
        <v>45719</v>
      </c>
      <c r="C854" t="inlineStr">
        <is>
          <t>S04</t>
        </is>
      </c>
      <c r="D854" t="inlineStr">
        <is>
          <t>P101</t>
        </is>
      </c>
      <c r="E854" t="n">
        <v>2</v>
      </c>
      <c r="F854" t="n">
        <v>39</v>
      </c>
      <c r="G854" t="n">
        <v>0.1</v>
      </c>
      <c r="H854">
        <f>E854*F854*(1-G854)</f>
        <v/>
      </c>
      <c r="I854">
        <f>XLOOKUP(D854,Products!$A$2:$A$15,Products!$B$2:$B$15,"Not found")</f>
        <v/>
      </c>
    </row>
    <row r="855">
      <c r="A855" t="n">
        <v>105174</v>
      </c>
      <c r="B855" s="1" t="n">
        <v>45719</v>
      </c>
      <c r="C855" t="inlineStr">
        <is>
          <t>S06</t>
        </is>
      </c>
      <c r="D855" t="inlineStr">
        <is>
          <t>P102</t>
        </is>
      </c>
      <c r="E855" t="n">
        <v>3</v>
      </c>
      <c r="F855" t="n">
        <v>14.5</v>
      </c>
      <c r="G855" t="n">
        <v>0</v>
      </c>
      <c r="H855">
        <f>E855*F855*(1-G855)</f>
        <v/>
      </c>
      <c r="I855">
        <f>XLOOKUP(D855,Products!$A$2:$A$15,Products!$B$2:$B$15,"Not found")</f>
        <v/>
      </c>
    </row>
    <row r="856">
      <c r="A856" t="n">
        <v>105175</v>
      </c>
      <c r="B856" s="1" t="n">
        <v>45720</v>
      </c>
      <c r="C856" t="inlineStr">
        <is>
          <t>S01</t>
        </is>
      </c>
      <c r="D856" t="inlineStr">
        <is>
          <t>P202</t>
        </is>
      </c>
      <c r="E856" t="n">
        <v>4</v>
      </c>
      <c r="F856" t="n">
        <v>79</v>
      </c>
      <c r="G856" t="n">
        <v>0.1</v>
      </c>
      <c r="H856">
        <f>E856*F856*(1-G856)</f>
        <v/>
      </c>
      <c r="I856">
        <f>XLOOKUP(D856,Products!$A$2:$A$15,Products!$B$2:$B$15,"Not found")</f>
        <v/>
      </c>
    </row>
    <row r="857">
      <c r="A857" t="n">
        <v>105176</v>
      </c>
      <c r="B857" s="1" t="n">
        <v>45720</v>
      </c>
      <c r="C857" t="inlineStr">
        <is>
          <t>S01</t>
        </is>
      </c>
      <c r="D857" t="inlineStr">
        <is>
          <t>P102</t>
        </is>
      </c>
      <c r="E857" t="n">
        <v>1</v>
      </c>
      <c r="F857" t="n">
        <v>14.5</v>
      </c>
      <c r="G857" t="n">
        <v>0</v>
      </c>
      <c r="H857">
        <f>E857*F857*(1-G857)</f>
        <v/>
      </c>
      <c r="I857">
        <f>XLOOKUP(D857,Products!$A$2:$A$15,Products!$B$2:$B$15,"Not found")</f>
        <v/>
      </c>
    </row>
    <row r="858">
      <c r="A858" t="n">
        <v>105177</v>
      </c>
      <c r="B858" s="1" t="n">
        <v>45720</v>
      </c>
      <c r="C858" t="inlineStr">
        <is>
          <t>S01</t>
        </is>
      </c>
      <c r="D858" t="inlineStr">
        <is>
          <t>P303</t>
        </is>
      </c>
      <c r="E858" t="n">
        <v>1</v>
      </c>
      <c r="F858" t="n">
        <v>12</v>
      </c>
      <c r="G858" t="n">
        <v>0.2</v>
      </c>
      <c r="H858">
        <f>E858*F858*(1-G858)</f>
        <v/>
      </c>
      <c r="I858">
        <f>XLOOKUP(D858,Products!$A$2:$A$15,Products!$B$2:$B$15,"Not found")</f>
        <v/>
      </c>
    </row>
    <row r="859">
      <c r="A859" t="n">
        <v>105178</v>
      </c>
      <c r="B859" s="1" t="n">
        <v>45720</v>
      </c>
      <c r="C859" t="inlineStr">
        <is>
          <t>S01</t>
        </is>
      </c>
      <c r="D859" t="inlineStr">
        <is>
          <t>P101</t>
        </is>
      </c>
      <c r="E859" t="n">
        <v>2</v>
      </c>
      <c r="F859" t="n">
        <v>39</v>
      </c>
      <c r="G859" t="n">
        <v>0.2</v>
      </c>
      <c r="H859">
        <f>E859*F859*(1-G859)</f>
        <v/>
      </c>
      <c r="I859">
        <f>XLOOKUP(D859,Products!$A$2:$A$15,Products!$B$2:$B$15,"Not found")</f>
        <v/>
      </c>
    </row>
    <row r="860">
      <c r="A860" t="n">
        <v>105179</v>
      </c>
      <c r="B860" s="1" t="n">
        <v>45720</v>
      </c>
      <c r="C860" t="inlineStr">
        <is>
          <t>S02</t>
        </is>
      </c>
      <c r="D860" t="inlineStr">
        <is>
          <t>P101</t>
        </is>
      </c>
      <c r="E860" t="n">
        <v>2</v>
      </c>
      <c r="F860" t="n">
        <v>39</v>
      </c>
      <c r="G860" t="n">
        <v>0.2</v>
      </c>
      <c r="H860">
        <f>E860*F860*(1-G860)</f>
        <v/>
      </c>
      <c r="I860">
        <f>XLOOKUP(D860,Products!$A$2:$A$15,Products!$B$2:$B$15,"Not found")</f>
        <v/>
      </c>
    </row>
    <row r="861">
      <c r="A861" t="n">
        <v>105180</v>
      </c>
      <c r="B861" s="1" t="n">
        <v>45720</v>
      </c>
      <c r="C861" t="inlineStr">
        <is>
          <t>S03</t>
        </is>
      </c>
      <c r="D861" t="inlineStr">
        <is>
          <t>P103</t>
        </is>
      </c>
      <c r="E861" t="n">
        <v>2</v>
      </c>
      <c r="F861" t="n">
        <v>29</v>
      </c>
      <c r="G861" t="n">
        <v>0</v>
      </c>
      <c r="H861">
        <f>E861*F861*(1-G861)</f>
        <v/>
      </c>
      <c r="I861">
        <f>XLOOKUP(D861,Products!$A$2:$A$15,Products!$B$2:$B$15,"Not found")</f>
        <v/>
      </c>
    </row>
    <row r="862">
      <c r="A862" t="n">
        <v>105181</v>
      </c>
      <c r="B862" s="1" t="n">
        <v>45720</v>
      </c>
      <c r="C862" t="inlineStr">
        <is>
          <t>S03</t>
        </is>
      </c>
      <c r="D862" t="inlineStr">
        <is>
          <t>P104</t>
        </is>
      </c>
      <c r="E862" t="n">
        <v>1</v>
      </c>
      <c r="F862" t="n">
        <v>189</v>
      </c>
      <c r="G862" t="n">
        <v>0</v>
      </c>
      <c r="H862">
        <f>E862*F862*(1-G862)</f>
        <v/>
      </c>
      <c r="I862">
        <f>XLOOKUP(D862,Products!$A$2:$A$15,Products!$B$2:$B$15,"Not found")</f>
        <v/>
      </c>
    </row>
    <row r="863">
      <c r="A863" t="n">
        <v>105182</v>
      </c>
      <c r="B863" s="1" t="n">
        <v>45720</v>
      </c>
      <c r="C863" t="inlineStr">
        <is>
          <t>S04</t>
        </is>
      </c>
      <c r="D863" t="inlineStr">
        <is>
          <t>P204</t>
        </is>
      </c>
      <c r="E863" t="n">
        <v>1</v>
      </c>
      <c r="F863" t="n">
        <v>229</v>
      </c>
      <c r="G863" t="n">
        <v>0.1</v>
      </c>
      <c r="H863">
        <f>E863*F863*(1-G863)</f>
        <v/>
      </c>
      <c r="I863">
        <f>XLOOKUP(D863,Products!$A$2:$A$15,Products!$B$2:$B$15,"Not found")</f>
        <v/>
      </c>
    </row>
    <row r="864">
      <c r="A864" t="n">
        <v>105183</v>
      </c>
      <c r="B864" s="1" t="n">
        <v>45720</v>
      </c>
      <c r="C864" t="inlineStr">
        <is>
          <t>S05</t>
        </is>
      </c>
      <c r="D864" t="inlineStr">
        <is>
          <t>P301</t>
        </is>
      </c>
      <c r="E864" t="n">
        <v>1</v>
      </c>
      <c r="F864" t="n">
        <v>119</v>
      </c>
      <c r="G864" t="n">
        <v>0.2</v>
      </c>
      <c r="H864">
        <f>E864*F864*(1-G864)</f>
        <v/>
      </c>
      <c r="I864">
        <f>XLOOKUP(D864,Products!$A$2:$A$15,Products!$B$2:$B$15,"Not found")</f>
        <v/>
      </c>
    </row>
    <row r="865">
      <c r="A865" t="n">
        <v>105184</v>
      </c>
      <c r="B865" s="1" t="n">
        <v>45721</v>
      </c>
      <c r="C865" t="inlineStr">
        <is>
          <t>S01</t>
        </is>
      </c>
      <c r="D865" t="inlineStr">
        <is>
          <t>P102</t>
        </is>
      </c>
      <c r="E865" t="n">
        <v>1</v>
      </c>
      <c r="F865" t="n">
        <v>14.5</v>
      </c>
      <c r="G865" t="n">
        <v>0.15</v>
      </c>
      <c r="H865">
        <f>E865*F865*(1-G865)</f>
        <v/>
      </c>
      <c r="I865">
        <f>XLOOKUP(D865,Products!$A$2:$A$15,Products!$B$2:$B$15,"Not found")</f>
        <v/>
      </c>
    </row>
    <row r="866">
      <c r="A866" t="n">
        <v>105185</v>
      </c>
      <c r="B866" s="1" t="n">
        <v>45721</v>
      </c>
      <c r="C866" t="inlineStr">
        <is>
          <t>S02</t>
        </is>
      </c>
      <c r="D866" t="inlineStr">
        <is>
          <t>P303</t>
        </is>
      </c>
      <c r="E866" t="n">
        <v>2</v>
      </c>
      <c r="F866" t="n">
        <v>12</v>
      </c>
      <c r="G866" t="n">
        <v>0.2</v>
      </c>
      <c r="H866">
        <f>E866*F866*(1-G866)</f>
        <v/>
      </c>
      <c r="I866">
        <f>XLOOKUP(D866,Products!$A$2:$A$15,Products!$B$2:$B$15,"Not found")</f>
        <v/>
      </c>
    </row>
    <row r="867">
      <c r="A867" t="n">
        <v>105186</v>
      </c>
      <c r="B867" s="1" t="n">
        <v>45721</v>
      </c>
      <c r="C867" t="inlineStr">
        <is>
          <t>S02</t>
        </is>
      </c>
      <c r="D867" t="inlineStr">
        <is>
          <t>P201</t>
        </is>
      </c>
      <c r="E867" t="n">
        <v>1</v>
      </c>
      <c r="F867" t="n">
        <v>149</v>
      </c>
      <c r="G867" t="n">
        <v>0</v>
      </c>
      <c r="H867">
        <f>E867*F867*(1-G867)</f>
        <v/>
      </c>
      <c r="I867">
        <f>XLOOKUP(D867,Products!$A$2:$A$15,Products!$B$2:$B$15,"Not found")</f>
        <v/>
      </c>
    </row>
    <row r="868">
      <c r="A868" t="n">
        <v>105187</v>
      </c>
      <c r="B868" s="1" t="n">
        <v>45721</v>
      </c>
      <c r="C868" t="inlineStr">
        <is>
          <t>S02</t>
        </is>
      </c>
      <c r="D868" t="inlineStr">
        <is>
          <t>P103</t>
        </is>
      </c>
      <c r="E868" t="n">
        <v>2</v>
      </c>
      <c r="F868" t="n">
        <v>29</v>
      </c>
      <c r="G868" t="n">
        <v>0</v>
      </c>
      <c r="H868">
        <f>E868*F868*(1-G868)</f>
        <v/>
      </c>
      <c r="I868">
        <f>XLOOKUP(D868,Products!$A$2:$A$15,Products!$B$2:$B$15,"Not found")</f>
        <v/>
      </c>
    </row>
    <row r="869">
      <c r="A869" t="n">
        <v>105188</v>
      </c>
      <c r="B869" s="1" t="n">
        <v>45721</v>
      </c>
      <c r="C869" t="inlineStr">
        <is>
          <t>S02</t>
        </is>
      </c>
      <c r="D869" t="inlineStr">
        <is>
          <t>P203</t>
        </is>
      </c>
      <c r="E869" t="n">
        <v>1</v>
      </c>
      <c r="F869" t="n">
        <v>19.5</v>
      </c>
      <c r="G869" t="n">
        <v>0.2</v>
      </c>
      <c r="H869">
        <f>E869*F869*(1-G869)</f>
        <v/>
      </c>
      <c r="I869">
        <f>XLOOKUP(D869,Products!$A$2:$A$15,Products!$B$2:$B$15,"Not found")</f>
        <v/>
      </c>
    </row>
    <row r="870">
      <c r="A870" t="n">
        <v>105189</v>
      </c>
      <c r="B870" s="1" t="n">
        <v>45721</v>
      </c>
      <c r="C870" t="inlineStr">
        <is>
          <t>S02</t>
        </is>
      </c>
      <c r="D870" t="inlineStr">
        <is>
          <t>P203</t>
        </is>
      </c>
      <c r="E870" t="n">
        <v>2</v>
      </c>
      <c r="F870" t="n">
        <v>19.5</v>
      </c>
      <c r="G870" t="n">
        <v>0</v>
      </c>
      <c r="H870">
        <f>E870*F870*(1-G870)</f>
        <v/>
      </c>
      <c r="I870">
        <f>XLOOKUP(D870,Products!$A$2:$A$15,Products!$B$2:$B$15,"Not found")</f>
        <v/>
      </c>
    </row>
    <row r="871">
      <c r="A871" t="n">
        <v>105190</v>
      </c>
      <c r="B871" s="1" t="n">
        <v>45721</v>
      </c>
      <c r="C871" t="inlineStr">
        <is>
          <t>S02</t>
        </is>
      </c>
      <c r="D871" t="inlineStr">
        <is>
          <t>P301</t>
        </is>
      </c>
      <c r="E871" t="n">
        <v>1</v>
      </c>
      <c r="F871" t="n">
        <v>119</v>
      </c>
      <c r="G871" t="n">
        <v>0</v>
      </c>
      <c r="H871">
        <f>E871*F871*(1-G871)</f>
        <v/>
      </c>
      <c r="I871">
        <f>XLOOKUP(D871,Products!$A$2:$A$15,Products!$B$2:$B$15,"Not found")</f>
        <v/>
      </c>
    </row>
    <row r="872">
      <c r="A872" t="n">
        <v>105191</v>
      </c>
      <c r="B872" s="1" t="n">
        <v>45721</v>
      </c>
      <c r="C872" t="inlineStr">
        <is>
          <t>S03</t>
        </is>
      </c>
      <c r="D872" t="inlineStr">
        <is>
          <t>P303</t>
        </is>
      </c>
      <c r="E872" t="n">
        <v>1</v>
      </c>
      <c r="F872" t="n">
        <v>12</v>
      </c>
      <c r="G872" t="n">
        <v>0</v>
      </c>
      <c r="H872">
        <f>E872*F872*(1-G872)</f>
        <v/>
      </c>
      <c r="I872">
        <f>XLOOKUP(D872,Products!$A$2:$A$15,Products!$B$2:$B$15,"Not found")</f>
        <v/>
      </c>
    </row>
    <row r="873">
      <c r="A873" t="n">
        <v>105192</v>
      </c>
      <c r="B873" s="1" t="n">
        <v>45721</v>
      </c>
      <c r="C873" t="inlineStr">
        <is>
          <t>S03</t>
        </is>
      </c>
      <c r="D873" t="inlineStr">
        <is>
          <t>P403</t>
        </is>
      </c>
      <c r="E873" t="n">
        <v>3</v>
      </c>
      <c r="F873" t="n">
        <v>89</v>
      </c>
      <c r="G873" t="n">
        <v>0</v>
      </c>
      <c r="H873">
        <f>E873*F873*(1-G873)</f>
        <v/>
      </c>
      <c r="I873">
        <f>XLOOKUP(D873,Products!$A$2:$A$15,Products!$B$2:$B$15,"Not found")</f>
        <v/>
      </c>
    </row>
    <row r="874">
      <c r="A874" t="n">
        <v>105193</v>
      </c>
      <c r="B874" s="1" t="n">
        <v>45721</v>
      </c>
      <c r="C874" t="inlineStr">
        <is>
          <t>S03</t>
        </is>
      </c>
      <c r="D874" t="inlineStr">
        <is>
          <t>P102</t>
        </is>
      </c>
      <c r="E874" t="n">
        <v>1</v>
      </c>
      <c r="F874" t="n">
        <v>14.5</v>
      </c>
      <c r="G874" t="n">
        <v>0.15</v>
      </c>
      <c r="H874">
        <f>E874*F874*(1-G874)</f>
        <v/>
      </c>
      <c r="I874">
        <f>XLOOKUP(D874,Products!$A$2:$A$15,Products!$B$2:$B$15,"Not found")</f>
        <v/>
      </c>
    </row>
    <row r="875">
      <c r="A875" t="n">
        <v>105194</v>
      </c>
      <c r="B875" s="1" t="n">
        <v>45721</v>
      </c>
      <c r="C875" t="inlineStr">
        <is>
          <t>S04</t>
        </is>
      </c>
      <c r="D875" t="inlineStr">
        <is>
          <t>P302</t>
        </is>
      </c>
      <c r="E875" t="n">
        <v>1</v>
      </c>
      <c r="F875" t="n">
        <v>24</v>
      </c>
      <c r="G875" t="n">
        <v>0</v>
      </c>
      <c r="H875">
        <f>E875*F875*(1-G875)</f>
        <v/>
      </c>
      <c r="I875">
        <f>XLOOKUP(D875,Products!$A$2:$A$15,Products!$B$2:$B$15,"Not found")</f>
        <v/>
      </c>
    </row>
    <row r="876">
      <c r="A876" t="n">
        <v>105195</v>
      </c>
      <c r="B876" s="1" t="n">
        <v>45721</v>
      </c>
      <c r="C876" t="inlineStr">
        <is>
          <t>S04</t>
        </is>
      </c>
      <c r="D876" t="inlineStr">
        <is>
          <t>P102</t>
        </is>
      </c>
      <c r="E876" t="n">
        <v>3</v>
      </c>
      <c r="F876" t="n">
        <v>14.5</v>
      </c>
      <c r="G876" t="n">
        <v>0.1</v>
      </c>
      <c r="H876">
        <f>E876*F876*(1-G876)</f>
        <v/>
      </c>
      <c r="I876">
        <f>XLOOKUP(D876,Products!$A$2:$A$15,Products!$B$2:$B$15,"Not found")</f>
        <v/>
      </c>
    </row>
    <row r="877">
      <c r="A877" t="n">
        <v>105196</v>
      </c>
      <c r="B877" s="1" t="n">
        <v>45721</v>
      </c>
      <c r="C877" t="inlineStr">
        <is>
          <t>S04</t>
        </is>
      </c>
      <c r="D877" t="inlineStr">
        <is>
          <t>P203</t>
        </is>
      </c>
      <c r="E877" t="n">
        <v>2</v>
      </c>
      <c r="F877" t="n">
        <v>19.5</v>
      </c>
      <c r="G877" t="n">
        <v>0</v>
      </c>
      <c r="H877">
        <f>E877*F877*(1-G877)</f>
        <v/>
      </c>
      <c r="I877">
        <f>XLOOKUP(D877,Products!$A$2:$A$15,Products!$B$2:$B$15,"Not found")</f>
        <v/>
      </c>
    </row>
    <row r="878">
      <c r="A878" t="n">
        <v>105197</v>
      </c>
      <c r="B878" s="1" t="n">
        <v>45721</v>
      </c>
      <c r="C878" t="inlineStr">
        <is>
          <t>S06</t>
        </is>
      </c>
      <c r="D878" t="inlineStr">
        <is>
          <t>P302</t>
        </is>
      </c>
      <c r="E878" t="n">
        <v>1</v>
      </c>
      <c r="F878" t="n">
        <v>24</v>
      </c>
      <c r="G878" t="n">
        <v>0</v>
      </c>
      <c r="H878">
        <f>E878*F878*(1-G878)</f>
        <v/>
      </c>
      <c r="I878">
        <f>XLOOKUP(D878,Products!$A$2:$A$15,Products!$B$2:$B$15,"Not found")</f>
        <v/>
      </c>
    </row>
    <row r="879">
      <c r="A879" t="n">
        <v>105198</v>
      </c>
      <c r="B879" s="1" t="n">
        <v>45722</v>
      </c>
      <c r="C879" t="inlineStr">
        <is>
          <t>S01</t>
        </is>
      </c>
      <c r="D879" t="inlineStr">
        <is>
          <t>P102</t>
        </is>
      </c>
      <c r="E879" t="n">
        <v>4</v>
      </c>
      <c r="F879" t="n">
        <v>14.5</v>
      </c>
      <c r="G879" t="n">
        <v>0</v>
      </c>
      <c r="H879">
        <f>E879*F879*(1-G879)</f>
        <v/>
      </c>
      <c r="I879">
        <f>XLOOKUP(D879,Products!$A$2:$A$15,Products!$B$2:$B$15,"Not found")</f>
        <v/>
      </c>
    </row>
    <row r="880">
      <c r="A880" t="n">
        <v>105199</v>
      </c>
      <c r="B880" s="1" t="n">
        <v>45722</v>
      </c>
      <c r="C880" t="inlineStr">
        <is>
          <t>S01</t>
        </is>
      </c>
      <c r="D880" t="inlineStr">
        <is>
          <t>P102</t>
        </is>
      </c>
      <c r="E880" t="n">
        <v>3</v>
      </c>
      <c r="F880" t="n">
        <v>14.5</v>
      </c>
      <c r="G880" t="n">
        <v>0.1</v>
      </c>
      <c r="H880">
        <f>E880*F880*(1-G880)</f>
        <v/>
      </c>
      <c r="I880">
        <f>XLOOKUP(D880,Products!$A$2:$A$15,Products!$B$2:$B$15,"Not found")</f>
        <v/>
      </c>
    </row>
    <row r="881">
      <c r="A881" t="n">
        <v>105200</v>
      </c>
      <c r="B881" s="1" t="n">
        <v>45722</v>
      </c>
      <c r="C881" t="inlineStr">
        <is>
          <t>S02</t>
        </is>
      </c>
      <c r="D881" t="inlineStr">
        <is>
          <t>P203</t>
        </is>
      </c>
      <c r="E881" t="n">
        <v>2</v>
      </c>
      <c r="F881" t="n">
        <v>19.5</v>
      </c>
      <c r="G881" t="n">
        <v>0.2</v>
      </c>
      <c r="H881">
        <f>E881*F881*(1-G881)</f>
        <v/>
      </c>
      <c r="I881">
        <f>XLOOKUP(D881,Products!$A$2:$A$15,Products!$B$2:$B$15,"Not found")</f>
        <v/>
      </c>
    </row>
    <row r="882">
      <c r="A882" t="n">
        <v>105201</v>
      </c>
      <c r="B882" s="1" t="n">
        <v>45722</v>
      </c>
      <c r="C882" t="inlineStr">
        <is>
          <t>S03</t>
        </is>
      </c>
      <c r="D882" t="inlineStr">
        <is>
          <t>P203</t>
        </is>
      </c>
      <c r="E882" t="n">
        <v>1</v>
      </c>
      <c r="F882" t="n">
        <v>19.5</v>
      </c>
      <c r="G882" t="n">
        <v>0.15</v>
      </c>
      <c r="H882">
        <f>E882*F882*(1-G882)</f>
        <v/>
      </c>
      <c r="I882">
        <f>XLOOKUP(D882,Products!$A$2:$A$15,Products!$B$2:$B$15,"Not found")</f>
        <v/>
      </c>
    </row>
    <row r="883">
      <c r="A883" t="n">
        <v>105202</v>
      </c>
      <c r="B883" s="1" t="n">
        <v>45722</v>
      </c>
      <c r="C883" t="inlineStr">
        <is>
          <t>S03</t>
        </is>
      </c>
      <c r="D883" t="inlineStr">
        <is>
          <t>P101</t>
        </is>
      </c>
      <c r="E883" t="n">
        <v>4</v>
      </c>
      <c r="F883" t="n">
        <v>39</v>
      </c>
      <c r="G883" t="n">
        <v>0</v>
      </c>
      <c r="H883">
        <f>E883*F883*(1-G883)</f>
        <v/>
      </c>
      <c r="I883">
        <f>XLOOKUP(D883,Products!$A$2:$A$15,Products!$B$2:$B$15,"Not found")</f>
        <v/>
      </c>
    </row>
    <row r="884">
      <c r="A884" t="n">
        <v>105203</v>
      </c>
      <c r="B884" s="1" t="n">
        <v>45722</v>
      </c>
      <c r="C884" t="inlineStr">
        <is>
          <t>S04</t>
        </is>
      </c>
      <c r="D884" t="inlineStr">
        <is>
          <t>P302</t>
        </is>
      </c>
      <c r="E884" t="n">
        <v>1</v>
      </c>
      <c r="F884" t="n">
        <v>24</v>
      </c>
      <c r="G884" t="n">
        <v>0.1</v>
      </c>
      <c r="H884">
        <f>E884*F884*(1-G884)</f>
        <v/>
      </c>
      <c r="I884">
        <f>XLOOKUP(D884,Products!$A$2:$A$15,Products!$B$2:$B$15,"Not found")</f>
        <v/>
      </c>
    </row>
    <row r="885">
      <c r="A885" t="n">
        <v>105204</v>
      </c>
      <c r="B885" s="1" t="n">
        <v>45722</v>
      </c>
      <c r="C885" t="inlineStr">
        <is>
          <t>S04</t>
        </is>
      </c>
      <c r="D885" t="inlineStr">
        <is>
          <t>P203</t>
        </is>
      </c>
      <c r="E885" t="n">
        <v>2</v>
      </c>
      <c r="F885" t="n">
        <v>19.5</v>
      </c>
      <c r="G885" t="n">
        <v>0</v>
      </c>
      <c r="H885">
        <f>E885*F885*(1-G885)</f>
        <v/>
      </c>
      <c r="I885">
        <f>XLOOKUP(D885,Products!$A$2:$A$15,Products!$B$2:$B$15,"Not found")</f>
        <v/>
      </c>
    </row>
    <row r="886">
      <c r="A886" t="n">
        <v>105205</v>
      </c>
      <c r="B886" s="1" t="n">
        <v>45722</v>
      </c>
      <c r="C886" t="inlineStr">
        <is>
          <t>S05</t>
        </is>
      </c>
      <c r="D886" t="inlineStr">
        <is>
          <t>P203</t>
        </is>
      </c>
      <c r="E886" t="n">
        <v>4</v>
      </c>
      <c r="F886" t="n">
        <v>19.5</v>
      </c>
      <c r="G886" t="n">
        <v>0</v>
      </c>
      <c r="H886">
        <f>E886*F886*(1-G886)</f>
        <v/>
      </c>
      <c r="I886">
        <f>XLOOKUP(D886,Products!$A$2:$A$15,Products!$B$2:$B$15,"Not found")</f>
        <v/>
      </c>
    </row>
    <row r="887">
      <c r="A887" t="n">
        <v>105206</v>
      </c>
      <c r="B887" s="1" t="n">
        <v>45722</v>
      </c>
      <c r="C887" t="inlineStr">
        <is>
          <t>S06</t>
        </is>
      </c>
      <c r="D887" t="inlineStr">
        <is>
          <t>P104</t>
        </is>
      </c>
      <c r="E887" t="n">
        <v>1</v>
      </c>
      <c r="F887" t="n">
        <v>189</v>
      </c>
      <c r="G887" t="n">
        <v>0.2</v>
      </c>
      <c r="H887">
        <f>E887*F887*(1-G887)</f>
        <v/>
      </c>
      <c r="I887">
        <f>XLOOKUP(D887,Products!$A$2:$A$15,Products!$B$2:$B$15,"Not found")</f>
        <v/>
      </c>
    </row>
    <row r="888">
      <c r="A888" t="n">
        <v>105207</v>
      </c>
      <c r="B888" s="1" t="n">
        <v>45723</v>
      </c>
      <c r="C888" t="inlineStr">
        <is>
          <t>S01</t>
        </is>
      </c>
      <c r="D888" t="inlineStr">
        <is>
          <t>P203</t>
        </is>
      </c>
      <c r="E888" t="n">
        <v>2</v>
      </c>
      <c r="F888" t="n">
        <v>19.5</v>
      </c>
      <c r="G888" t="n">
        <v>0</v>
      </c>
      <c r="H888">
        <f>E888*F888*(1-G888)</f>
        <v/>
      </c>
      <c r="I888">
        <f>XLOOKUP(D888,Products!$A$2:$A$15,Products!$B$2:$B$15,"Not found")</f>
        <v/>
      </c>
    </row>
    <row r="889">
      <c r="A889" t="n">
        <v>105208</v>
      </c>
      <c r="B889" s="1" t="n">
        <v>45723</v>
      </c>
      <c r="C889" t="inlineStr">
        <is>
          <t>S02</t>
        </is>
      </c>
      <c r="D889" t="inlineStr">
        <is>
          <t>P301</t>
        </is>
      </c>
      <c r="E889" t="n">
        <v>1</v>
      </c>
      <c r="F889" t="n">
        <v>119</v>
      </c>
      <c r="G889" t="n">
        <v>0.15</v>
      </c>
      <c r="H889">
        <f>E889*F889*(1-G889)</f>
        <v/>
      </c>
      <c r="I889">
        <f>XLOOKUP(D889,Products!$A$2:$A$15,Products!$B$2:$B$15,"Not found")</f>
        <v/>
      </c>
    </row>
    <row r="890">
      <c r="A890" t="n">
        <v>105209</v>
      </c>
      <c r="B890" s="1" t="n">
        <v>45723</v>
      </c>
      <c r="C890" t="inlineStr">
        <is>
          <t>S02</t>
        </is>
      </c>
      <c r="D890" t="inlineStr">
        <is>
          <t>P201</t>
        </is>
      </c>
      <c r="E890" t="n">
        <v>1</v>
      </c>
      <c r="F890" t="n">
        <v>149</v>
      </c>
      <c r="G890" t="n">
        <v>0</v>
      </c>
      <c r="H890">
        <f>E890*F890*(1-G890)</f>
        <v/>
      </c>
      <c r="I890">
        <f>XLOOKUP(D890,Products!$A$2:$A$15,Products!$B$2:$B$15,"Not found")</f>
        <v/>
      </c>
    </row>
    <row r="891">
      <c r="A891" t="n">
        <v>105210</v>
      </c>
      <c r="B891" s="1" t="n">
        <v>45723</v>
      </c>
      <c r="C891" t="inlineStr">
        <is>
          <t>S02</t>
        </is>
      </c>
      <c r="D891" t="inlineStr">
        <is>
          <t>P102</t>
        </is>
      </c>
      <c r="E891" t="n">
        <v>4</v>
      </c>
      <c r="F891" t="n">
        <v>14.5</v>
      </c>
      <c r="G891" t="n">
        <v>0.15</v>
      </c>
      <c r="H891">
        <f>E891*F891*(1-G891)</f>
        <v/>
      </c>
      <c r="I891">
        <f>XLOOKUP(D891,Products!$A$2:$A$15,Products!$B$2:$B$15,"Not found")</f>
        <v/>
      </c>
    </row>
    <row r="892">
      <c r="A892" t="n">
        <v>105211</v>
      </c>
      <c r="B892" s="1" t="n">
        <v>45723</v>
      </c>
      <c r="C892" t="inlineStr">
        <is>
          <t>S02</t>
        </is>
      </c>
      <c r="D892" t="inlineStr">
        <is>
          <t>P101</t>
        </is>
      </c>
      <c r="E892" t="n">
        <v>2</v>
      </c>
      <c r="F892" t="n">
        <v>39</v>
      </c>
      <c r="G892" t="n">
        <v>0</v>
      </c>
      <c r="H892">
        <f>E892*F892*(1-G892)</f>
        <v/>
      </c>
      <c r="I892">
        <f>XLOOKUP(D892,Products!$A$2:$A$15,Products!$B$2:$B$15,"Not found")</f>
        <v/>
      </c>
    </row>
    <row r="893">
      <c r="A893" t="n">
        <v>105212</v>
      </c>
      <c r="B893" s="1" t="n">
        <v>45723</v>
      </c>
      <c r="C893" t="inlineStr">
        <is>
          <t>S02</t>
        </is>
      </c>
      <c r="D893" t="inlineStr">
        <is>
          <t>P301</t>
        </is>
      </c>
      <c r="E893" t="n">
        <v>1</v>
      </c>
      <c r="F893" t="n">
        <v>119</v>
      </c>
      <c r="G893" t="n">
        <v>0</v>
      </c>
      <c r="H893">
        <f>E893*F893*(1-G893)</f>
        <v/>
      </c>
      <c r="I893">
        <f>XLOOKUP(D893,Products!$A$2:$A$15,Products!$B$2:$B$15,"Not found")</f>
        <v/>
      </c>
    </row>
    <row r="894">
      <c r="A894" t="n">
        <v>105213</v>
      </c>
      <c r="B894" s="1" t="n">
        <v>45723</v>
      </c>
      <c r="C894" t="inlineStr">
        <is>
          <t>S03</t>
        </is>
      </c>
      <c r="D894" t="inlineStr">
        <is>
          <t>P301</t>
        </is>
      </c>
      <c r="E894" t="n">
        <v>1</v>
      </c>
      <c r="F894" t="n">
        <v>119</v>
      </c>
      <c r="G894" t="n">
        <v>0</v>
      </c>
      <c r="H894">
        <f>E894*F894*(1-G894)</f>
        <v/>
      </c>
      <c r="I894">
        <f>XLOOKUP(D894,Products!$A$2:$A$15,Products!$B$2:$B$15,"Not found")</f>
        <v/>
      </c>
    </row>
    <row r="895">
      <c r="A895" t="n">
        <v>105214</v>
      </c>
      <c r="B895" s="1" t="n">
        <v>45723</v>
      </c>
      <c r="C895" t="inlineStr">
        <is>
          <t>S03</t>
        </is>
      </c>
      <c r="D895" t="inlineStr">
        <is>
          <t>P202</t>
        </is>
      </c>
      <c r="E895" t="n">
        <v>1</v>
      </c>
      <c r="F895" t="n">
        <v>79</v>
      </c>
      <c r="G895" t="n">
        <v>0.15</v>
      </c>
      <c r="H895">
        <f>E895*F895*(1-G895)</f>
        <v/>
      </c>
      <c r="I895">
        <f>XLOOKUP(D895,Products!$A$2:$A$15,Products!$B$2:$B$15,"Not found")</f>
        <v/>
      </c>
    </row>
    <row r="896">
      <c r="A896" t="n">
        <v>105215</v>
      </c>
      <c r="B896" s="1" t="n">
        <v>45723</v>
      </c>
      <c r="C896" t="inlineStr">
        <is>
          <t>S04</t>
        </is>
      </c>
      <c r="D896" t="inlineStr">
        <is>
          <t>P402</t>
        </is>
      </c>
      <c r="E896" t="n">
        <v>1</v>
      </c>
      <c r="F896" t="n">
        <v>699</v>
      </c>
      <c r="G896" t="n">
        <v>0.15</v>
      </c>
      <c r="H896">
        <f>E896*F896*(1-G896)</f>
        <v/>
      </c>
      <c r="I896">
        <f>XLOOKUP(D896,Products!$A$2:$A$15,Products!$B$2:$B$15,"Not found")</f>
        <v/>
      </c>
    </row>
    <row r="897">
      <c r="A897" t="n">
        <v>105216</v>
      </c>
      <c r="B897" s="1" t="n">
        <v>45723</v>
      </c>
      <c r="C897" t="inlineStr">
        <is>
          <t>S04</t>
        </is>
      </c>
      <c r="D897" t="inlineStr">
        <is>
          <t>P301</t>
        </is>
      </c>
      <c r="E897" t="n">
        <v>1</v>
      </c>
      <c r="F897" t="n">
        <v>119</v>
      </c>
      <c r="G897" t="n">
        <v>0</v>
      </c>
      <c r="H897">
        <f>E897*F897*(1-G897)</f>
        <v/>
      </c>
      <c r="I897">
        <f>XLOOKUP(D897,Products!$A$2:$A$15,Products!$B$2:$B$15,"Not found")</f>
        <v/>
      </c>
    </row>
    <row r="898">
      <c r="A898" t="n">
        <v>105217</v>
      </c>
      <c r="B898" s="1" t="n">
        <v>45723</v>
      </c>
      <c r="C898" t="inlineStr">
        <is>
          <t>S04</t>
        </is>
      </c>
      <c r="D898" t="inlineStr">
        <is>
          <t>P301</t>
        </is>
      </c>
      <c r="E898" t="n">
        <v>1</v>
      </c>
      <c r="F898" t="n">
        <v>119</v>
      </c>
      <c r="G898" t="n">
        <v>0</v>
      </c>
      <c r="H898">
        <f>E898*F898*(1-G898)</f>
        <v/>
      </c>
      <c r="I898">
        <f>XLOOKUP(D898,Products!$A$2:$A$15,Products!$B$2:$B$15,"Not found")</f>
        <v/>
      </c>
    </row>
    <row r="899">
      <c r="A899" t="n">
        <v>105218</v>
      </c>
      <c r="B899" s="1" t="n">
        <v>45723</v>
      </c>
      <c r="C899" t="inlineStr">
        <is>
          <t>S04</t>
        </is>
      </c>
      <c r="D899" t="inlineStr">
        <is>
          <t>P403</t>
        </is>
      </c>
      <c r="E899" t="n">
        <v>2</v>
      </c>
      <c r="F899" t="n">
        <v>89</v>
      </c>
      <c r="G899" t="n">
        <v>0</v>
      </c>
      <c r="H899">
        <f>E899*F899*(1-G899)</f>
        <v/>
      </c>
      <c r="I899">
        <f>XLOOKUP(D899,Products!$A$2:$A$15,Products!$B$2:$B$15,"Not found")</f>
        <v/>
      </c>
    </row>
    <row r="900">
      <c r="A900" t="n">
        <v>105219</v>
      </c>
      <c r="B900" s="1" t="n">
        <v>45723</v>
      </c>
      <c r="C900" t="inlineStr">
        <is>
          <t>S05</t>
        </is>
      </c>
      <c r="D900" t="inlineStr">
        <is>
          <t>P101</t>
        </is>
      </c>
      <c r="E900" t="n">
        <v>1</v>
      </c>
      <c r="F900" t="n">
        <v>39</v>
      </c>
      <c r="G900" t="n">
        <v>0</v>
      </c>
      <c r="H900">
        <f>E900*F900*(1-G900)</f>
        <v/>
      </c>
      <c r="I900">
        <f>XLOOKUP(D900,Products!$A$2:$A$15,Products!$B$2:$B$15,"Not found")</f>
        <v/>
      </c>
    </row>
    <row r="901">
      <c r="A901" t="n">
        <v>105220</v>
      </c>
      <c r="B901" s="1" t="n">
        <v>45723</v>
      </c>
      <c r="C901" t="inlineStr">
        <is>
          <t>S05</t>
        </is>
      </c>
      <c r="D901" t="inlineStr">
        <is>
          <t>P203</t>
        </is>
      </c>
      <c r="E901" t="n">
        <v>1</v>
      </c>
      <c r="F901" t="n">
        <v>19.5</v>
      </c>
      <c r="G901" t="n">
        <v>0</v>
      </c>
      <c r="H901">
        <f>E901*F901*(1-G901)</f>
        <v/>
      </c>
      <c r="I901">
        <f>XLOOKUP(D901,Products!$A$2:$A$15,Products!$B$2:$B$15,"Not found")</f>
        <v/>
      </c>
    </row>
    <row r="902">
      <c r="A902" t="n">
        <v>105221</v>
      </c>
      <c r="B902" s="1" t="n">
        <v>45723</v>
      </c>
      <c r="C902" t="inlineStr">
        <is>
          <t>S05</t>
        </is>
      </c>
      <c r="D902" t="inlineStr">
        <is>
          <t>P303</t>
        </is>
      </c>
      <c r="E902" t="n">
        <v>2</v>
      </c>
      <c r="F902" t="n">
        <v>12</v>
      </c>
      <c r="G902" t="n">
        <v>0</v>
      </c>
      <c r="H902">
        <f>E902*F902*(1-G902)</f>
        <v/>
      </c>
      <c r="I902">
        <f>XLOOKUP(D902,Products!$A$2:$A$15,Products!$B$2:$B$15,"Not found")</f>
        <v/>
      </c>
    </row>
    <row r="903">
      <c r="A903" t="n">
        <v>105222</v>
      </c>
      <c r="B903" s="1" t="n">
        <v>45723</v>
      </c>
      <c r="C903" t="inlineStr">
        <is>
          <t>S05</t>
        </is>
      </c>
      <c r="D903" t="inlineStr">
        <is>
          <t>P302</t>
        </is>
      </c>
      <c r="E903" t="n">
        <v>4</v>
      </c>
      <c r="F903" t="n">
        <v>24</v>
      </c>
      <c r="G903" t="n">
        <v>0</v>
      </c>
      <c r="H903">
        <f>E903*F903*(1-G903)</f>
        <v/>
      </c>
      <c r="I903">
        <f>XLOOKUP(D903,Products!$A$2:$A$15,Products!$B$2:$B$15,"Not found")</f>
        <v/>
      </c>
    </row>
    <row r="904">
      <c r="A904" t="n">
        <v>105223</v>
      </c>
      <c r="B904" s="1" t="n">
        <v>45724</v>
      </c>
      <c r="C904" t="inlineStr">
        <is>
          <t>S01</t>
        </is>
      </c>
      <c r="D904" t="inlineStr">
        <is>
          <t>P201</t>
        </is>
      </c>
      <c r="E904" t="n">
        <v>1</v>
      </c>
      <c r="F904" t="n">
        <v>149</v>
      </c>
      <c r="G904" t="n">
        <v>0</v>
      </c>
      <c r="H904">
        <f>E904*F904*(1-G904)</f>
        <v/>
      </c>
      <c r="I904">
        <f>XLOOKUP(D904,Products!$A$2:$A$15,Products!$B$2:$B$15,"Not found")</f>
        <v/>
      </c>
    </row>
    <row r="905">
      <c r="A905" t="n">
        <v>105224</v>
      </c>
      <c r="B905" s="1" t="n">
        <v>45724</v>
      </c>
      <c r="C905" t="inlineStr">
        <is>
          <t>S01</t>
        </is>
      </c>
      <c r="D905" t="inlineStr">
        <is>
          <t>P103</t>
        </is>
      </c>
      <c r="E905" t="n">
        <v>3</v>
      </c>
      <c r="F905" t="n">
        <v>29</v>
      </c>
      <c r="G905" t="n">
        <v>0</v>
      </c>
      <c r="H905">
        <f>E905*F905*(1-G905)</f>
        <v/>
      </c>
      <c r="I905">
        <f>XLOOKUP(D905,Products!$A$2:$A$15,Products!$B$2:$B$15,"Not found")</f>
        <v/>
      </c>
    </row>
    <row r="906">
      <c r="A906" t="n">
        <v>105225</v>
      </c>
      <c r="B906" s="1" t="n">
        <v>45724</v>
      </c>
      <c r="C906" t="inlineStr">
        <is>
          <t>S01</t>
        </is>
      </c>
      <c r="D906" t="inlineStr">
        <is>
          <t>P201</t>
        </is>
      </c>
      <c r="E906" t="n">
        <v>1</v>
      </c>
      <c r="F906" t="n">
        <v>149</v>
      </c>
      <c r="G906" t="n">
        <v>0</v>
      </c>
      <c r="H906">
        <f>E906*F906*(1-G906)</f>
        <v/>
      </c>
      <c r="I906">
        <f>XLOOKUP(D906,Products!$A$2:$A$15,Products!$B$2:$B$15,"Not found")</f>
        <v/>
      </c>
    </row>
    <row r="907">
      <c r="A907" t="n">
        <v>105226</v>
      </c>
      <c r="B907" s="1" t="n">
        <v>45724</v>
      </c>
      <c r="C907" t="inlineStr">
        <is>
          <t>S01</t>
        </is>
      </c>
      <c r="D907" t="inlineStr">
        <is>
          <t>P203</t>
        </is>
      </c>
      <c r="E907" t="n">
        <v>1</v>
      </c>
      <c r="F907" t="n">
        <v>19.5</v>
      </c>
      <c r="G907" t="n">
        <v>0</v>
      </c>
      <c r="H907">
        <f>E907*F907*(1-G907)</f>
        <v/>
      </c>
      <c r="I907">
        <f>XLOOKUP(D907,Products!$A$2:$A$15,Products!$B$2:$B$15,"Not found")</f>
        <v/>
      </c>
    </row>
    <row r="908">
      <c r="A908" t="n">
        <v>105227</v>
      </c>
      <c r="B908" s="1" t="n">
        <v>45724</v>
      </c>
      <c r="C908" t="inlineStr">
        <is>
          <t>S02</t>
        </is>
      </c>
      <c r="D908" t="inlineStr">
        <is>
          <t>P101</t>
        </is>
      </c>
      <c r="E908" t="n">
        <v>1</v>
      </c>
      <c r="F908" t="n">
        <v>39</v>
      </c>
      <c r="G908" t="n">
        <v>0</v>
      </c>
      <c r="H908">
        <f>E908*F908*(1-G908)</f>
        <v/>
      </c>
      <c r="I908">
        <f>XLOOKUP(D908,Products!$A$2:$A$15,Products!$B$2:$B$15,"Not found")</f>
        <v/>
      </c>
    </row>
    <row r="909">
      <c r="A909" t="n">
        <v>105228</v>
      </c>
      <c r="B909" s="1" t="n">
        <v>45724</v>
      </c>
      <c r="C909" t="inlineStr">
        <is>
          <t>S02</t>
        </is>
      </c>
      <c r="D909" t="inlineStr">
        <is>
          <t>P204</t>
        </is>
      </c>
      <c r="E909" t="n">
        <v>1</v>
      </c>
      <c r="F909" t="n">
        <v>229</v>
      </c>
      <c r="G909" t="n">
        <v>0</v>
      </c>
      <c r="H909">
        <f>E909*F909*(1-G909)</f>
        <v/>
      </c>
      <c r="I909">
        <f>XLOOKUP(D909,Products!$A$2:$A$15,Products!$B$2:$B$15,"Not found")</f>
        <v/>
      </c>
    </row>
    <row r="910">
      <c r="A910" t="n">
        <v>105229</v>
      </c>
      <c r="B910" s="1" t="n">
        <v>45724</v>
      </c>
      <c r="C910" t="inlineStr">
        <is>
          <t>S02</t>
        </is>
      </c>
      <c r="D910" t="inlineStr">
        <is>
          <t>P104</t>
        </is>
      </c>
      <c r="E910" t="n">
        <v>1</v>
      </c>
      <c r="F910" t="n">
        <v>189</v>
      </c>
      <c r="G910" t="n">
        <v>0</v>
      </c>
      <c r="H910">
        <f>E910*F910*(1-G910)</f>
        <v/>
      </c>
      <c r="I910">
        <f>XLOOKUP(D910,Products!$A$2:$A$15,Products!$B$2:$B$15,"Not found")</f>
        <v/>
      </c>
    </row>
    <row r="911">
      <c r="A911" t="n">
        <v>105230</v>
      </c>
      <c r="B911" s="1" t="n">
        <v>45724</v>
      </c>
      <c r="C911" t="inlineStr">
        <is>
          <t>S03</t>
        </is>
      </c>
      <c r="D911" t="inlineStr">
        <is>
          <t>P103</t>
        </is>
      </c>
      <c r="E911" t="n">
        <v>4</v>
      </c>
      <c r="F911" t="n">
        <v>29</v>
      </c>
      <c r="G911" t="n">
        <v>0</v>
      </c>
      <c r="H911">
        <f>E911*F911*(1-G911)</f>
        <v/>
      </c>
      <c r="I911">
        <f>XLOOKUP(D911,Products!$A$2:$A$15,Products!$B$2:$B$15,"Not found")</f>
        <v/>
      </c>
    </row>
    <row r="912">
      <c r="A912" t="n">
        <v>105231</v>
      </c>
      <c r="B912" s="1" t="n">
        <v>45724</v>
      </c>
      <c r="C912" t="inlineStr">
        <is>
          <t>S04</t>
        </is>
      </c>
      <c r="D912" t="inlineStr">
        <is>
          <t>P101</t>
        </is>
      </c>
      <c r="E912" t="n">
        <v>2</v>
      </c>
      <c r="F912" t="n">
        <v>39</v>
      </c>
      <c r="G912" t="n">
        <v>0.15</v>
      </c>
      <c r="H912">
        <f>E912*F912*(1-G912)</f>
        <v/>
      </c>
      <c r="I912">
        <f>XLOOKUP(D912,Products!$A$2:$A$15,Products!$B$2:$B$15,"Not found")</f>
        <v/>
      </c>
    </row>
    <row r="913">
      <c r="A913" t="n">
        <v>105232</v>
      </c>
      <c r="B913" s="1" t="n">
        <v>45724</v>
      </c>
      <c r="C913" t="inlineStr">
        <is>
          <t>S05</t>
        </is>
      </c>
      <c r="D913" t="inlineStr">
        <is>
          <t>P202</t>
        </is>
      </c>
      <c r="E913" t="n">
        <v>1</v>
      </c>
      <c r="F913" t="n">
        <v>79</v>
      </c>
      <c r="G913" t="n">
        <v>0</v>
      </c>
      <c r="H913">
        <f>E913*F913*(1-G913)</f>
        <v/>
      </c>
      <c r="I913">
        <f>XLOOKUP(D913,Products!$A$2:$A$15,Products!$B$2:$B$15,"Not found")</f>
        <v/>
      </c>
    </row>
    <row r="914">
      <c r="A914" t="n">
        <v>105233</v>
      </c>
      <c r="B914" s="1" t="n">
        <v>45724</v>
      </c>
      <c r="C914" t="inlineStr">
        <is>
          <t>S06</t>
        </is>
      </c>
      <c r="D914" t="inlineStr">
        <is>
          <t>P301</t>
        </is>
      </c>
      <c r="E914" t="n">
        <v>1</v>
      </c>
      <c r="F914" t="n">
        <v>119</v>
      </c>
      <c r="G914" t="n">
        <v>0</v>
      </c>
      <c r="H914">
        <f>E914*F914*(1-G914)</f>
        <v/>
      </c>
      <c r="I914">
        <f>XLOOKUP(D914,Products!$A$2:$A$15,Products!$B$2:$B$15,"Not found")</f>
        <v/>
      </c>
    </row>
    <row r="915">
      <c r="A915" t="n">
        <v>105234</v>
      </c>
      <c r="B915" s="1" t="n">
        <v>45724</v>
      </c>
      <c r="C915" t="inlineStr">
        <is>
          <t>S06</t>
        </is>
      </c>
      <c r="D915" t="inlineStr">
        <is>
          <t>P104</t>
        </is>
      </c>
      <c r="E915" t="n">
        <v>1</v>
      </c>
      <c r="F915" t="n">
        <v>189</v>
      </c>
      <c r="G915" t="n">
        <v>0</v>
      </c>
      <c r="H915">
        <f>E915*F915*(1-G915)</f>
        <v/>
      </c>
      <c r="I915">
        <f>XLOOKUP(D915,Products!$A$2:$A$15,Products!$B$2:$B$15,"Not found")</f>
        <v/>
      </c>
    </row>
    <row r="916">
      <c r="A916" t="n">
        <v>105235</v>
      </c>
      <c r="B916" s="1" t="n">
        <v>45725</v>
      </c>
      <c r="C916" t="inlineStr">
        <is>
          <t>S01</t>
        </is>
      </c>
      <c r="D916" t="inlineStr">
        <is>
          <t>P102</t>
        </is>
      </c>
      <c r="E916" t="n">
        <v>1</v>
      </c>
      <c r="F916" t="n">
        <v>14.5</v>
      </c>
      <c r="G916" t="n">
        <v>0</v>
      </c>
      <c r="H916">
        <f>E916*F916*(1-G916)</f>
        <v/>
      </c>
      <c r="I916">
        <f>XLOOKUP(D916,Products!$A$2:$A$15,Products!$B$2:$B$15,"Not found")</f>
        <v/>
      </c>
    </row>
    <row r="917">
      <c r="A917" t="n">
        <v>105236</v>
      </c>
      <c r="B917" s="1" t="n">
        <v>45725</v>
      </c>
      <c r="C917" t="inlineStr">
        <is>
          <t>S01</t>
        </is>
      </c>
      <c r="D917" t="inlineStr">
        <is>
          <t>P101</t>
        </is>
      </c>
      <c r="E917" t="n">
        <v>2</v>
      </c>
      <c r="F917" t="n">
        <v>39</v>
      </c>
      <c r="G917" t="n">
        <v>0</v>
      </c>
      <c r="H917">
        <f>E917*F917*(1-G917)</f>
        <v/>
      </c>
      <c r="I917">
        <f>XLOOKUP(D917,Products!$A$2:$A$15,Products!$B$2:$B$15,"Not found")</f>
        <v/>
      </c>
    </row>
    <row r="918">
      <c r="A918" t="n">
        <v>105237</v>
      </c>
      <c r="B918" s="1" t="n">
        <v>45725</v>
      </c>
      <c r="C918" t="inlineStr">
        <is>
          <t>S01</t>
        </is>
      </c>
      <c r="D918" t="inlineStr">
        <is>
          <t>P203</t>
        </is>
      </c>
      <c r="E918" t="n">
        <v>2</v>
      </c>
      <c r="F918" t="n">
        <v>19.5</v>
      </c>
      <c r="G918" t="n">
        <v>0.1</v>
      </c>
      <c r="H918">
        <f>E918*F918*(1-G918)</f>
        <v/>
      </c>
      <c r="I918">
        <f>XLOOKUP(D918,Products!$A$2:$A$15,Products!$B$2:$B$15,"Not found")</f>
        <v/>
      </c>
    </row>
    <row r="919">
      <c r="A919" t="n">
        <v>105238</v>
      </c>
      <c r="B919" s="1" t="n">
        <v>45725</v>
      </c>
      <c r="C919" t="inlineStr">
        <is>
          <t>S01</t>
        </is>
      </c>
      <c r="D919" t="inlineStr">
        <is>
          <t>P203</t>
        </is>
      </c>
      <c r="E919" t="n">
        <v>2</v>
      </c>
      <c r="F919" t="n">
        <v>19.5</v>
      </c>
      <c r="G919" t="n">
        <v>0</v>
      </c>
      <c r="H919">
        <f>E919*F919*(1-G919)</f>
        <v/>
      </c>
      <c r="I919">
        <f>XLOOKUP(D919,Products!$A$2:$A$15,Products!$B$2:$B$15,"Not found")</f>
        <v/>
      </c>
    </row>
    <row r="920">
      <c r="A920" t="n">
        <v>105239</v>
      </c>
      <c r="B920" s="1" t="n">
        <v>45725</v>
      </c>
      <c r="C920" t="inlineStr">
        <is>
          <t>S02</t>
        </is>
      </c>
      <c r="D920" t="inlineStr">
        <is>
          <t>P201</t>
        </is>
      </c>
      <c r="E920" t="n">
        <v>1</v>
      </c>
      <c r="F920" t="n">
        <v>149</v>
      </c>
      <c r="G920" t="n">
        <v>0</v>
      </c>
      <c r="H920">
        <f>E920*F920*(1-G920)</f>
        <v/>
      </c>
      <c r="I920">
        <f>XLOOKUP(D920,Products!$A$2:$A$15,Products!$B$2:$B$15,"Not found")</f>
        <v/>
      </c>
    </row>
    <row r="921">
      <c r="A921" t="n">
        <v>105240</v>
      </c>
      <c r="B921" s="1" t="n">
        <v>45725</v>
      </c>
      <c r="C921" t="inlineStr">
        <is>
          <t>S03</t>
        </is>
      </c>
      <c r="D921" t="inlineStr">
        <is>
          <t>P302</t>
        </is>
      </c>
      <c r="E921" t="n">
        <v>1</v>
      </c>
      <c r="F921" t="n">
        <v>24</v>
      </c>
      <c r="G921" t="n">
        <v>0</v>
      </c>
      <c r="H921">
        <f>E921*F921*(1-G921)</f>
        <v/>
      </c>
      <c r="I921">
        <f>XLOOKUP(D921,Products!$A$2:$A$15,Products!$B$2:$B$15,"Not found")</f>
        <v/>
      </c>
    </row>
    <row r="922">
      <c r="A922" t="n">
        <v>105241</v>
      </c>
      <c r="B922" s="1" t="n">
        <v>45725</v>
      </c>
      <c r="C922" t="inlineStr">
        <is>
          <t>S03</t>
        </is>
      </c>
      <c r="D922" t="inlineStr">
        <is>
          <t>P203</t>
        </is>
      </c>
      <c r="E922" t="n">
        <v>3</v>
      </c>
      <c r="F922" t="n">
        <v>19.5</v>
      </c>
      <c r="G922" t="n">
        <v>0</v>
      </c>
      <c r="H922">
        <f>E922*F922*(1-G922)</f>
        <v/>
      </c>
      <c r="I922">
        <f>XLOOKUP(D922,Products!$A$2:$A$15,Products!$B$2:$B$15,"Not found")</f>
        <v/>
      </c>
    </row>
    <row r="923">
      <c r="A923" t="n">
        <v>105242</v>
      </c>
      <c r="B923" s="1" t="n">
        <v>45725</v>
      </c>
      <c r="C923" t="inlineStr">
        <is>
          <t>S04</t>
        </is>
      </c>
      <c r="D923" t="inlineStr">
        <is>
          <t>P102</t>
        </is>
      </c>
      <c r="E923" t="n">
        <v>1</v>
      </c>
      <c r="F923" t="n">
        <v>14.5</v>
      </c>
      <c r="G923" t="n">
        <v>0.15</v>
      </c>
      <c r="H923">
        <f>E923*F923*(1-G923)</f>
        <v/>
      </c>
      <c r="I923">
        <f>XLOOKUP(D923,Products!$A$2:$A$15,Products!$B$2:$B$15,"Not found")</f>
        <v/>
      </c>
    </row>
    <row r="924">
      <c r="A924" t="n">
        <v>105243</v>
      </c>
      <c r="B924" s="1" t="n">
        <v>45725</v>
      </c>
      <c r="C924" t="inlineStr">
        <is>
          <t>S04</t>
        </is>
      </c>
      <c r="D924" t="inlineStr">
        <is>
          <t>P302</t>
        </is>
      </c>
      <c r="E924" t="n">
        <v>1</v>
      </c>
      <c r="F924" t="n">
        <v>24</v>
      </c>
      <c r="G924" t="n">
        <v>0</v>
      </c>
      <c r="H924">
        <f>E924*F924*(1-G924)</f>
        <v/>
      </c>
      <c r="I924">
        <f>XLOOKUP(D924,Products!$A$2:$A$15,Products!$B$2:$B$15,"Not found")</f>
        <v/>
      </c>
    </row>
    <row r="925">
      <c r="A925" t="n">
        <v>105244</v>
      </c>
      <c r="B925" s="1" t="n">
        <v>45725</v>
      </c>
      <c r="C925" t="inlineStr">
        <is>
          <t>S04</t>
        </is>
      </c>
      <c r="D925" t="inlineStr">
        <is>
          <t>P203</t>
        </is>
      </c>
      <c r="E925" t="n">
        <v>4</v>
      </c>
      <c r="F925" t="n">
        <v>19.5</v>
      </c>
      <c r="G925" t="n">
        <v>0</v>
      </c>
      <c r="H925">
        <f>E925*F925*(1-G925)</f>
        <v/>
      </c>
      <c r="I925">
        <f>XLOOKUP(D925,Products!$A$2:$A$15,Products!$B$2:$B$15,"Not found")</f>
        <v/>
      </c>
    </row>
    <row r="926">
      <c r="A926" t="n">
        <v>105245</v>
      </c>
      <c r="B926" s="1" t="n">
        <v>45725</v>
      </c>
      <c r="C926" t="inlineStr">
        <is>
          <t>S05</t>
        </is>
      </c>
      <c r="D926" t="inlineStr">
        <is>
          <t>P101</t>
        </is>
      </c>
      <c r="E926" t="n">
        <v>3</v>
      </c>
      <c r="F926" t="n">
        <v>39</v>
      </c>
      <c r="G926" t="n">
        <v>0</v>
      </c>
      <c r="H926">
        <f>E926*F926*(1-G926)</f>
        <v/>
      </c>
      <c r="I926">
        <f>XLOOKUP(D926,Products!$A$2:$A$15,Products!$B$2:$B$15,"Not found")</f>
        <v/>
      </c>
    </row>
    <row r="927">
      <c r="A927" t="n">
        <v>105246</v>
      </c>
      <c r="B927" s="1" t="n">
        <v>45725</v>
      </c>
      <c r="C927" t="inlineStr">
        <is>
          <t>S05</t>
        </is>
      </c>
      <c r="D927" t="inlineStr">
        <is>
          <t>P202</t>
        </is>
      </c>
      <c r="E927" t="n">
        <v>3</v>
      </c>
      <c r="F927" t="n">
        <v>79</v>
      </c>
      <c r="G927" t="n">
        <v>0</v>
      </c>
      <c r="H927">
        <f>E927*F927*(1-G927)</f>
        <v/>
      </c>
      <c r="I927">
        <f>XLOOKUP(D927,Products!$A$2:$A$15,Products!$B$2:$B$15,"Not found")</f>
        <v/>
      </c>
    </row>
    <row r="928">
      <c r="A928" t="n">
        <v>105247</v>
      </c>
      <c r="B928" s="1" t="n">
        <v>45725</v>
      </c>
      <c r="C928" t="inlineStr">
        <is>
          <t>S05</t>
        </is>
      </c>
      <c r="D928" t="inlineStr">
        <is>
          <t>P102</t>
        </is>
      </c>
      <c r="E928" t="n">
        <v>3</v>
      </c>
      <c r="F928" t="n">
        <v>14.5</v>
      </c>
      <c r="G928" t="n">
        <v>0.1</v>
      </c>
      <c r="H928">
        <f>E928*F928*(1-G928)</f>
        <v/>
      </c>
      <c r="I928">
        <f>XLOOKUP(D928,Products!$A$2:$A$15,Products!$B$2:$B$15,"Not found")</f>
        <v/>
      </c>
    </row>
    <row r="929">
      <c r="A929" t="n">
        <v>105248</v>
      </c>
      <c r="B929" s="1" t="n">
        <v>45726</v>
      </c>
      <c r="C929" t="inlineStr">
        <is>
          <t>S01</t>
        </is>
      </c>
      <c r="D929" t="inlineStr">
        <is>
          <t>P303</t>
        </is>
      </c>
      <c r="E929" t="n">
        <v>2</v>
      </c>
      <c r="F929" t="n">
        <v>12</v>
      </c>
      <c r="G929" t="n">
        <v>0.2</v>
      </c>
      <c r="H929">
        <f>E929*F929*(1-G929)</f>
        <v/>
      </c>
      <c r="I929">
        <f>XLOOKUP(D929,Products!$A$2:$A$15,Products!$B$2:$B$15,"Not found")</f>
        <v/>
      </c>
    </row>
    <row r="930">
      <c r="A930" t="n">
        <v>105249</v>
      </c>
      <c r="B930" s="1" t="n">
        <v>45726</v>
      </c>
      <c r="C930" t="inlineStr">
        <is>
          <t>S01</t>
        </is>
      </c>
      <c r="D930" t="inlineStr">
        <is>
          <t>P102</t>
        </is>
      </c>
      <c r="E930" t="n">
        <v>1</v>
      </c>
      <c r="F930" t="n">
        <v>14.5</v>
      </c>
      <c r="G930" t="n">
        <v>0.2</v>
      </c>
      <c r="H930">
        <f>E930*F930*(1-G930)</f>
        <v/>
      </c>
      <c r="I930">
        <f>XLOOKUP(D930,Products!$A$2:$A$15,Products!$B$2:$B$15,"Not found")</f>
        <v/>
      </c>
    </row>
    <row r="931">
      <c r="A931" t="n">
        <v>105250</v>
      </c>
      <c r="B931" s="1" t="n">
        <v>45726</v>
      </c>
      <c r="C931" t="inlineStr">
        <is>
          <t>S01</t>
        </is>
      </c>
      <c r="D931" t="inlineStr">
        <is>
          <t>P201</t>
        </is>
      </c>
      <c r="E931" t="n">
        <v>1</v>
      </c>
      <c r="F931" t="n">
        <v>149</v>
      </c>
      <c r="G931" t="n">
        <v>0.15</v>
      </c>
      <c r="H931">
        <f>E931*F931*(1-G931)</f>
        <v/>
      </c>
      <c r="I931">
        <f>XLOOKUP(D931,Products!$A$2:$A$15,Products!$B$2:$B$15,"Not found")</f>
        <v/>
      </c>
    </row>
    <row r="932">
      <c r="A932" t="n">
        <v>105251</v>
      </c>
      <c r="B932" s="1" t="n">
        <v>45726</v>
      </c>
      <c r="C932" t="inlineStr">
        <is>
          <t>S01</t>
        </is>
      </c>
      <c r="D932" t="inlineStr">
        <is>
          <t>P101</t>
        </is>
      </c>
      <c r="E932" t="n">
        <v>1</v>
      </c>
      <c r="F932" t="n">
        <v>39</v>
      </c>
      <c r="G932" t="n">
        <v>0.2</v>
      </c>
      <c r="H932">
        <f>E932*F932*(1-G932)</f>
        <v/>
      </c>
      <c r="I932">
        <f>XLOOKUP(D932,Products!$A$2:$A$15,Products!$B$2:$B$15,"Not found")</f>
        <v/>
      </c>
    </row>
    <row r="933">
      <c r="A933" t="n">
        <v>105252</v>
      </c>
      <c r="B933" s="1" t="n">
        <v>45726</v>
      </c>
      <c r="C933" t="inlineStr">
        <is>
          <t>S02</t>
        </is>
      </c>
      <c r="D933" t="inlineStr">
        <is>
          <t>P101</t>
        </is>
      </c>
      <c r="E933" t="n">
        <v>1</v>
      </c>
      <c r="F933" t="n">
        <v>39</v>
      </c>
      <c r="G933" t="n">
        <v>0.15</v>
      </c>
      <c r="H933">
        <f>E933*F933*(1-G933)</f>
        <v/>
      </c>
      <c r="I933">
        <f>XLOOKUP(D933,Products!$A$2:$A$15,Products!$B$2:$B$15,"Not found")</f>
        <v/>
      </c>
    </row>
    <row r="934">
      <c r="A934" t="n">
        <v>105253</v>
      </c>
      <c r="B934" s="1" t="n">
        <v>45726</v>
      </c>
      <c r="C934" t="inlineStr">
        <is>
          <t>S02</t>
        </is>
      </c>
      <c r="D934" t="inlineStr">
        <is>
          <t>P101</t>
        </is>
      </c>
      <c r="E934" t="n">
        <v>1</v>
      </c>
      <c r="F934" t="n">
        <v>39</v>
      </c>
      <c r="G934" t="n">
        <v>0</v>
      </c>
      <c r="H934">
        <f>E934*F934*(1-G934)</f>
        <v/>
      </c>
      <c r="I934">
        <f>XLOOKUP(D934,Products!$A$2:$A$15,Products!$B$2:$B$15,"Not found")</f>
        <v/>
      </c>
    </row>
    <row r="935">
      <c r="A935" t="n">
        <v>105254</v>
      </c>
      <c r="B935" s="1" t="n">
        <v>45726</v>
      </c>
      <c r="C935" t="inlineStr">
        <is>
          <t>S02</t>
        </is>
      </c>
      <c r="D935" t="inlineStr">
        <is>
          <t>P204</t>
        </is>
      </c>
      <c r="E935" t="n">
        <v>1</v>
      </c>
      <c r="F935" t="n">
        <v>229</v>
      </c>
      <c r="G935" t="n">
        <v>0</v>
      </c>
      <c r="H935">
        <f>E935*F935*(1-G935)</f>
        <v/>
      </c>
      <c r="I935">
        <f>XLOOKUP(D935,Products!$A$2:$A$15,Products!$B$2:$B$15,"Not found")</f>
        <v/>
      </c>
    </row>
    <row r="936">
      <c r="A936" t="n">
        <v>105255</v>
      </c>
      <c r="B936" s="1" t="n">
        <v>45726</v>
      </c>
      <c r="C936" t="inlineStr">
        <is>
          <t>S02</t>
        </is>
      </c>
      <c r="D936" t="inlineStr">
        <is>
          <t>P303</t>
        </is>
      </c>
      <c r="E936" t="n">
        <v>4</v>
      </c>
      <c r="F936" t="n">
        <v>12</v>
      </c>
      <c r="G936" t="n">
        <v>0</v>
      </c>
      <c r="H936">
        <f>E936*F936*(1-G936)</f>
        <v/>
      </c>
      <c r="I936">
        <f>XLOOKUP(D936,Products!$A$2:$A$15,Products!$B$2:$B$15,"Not found")</f>
        <v/>
      </c>
    </row>
    <row r="937">
      <c r="A937" t="n">
        <v>105256</v>
      </c>
      <c r="B937" s="1" t="n">
        <v>45726</v>
      </c>
      <c r="C937" t="inlineStr">
        <is>
          <t>S04</t>
        </is>
      </c>
      <c r="D937" t="inlineStr">
        <is>
          <t>P303</t>
        </is>
      </c>
      <c r="E937" t="n">
        <v>2</v>
      </c>
      <c r="F937" t="n">
        <v>12</v>
      </c>
      <c r="G937" t="n">
        <v>0.2</v>
      </c>
      <c r="H937">
        <f>E937*F937*(1-G937)</f>
        <v/>
      </c>
      <c r="I937">
        <f>XLOOKUP(D937,Products!$A$2:$A$15,Products!$B$2:$B$15,"Not found")</f>
        <v/>
      </c>
    </row>
    <row r="938">
      <c r="A938" t="n">
        <v>105257</v>
      </c>
      <c r="B938" s="1" t="n">
        <v>45726</v>
      </c>
      <c r="C938" t="inlineStr">
        <is>
          <t>S04</t>
        </is>
      </c>
      <c r="D938" t="inlineStr">
        <is>
          <t>P302</t>
        </is>
      </c>
      <c r="E938" t="n">
        <v>1</v>
      </c>
      <c r="F938" t="n">
        <v>24</v>
      </c>
      <c r="G938" t="n">
        <v>0</v>
      </c>
      <c r="H938">
        <f>E938*F938*(1-G938)</f>
        <v/>
      </c>
      <c r="I938">
        <f>XLOOKUP(D938,Products!$A$2:$A$15,Products!$B$2:$B$15,"Not found")</f>
        <v/>
      </c>
    </row>
    <row r="939">
      <c r="A939" t="n">
        <v>105258</v>
      </c>
      <c r="B939" s="1" t="n">
        <v>45726</v>
      </c>
      <c r="C939" t="inlineStr">
        <is>
          <t>S06</t>
        </is>
      </c>
      <c r="D939" t="inlineStr">
        <is>
          <t>P102</t>
        </is>
      </c>
      <c r="E939" t="n">
        <v>4</v>
      </c>
      <c r="F939" t="n">
        <v>14.5</v>
      </c>
      <c r="G939" t="n">
        <v>0.15</v>
      </c>
      <c r="H939">
        <f>E939*F939*(1-G939)</f>
        <v/>
      </c>
      <c r="I939">
        <f>XLOOKUP(D939,Products!$A$2:$A$15,Products!$B$2:$B$15,"Not found")</f>
        <v/>
      </c>
    </row>
    <row r="940">
      <c r="A940" t="n">
        <v>105259</v>
      </c>
      <c r="B940" s="1" t="n">
        <v>45726</v>
      </c>
      <c r="C940" t="inlineStr">
        <is>
          <t>S06</t>
        </is>
      </c>
      <c r="D940" t="inlineStr">
        <is>
          <t>P302</t>
        </is>
      </c>
      <c r="E940" t="n">
        <v>2</v>
      </c>
      <c r="F940" t="n">
        <v>24</v>
      </c>
      <c r="G940" t="n">
        <v>0</v>
      </c>
      <c r="H940">
        <f>E940*F940*(1-G940)</f>
        <v/>
      </c>
      <c r="I940">
        <f>XLOOKUP(D940,Products!$A$2:$A$15,Products!$B$2:$B$15,"Not found")</f>
        <v/>
      </c>
    </row>
    <row r="941">
      <c r="A941" t="n">
        <v>105260</v>
      </c>
      <c r="B941" s="1" t="n">
        <v>45726</v>
      </c>
      <c r="C941" t="inlineStr">
        <is>
          <t>S06</t>
        </is>
      </c>
      <c r="D941" t="inlineStr">
        <is>
          <t>P102</t>
        </is>
      </c>
      <c r="E941" t="n">
        <v>2</v>
      </c>
      <c r="F941" t="n">
        <v>14.5</v>
      </c>
      <c r="G941" t="n">
        <v>0.1</v>
      </c>
      <c r="H941">
        <f>E941*F941*(1-G941)</f>
        <v/>
      </c>
      <c r="I941">
        <f>XLOOKUP(D941,Products!$A$2:$A$15,Products!$B$2:$B$15,"Not found")</f>
        <v/>
      </c>
    </row>
    <row r="942">
      <c r="A942" t="n">
        <v>105261</v>
      </c>
      <c r="B942" s="1" t="n">
        <v>45727</v>
      </c>
      <c r="C942" t="inlineStr">
        <is>
          <t>S01</t>
        </is>
      </c>
      <c r="D942" t="inlineStr">
        <is>
          <t>P301</t>
        </is>
      </c>
      <c r="E942" t="n">
        <v>1</v>
      </c>
      <c r="F942" t="n">
        <v>119</v>
      </c>
      <c r="G942" t="n">
        <v>0.15</v>
      </c>
      <c r="H942">
        <f>E942*F942*(1-G942)</f>
        <v/>
      </c>
      <c r="I942">
        <f>XLOOKUP(D942,Products!$A$2:$A$15,Products!$B$2:$B$15,"Not found")</f>
        <v/>
      </c>
    </row>
    <row r="943">
      <c r="A943" t="n">
        <v>105262</v>
      </c>
      <c r="B943" s="1" t="n">
        <v>45727</v>
      </c>
      <c r="C943" t="inlineStr">
        <is>
          <t>S01</t>
        </is>
      </c>
      <c r="D943" t="inlineStr">
        <is>
          <t>P301</t>
        </is>
      </c>
      <c r="E943" t="n">
        <v>1</v>
      </c>
      <c r="F943" t="n">
        <v>119</v>
      </c>
      <c r="G943" t="n">
        <v>0</v>
      </c>
      <c r="H943">
        <f>E943*F943*(1-G943)</f>
        <v/>
      </c>
      <c r="I943">
        <f>XLOOKUP(D943,Products!$A$2:$A$15,Products!$B$2:$B$15,"Not found")</f>
        <v/>
      </c>
    </row>
    <row r="944">
      <c r="A944" t="n">
        <v>105263</v>
      </c>
      <c r="B944" s="1" t="n">
        <v>45727</v>
      </c>
      <c r="C944" t="inlineStr">
        <is>
          <t>S01</t>
        </is>
      </c>
      <c r="D944" t="inlineStr">
        <is>
          <t>P102</t>
        </is>
      </c>
      <c r="E944" t="n">
        <v>3</v>
      </c>
      <c r="F944" t="n">
        <v>14.5</v>
      </c>
      <c r="G944" t="n">
        <v>0</v>
      </c>
      <c r="H944">
        <f>E944*F944*(1-G944)</f>
        <v/>
      </c>
      <c r="I944">
        <f>XLOOKUP(D944,Products!$A$2:$A$15,Products!$B$2:$B$15,"Not found")</f>
        <v/>
      </c>
    </row>
    <row r="945">
      <c r="A945" t="n">
        <v>105264</v>
      </c>
      <c r="B945" s="1" t="n">
        <v>45727</v>
      </c>
      <c r="C945" t="inlineStr">
        <is>
          <t>S01</t>
        </is>
      </c>
      <c r="D945" t="inlineStr">
        <is>
          <t>P403</t>
        </is>
      </c>
      <c r="E945" t="n">
        <v>4</v>
      </c>
      <c r="F945" t="n">
        <v>89</v>
      </c>
      <c r="G945" t="n">
        <v>0.15</v>
      </c>
      <c r="H945">
        <f>E945*F945*(1-G945)</f>
        <v/>
      </c>
      <c r="I945">
        <f>XLOOKUP(D945,Products!$A$2:$A$15,Products!$B$2:$B$15,"Not found")</f>
        <v/>
      </c>
    </row>
    <row r="946">
      <c r="A946" t="n">
        <v>105265</v>
      </c>
      <c r="B946" s="1" t="n">
        <v>45727</v>
      </c>
      <c r="C946" t="inlineStr">
        <is>
          <t>S01</t>
        </is>
      </c>
      <c r="D946" t="inlineStr">
        <is>
          <t>P302</t>
        </is>
      </c>
      <c r="E946" t="n">
        <v>1</v>
      </c>
      <c r="F946" t="n">
        <v>24</v>
      </c>
      <c r="G946" t="n">
        <v>0</v>
      </c>
      <c r="H946">
        <f>E946*F946*(1-G946)</f>
        <v/>
      </c>
      <c r="I946">
        <f>XLOOKUP(D946,Products!$A$2:$A$15,Products!$B$2:$B$15,"Not found")</f>
        <v/>
      </c>
    </row>
    <row r="947">
      <c r="A947" t="n">
        <v>105266</v>
      </c>
      <c r="B947" s="1" t="n">
        <v>45727</v>
      </c>
      <c r="C947" t="inlineStr">
        <is>
          <t>S02</t>
        </is>
      </c>
      <c r="D947" t="inlineStr">
        <is>
          <t>P101</t>
        </is>
      </c>
      <c r="E947" t="n">
        <v>4</v>
      </c>
      <c r="F947" t="n">
        <v>39</v>
      </c>
      <c r="G947" t="n">
        <v>0</v>
      </c>
      <c r="H947">
        <f>E947*F947*(1-G947)</f>
        <v/>
      </c>
      <c r="I947">
        <f>XLOOKUP(D947,Products!$A$2:$A$15,Products!$B$2:$B$15,"Not found")</f>
        <v/>
      </c>
    </row>
    <row r="948">
      <c r="A948" t="n">
        <v>105267</v>
      </c>
      <c r="B948" s="1" t="n">
        <v>45727</v>
      </c>
      <c r="C948" t="inlineStr">
        <is>
          <t>S02</t>
        </is>
      </c>
      <c r="D948" t="inlineStr">
        <is>
          <t>P203</t>
        </is>
      </c>
      <c r="E948" t="n">
        <v>3</v>
      </c>
      <c r="F948" t="n">
        <v>19.5</v>
      </c>
      <c r="G948" t="n">
        <v>0.1</v>
      </c>
      <c r="H948">
        <f>E948*F948*(1-G948)</f>
        <v/>
      </c>
      <c r="I948">
        <f>XLOOKUP(D948,Products!$A$2:$A$15,Products!$B$2:$B$15,"Not found")</f>
        <v/>
      </c>
    </row>
    <row r="949">
      <c r="A949" t="n">
        <v>105268</v>
      </c>
      <c r="B949" s="1" t="n">
        <v>45727</v>
      </c>
      <c r="C949" t="inlineStr">
        <is>
          <t>S02</t>
        </is>
      </c>
      <c r="D949" t="inlineStr">
        <is>
          <t>P103</t>
        </is>
      </c>
      <c r="E949" t="n">
        <v>1</v>
      </c>
      <c r="F949" t="n">
        <v>29</v>
      </c>
      <c r="G949" t="n">
        <v>0</v>
      </c>
      <c r="H949">
        <f>E949*F949*(1-G949)</f>
        <v/>
      </c>
      <c r="I949">
        <f>XLOOKUP(D949,Products!$A$2:$A$15,Products!$B$2:$B$15,"Not found")</f>
        <v/>
      </c>
    </row>
    <row r="950">
      <c r="A950" t="n">
        <v>105269</v>
      </c>
      <c r="B950" s="1" t="n">
        <v>45727</v>
      </c>
      <c r="C950" t="inlineStr">
        <is>
          <t>S03</t>
        </is>
      </c>
      <c r="D950" t="inlineStr">
        <is>
          <t>P101</t>
        </is>
      </c>
      <c r="E950" t="n">
        <v>4</v>
      </c>
      <c r="F950" t="n">
        <v>39</v>
      </c>
      <c r="G950" t="n">
        <v>0</v>
      </c>
      <c r="H950">
        <f>E950*F950*(1-G950)</f>
        <v/>
      </c>
      <c r="I950">
        <f>XLOOKUP(D950,Products!$A$2:$A$15,Products!$B$2:$B$15,"Not found")</f>
        <v/>
      </c>
    </row>
    <row r="951">
      <c r="A951" t="n">
        <v>105270</v>
      </c>
      <c r="B951" s="1" t="n">
        <v>45727</v>
      </c>
      <c r="C951" t="inlineStr">
        <is>
          <t>S03</t>
        </is>
      </c>
      <c r="D951" t="inlineStr">
        <is>
          <t>P101</t>
        </is>
      </c>
      <c r="E951" t="n">
        <v>4</v>
      </c>
      <c r="F951" t="n">
        <v>39</v>
      </c>
      <c r="G951" t="n">
        <v>0.2</v>
      </c>
      <c r="H951">
        <f>E951*F951*(1-G951)</f>
        <v/>
      </c>
      <c r="I951">
        <f>XLOOKUP(D951,Products!$A$2:$A$15,Products!$B$2:$B$15,"Not found")</f>
        <v/>
      </c>
    </row>
    <row r="952">
      <c r="A952" t="n">
        <v>105271</v>
      </c>
      <c r="B952" s="1" t="n">
        <v>45727</v>
      </c>
      <c r="C952" t="inlineStr">
        <is>
          <t>S03</t>
        </is>
      </c>
      <c r="D952" t="inlineStr">
        <is>
          <t>P303</t>
        </is>
      </c>
      <c r="E952" t="n">
        <v>2</v>
      </c>
      <c r="F952" t="n">
        <v>12</v>
      </c>
      <c r="G952" t="n">
        <v>0</v>
      </c>
      <c r="H952">
        <f>E952*F952*(1-G952)</f>
        <v/>
      </c>
      <c r="I952">
        <f>XLOOKUP(D952,Products!$A$2:$A$15,Products!$B$2:$B$15,"Not found")</f>
        <v/>
      </c>
    </row>
    <row r="953">
      <c r="A953" t="n">
        <v>105272</v>
      </c>
      <c r="B953" s="1" t="n">
        <v>45727</v>
      </c>
      <c r="C953" t="inlineStr">
        <is>
          <t>S04</t>
        </is>
      </c>
      <c r="D953" t="inlineStr">
        <is>
          <t>P103</t>
        </is>
      </c>
      <c r="E953" t="n">
        <v>2</v>
      </c>
      <c r="F953" t="n">
        <v>29</v>
      </c>
      <c r="G953" t="n">
        <v>0</v>
      </c>
      <c r="H953">
        <f>E953*F953*(1-G953)</f>
        <v/>
      </c>
      <c r="I953">
        <f>XLOOKUP(D953,Products!$A$2:$A$15,Products!$B$2:$B$15,"Not found")</f>
        <v/>
      </c>
    </row>
    <row r="954">
      <c r="A954" t="n">
        <v>105273</v>
      </c>
      <c r="B954" s="1" t="n">
        <v>45727</v>
      </c>
      <c r="C954" t="inlineStr">
        <is>
          <t>S05</t>
        </is>
      </c>
      <c r="D954" t="inlineStr">
        <is>
          <t>P204</t>
        </is>
      </c>
      <c r="E954" t="n">
        <v>1</v>
      </c>
      <c r="F954" t="n">
        <v>229</v>
      </c>
      <c r="G954" t="n">
        <v>0</v>
      </c>
      <c r="H954">
        <f>E954*F954*(1-G954)</f>
        <v/>
      </c>
      <c r="I954">
        <f>XLOOKUP(D954,Products!$A$2:$A$15,Products!$B$2:$B$15,"Not found")</f>
        <v/>
      </c>
    </row>
    <row r="955">
      <c r="A955" t="n">
        <v>105274</v>
      </c>
      <c r="B955" s="1" t="n">
        <v>45727</v>
      </c>
      <c r="C955" t="inlineStr">
        <is>
          <t>S06</t>
        </is>
      </c>
      <c r="D955" t="inlineStr">
        <is>
          <t>P302</t>
        </is>
      </c>
      <c r="E955" t="n">
        <v>2</v>
      </c>
      <c r="F955" t="n">
        <v>24</v>
      </c>
      <c r="G955" t="n">
        <v>0</v>
      </c>
      <c r="H955">
        <f>E955*F955*(1-G955)</f>
        <v/>
      </c>
      <c r="I955">
        <f>XLOOKUP(D955,Products!$A$2:$A$15,Products!$B$2:$B$15,"Not found")</f>
        <v/>
      </c>
    </row>
    <row r="956">
      <c r="A956" t="n">
        <v>105275</v>
      </c>
      <c r="B956" s="1" t="n">
        <v>45728</v>
      </c>
      <c r="C956" t="inlineStr">
        <is>
          <t>S01</t>
        </is>
      </c>
      <c r="D956" t="inlineStr">
        <is>
          <t>P104</t>
        </is>
      </c>
      <c r="E956" t="n">
        <v>1</v>
      </c>
      <c r="F956" t="n">
        <v>189</v>
      </c>
      <c r="G956" t="n">
        <v>0.15</v>
      </c>
      <c r="H956">
        <f>E956*F956*(1-G956)</f>
        <v/>
      </c>
      <c r="I956">
        <f>XLOOKUP(D956,Products!$A$2:$A$15,Products!$B$2:$B$15,"Not found")</f>
        <v/>
      </c>
    </row>
    <row r="957">
      <c r="A957" t="n">
        <v>105276</v>
      </c>
      <c r="B957" s="1" t="n">
        <v>45728</v>
      </c>
      <c r="C957" t="inlineStr">
        <is>
          <t>S01</t>
        </is>
      </c>
      <c r="D957" t="inlineStr">
        <is>
          <t>P201</t>
        </is>
      </c>
      <c r="E957" t="n">
        <v>1</v>
      </c>
      <c r="F957" t="n">
        <v>149</v>
      </c>
      <c r="G957" t="n">
        <v>0.2</v>
      </c>
      <c r="H957">
        <f>E957*F957*(1-G957)</f>
        <v/>
      </c>
      <c r="I957">
        <f>XLOOKUP(D957,Products!$A$2:$A$15,Products!$B$2:$B$15,"Not found")</f>
        <v/>
      </c>
    </row>
    <row r="958">
      <c r="A958" t="n">
        <v>105277</v>
      </c>
      <c r="B958" s="1" t="n">
        <v>45728</v>
      </c>
      <c r="C958" t="inlineStr">
        <is>
          <t>S01</t>
        </is>
      </c>
      <c r="D958" t="inlineStr">
        <is>
          <t>P101</t>
        </is>
      </c>
      <c r="E958" t="n">
        <v>3</v>
      </c>
      <c r="F958" t="n">
        <v>39</v>
      </c>
      <c r="G958" t="n">
        <v>0</v>
      </c>
      <c r="H958">
        <f>E958*F958*(1-G958)</f>
        <v/>
      </c>
      <c r="I958">
        <f>XLOOKUP(D958,Products!$A$2:$A$15,Products!$B$2:$B$15,"Not found")</f>
        <v/>
      </c>
    </row>
    <row r="959">
      <c r="A959" t="n">
        <v>105278</v>
      </c>
      <c r="B959" s="1" t="n">
        <v>45728</v>
      </c>
      <c r="C959" t="inlineStr">
        <is>
          <t>S02</t>
        </is>
      </c>
      <c r="D959" t="inlineStr">
        <is>
          <t>P101</t>
        </is>
      </c>
      <c r="E959" t="n">
        <v>1</v>
      </c>
      <c r="F959" t="n">
        <v>39</v>
      </c>
      <c r="G959" t="n">
        <v>0.2</v>
      </c>
      <c r="H959">
        <f>E959*F959*(1-G959)</f>
        <v/>
      </c>
      <c r="I959">
        <f>XLOOKUP(D959,Products!$A$2:$A$15,Products!$B$2:$B$15,"Not found")</f>
        <v/>
      </c>
    </row>
    <row r="960">
      <c r="A960" t="n">
        <v>105279</v>
      </c>
      <c r="B960" s="1" t="n">
        <v>45728</v>
      </c>
      <c r="C960" t="inlineStr">
        <is>
          <t>S03</t>
        </is>
      </c>
      <c r="D960" t="inlineStr">
        <is>
          <t>P301</t>
        </is>
      </c>
      <c r="E960" t="n">
        <v>1</v>
      </c>
      <c r="F960" t="n">
        <v>119</v>
      </c>
      <c r="G960" t="n">
        <v>0</v>
      </c>
      <c r="H960">
        <f>E960*F960*(1-G960)</f>
        <v/>
      </c>
      <c r="I960">
        <f>XLOOKUP(D960,Products!$A$2:$A$15,Products!$B$2:$B$15,"Not found")</f>
        <v/>
      </c>
    </row>
    <row r="961">
      <c r="A961" t="n">
        <v>105280</v>
      </c>
      <c r="B961" s="1" t="n">
        <v>45728</v>
      </c>
      <c r="C961" t="inlineStr">
        <is>
          <t>S04</t>
        </is>
      </c>
      <c r="D961" t="inlineStr">
        <is>
          <t>P104</t>
        </is>
      </c>
      <c r="E961" t="n">
        <v>1</v>
      </c>
      <c r="F961" t="n">
        <v>189</v>
      </c>
      <c r="G961" t="n">
        <v>0</v>
      </c>
      <c r="H961">
        <f>E961*F961*(1-G961)</f>
        <v/>
      </c>
      <c r="I961">
        <f>XLOOKUP(D961,Products!$A$2:$A$15,Products!$B$2:$B$15,"Not found")</f>
        <v/>
      </c>
    </row>
    <row r="962">
      <c r="A962" t="n">
        <v>105281</v>
      </c>
      <c r="B962" s="1" t="n">
        <v>45728</v>
      </c>
      <c r="C962" t="inlineStr">
        <is>
          <t>S04</t>
        </is>
      </c>
      <c r="D962" t="inlineStr">
        <is>
          <t>P202</t>
        </is>
      </c>
      <c r="E962" t="n">
        <v>1</v>
      </c>
      <c r="F962" t="n">
        <v>79</v>
      </c>
      <c r="G962" t="n">
        <v>0.2</v>
      </c>
      <c r="H962">
        <f>E962*F962*(1-G962)</f>
        <v/>
      </c>
      <c r="I962">
        <f>XLOOKUP(D962,Products!$A$2:$A$15,Products!$B$2:$B$15,"Not found")</f>
        <v/>
      </c>
    </row>
    <row r="963">
      <c r="A963" t="n">
        <v>105282</v>
      </c>
      <c r="B963" s="1" t="n">
        <v>45728</v>
      </c>
      <c r="C963" t="inlineStr">
        <is>
          <t>S05</t>
        </is>
      </c>
      <c r="D963" t="inlineStr">
        <is>
          <t>P103</t>
        </is>
      </c>
      <c r="E963" t="n">
        <v>1</v>
      </c>
      <c r="F963" t="n">
        <v>29</v>
      </c>
      <c r="G963" t="n">
        <v>0</v>
      </c>
      <c r="H963">
        <f>E963*F963*(1-G963)</f>
        <v/>
      </c>
      <c r="I963">
        <f>XLOOKUP(D963,Products!$A$2:$A$15,Products!$B$2:$B$15,"Not found")</f>
        <v/>
      </c>
    </row>
    <row r="964">
      <c r="A964" t="n">
        <v>105283</v>
      </c>
      <c r="B964" s="1" t="n">
        <v>45728</v>
      </c>
      <c r="C964" t="inlineStr">
        <is>
          <t>S05</t>
        </is>
      </c>
      <c r="D964" t="inlineStr">
        <is>
          <t>P101</t>
        </is>
      </c>
      <c r="E964" t="n">
        <v>2</v>
      </c>
      <c r="F964" t="n">
        <v>39</v>
      </c>
      <c r="G964" t="n">
        <v>0</v>
      </c>
      <c r="H964">
        <f>E964*F964*(1-G964)</f>
        <v/>
      </c>
      <c r="I964">
        <f>XLOOKUP(D964,Products!$A$2:$A$15,Products!$B$2:$B$15,"Not found")</f>
        <v/>
      </c>
    </row>
    <row r="965">
      <c r="A965" t="n">
        <v>105284</v>
      </c>
      <c r="B965" s="1" t="n">
        <v>45728</v>
      </c>
      <c r="C965" t="inlineStr">
        <is>
          <t>S05</t>
        </is>
      </c>
      <c r="D965" t="inlineStr">
        <is>
          <t>P401</t>
        </is>
      </c>
      <c r="E965" t="n">
        <v>1</v>
      </c>
      <c r="F965" t="n">
        <v>549</v>
      </c>
      <c r="G965" t="n">
        <v>0.2</v>
      </c>
      <c r="H965">
        <f>E965*F965*(1-G965)</f>
        <v/>
      </c>
      <c r="I965">
        <f>XLOOKUP(D965,Products!$A$2:$A$15,Products!$B$2:$B$15,"Not found")</f>
        <v/>
      </c>
    </row>
    <row r="966">
      <c r="A966" t="n">
        <v>105285</v>
      </c>
      <c r="B966" s="1" t="n">
        <v>45728</v>
      </c>
      <c r="C966" t="inlineStr">
        <is>
          <t>S05</t>
        </is>
      </c>
      <c r="D966" t="inlineStr">
        <is>
          <t>P204</t>
        </is>
      </c>
      <c r="E966" t="n">
        <v>1</v>
      </c>
      <c r="F966" t="n">
        <v>229</v>
      </c>
      <c r="G966" t="n">
        <v>0.2</v>
      </c>
      <c r="H966">
        <f>E966*F966*(1-G966)</f>
        <v/>
      </c>
      <c r="I966">
        <f>XLOOKUP(D966,Products!$A$2:$A$15,Products!$B$2:$B$15,"Not found")</f>
        <v/>
      </c>
    </row>
    <row r="967">
      <c r="A967" t="n">
        <v>105286</v>
      </c>
      <c r="B967" s="1" t="n">
        <v>45728</v>
      </c>
      <c r="C967" t="inlineStr">
        <is>
          <t>S06</t>
        </is>
      </c>
      <c r="D967" t="inlineStr">
        <is>
          <t>P302</t>
        </is>
      </c>
      <c r="E967" t="n">
        <v>2</v>
      </c>
      <c r="F967" t="n">
        <v>24</v>
      </c>
      <c r="G967" t="n">
        <v>0</v>
      </c>
      <c r="H967">
        <f>E967*F967*(1-G967)</f>
        <v/>
      </c>
      <c r="I967">
        <f>XLOOKUP(D967,Products!$A$2:$A$15,Products!$B$2:$B$15,"Not found")</f>
        <v/>
      </c>
    </row>
    <row r="968">
      <c r="A968" t="n">
        <v>105287</v>
      </c>
      <c r="B968" s="1" t="n">
        <v>45729</v>
      </c>
      <c r="C968" t="inlineStr">
        <is>
          <t>S01</t>
        </is>
      </c>
      <c r="D968" t="inlineStr">
        <is>
          <t>P403</t>
        </is>
      </c>
      <c r="E968" t="n">
        <v>1</v>
      </c>
      <c r="F968" t="n">
        <v>89</v>
      </c>
      <c r="G968" t="n">
        <v>0.2</v>
      </c>
      <c r="H968">
        <f>E968*F968*(1-G968)</f>
        <v/>
      </c>
      <c r="I968">
        <f>XLOOKUP(D968,Products!$A$2:$A$15,Products!$B$2:$B$15,"Not found")</f>
        <v/>
      </c>
    </row>
    <row r="969">
      <c r="A969" t="n">
        <v>105288</v>
      </c>
      <c r="B969" s="1" t="n">
        <v>45729</v>
      </c>
      <c r="C969" t="inlineStr">
        <is>
          <t>S01</t>
        </is>
      </c>
      <c r="D969" t="inlineStr">
        <is>
          <t>P303</t>
        </is>
      </c>
      <c r="E969" t="n">
        <v>2</v>
      </c>
      <c r="F969" t="n">
        <v>12</v>
      </c>
      <c r="G969" t="n">
        <v>0.1</v>
      </c>
      <c r="H969">
        <f>E969*F969*(1-G969)</f>
        <v/>
      </c>
      <c r="I969">
        <f>XLOOKUP(D969,Products!$A$2:$A$15,Products!$B$2:$B$15,"Not found")</f>
        <v/>
      </c>
    </row>
    <row r="970">
      <c r="A970" t="n">
        <v>105289</v>
      </c>
      <c r="B970" s="1" t="n">
        <v>45729</v>
      </c>
      <c r="C970" t="inlineStr">
        <is>
          <t>S02</t>
        </is>
      </c>
      <c r="D970" t="inlineStr">
        <is>
          <t>P203</t>
        </is>
      </c>
      <c r="E970" t="n">
        <v>2</v>
      </c>
      <c r="F970" t="n">
        <v>19.5</v>
      </c>
      <c r="G970" t="n">
        <v>0.1</v>
      </c>
      <c r="H970">
        <f>E970*F970*(1-G970)</f>
        <v/>
      </c>
      <c r="I970">
        <f>XLOOKUP(D970,Products!$A$2:$A$15,Products!$B$2:$B$15,"Not found")</f>
        <v/>
      </c>
    </row>
    <row r="971">
      <c r="A971" t="n">
        <v>105290</v>
      </c>
      <c r="B971" s="1" t="n">
        <v>45729</v>
      </c>
      <c r="C971" t="inlineStr">
        <is>
          <t>S02</t>
        </is>
      </c>
      <c r="D971" t="inlineStr">
        <is>
          <t>P303</t>
        </is>
      </c>
      <c r="E971" t="n">
        <v>2</v>
      </c>
      <c r="F971" t="n">
        <v>12</v>
      </c>
      <c r="G971" t="n">
        <v>0</v>
      </c>
      <c r="H971">
        <f>E971*F971*(1-G971)</f>
        <v/>
      </c>
      <c r="I971">
        <f>XLOOKUP(D971,Products!$A$2:$A$15,Products!$B$2:$B$15,"Not found")</f>
        <v/>
      </c>
    </row>
    <row r="972">
      <c r="A972" t="n">
        <v>105291</v>
      </c>
      <c r="B972" s="1" t="n">
        <v>45729</v>
      </c>
      <c r="C972" t="inlineStr">
        <is>
          <t>S03</t>
        </is>
      </c>
      <c r="D972" t="inlineStr">
        <is>
          <t>P303</t>
        </is>
      </c>
      <c r="E972" t="n">
        <v>1</v>
      </c>
      <c r="F972" t="n">
        <v>12</v>
      </c>
      <c r="G972" t="n">
        <v>0.1</v>
      </c>
      <c r="H972">
        <f>E972*F972*(1-G972)</f>
        <v/>
      </c>
      <c r="I972">
        <f>XLOOKUP(D972,Products!$A$2:$A$15,Products!$B$2:$B$15,"Not found")</f>
        <v/>
      </c>
    </row>
    <row r="973">
      <c r="A973" t="n">
        <v>105292</v>
      </c>
      <c r="B973" s="1" t="n">
        <v>45729</v>
      </c>
      <c r="C973" t="inlineStr">
        <is>
          <t>S05</t>
        </is>
      </c>
      <c r="D973" t="inlineStr">
        <is>
          <t>P103</t>
        </is>
      </c>
      <c r="E973" t="n">
        <v>1</v>
      </c>
      <c r="F973" t="n">
        <v>29</v>
      </c>
      <c r="G973" t="n">
        <v>0</v>
      </c>
      <c r="H973">
        <f>E973*F973*(1-G973)</f>
        <v/>
      </c>
      <c r="I973">
        <f>XLOOKUP(D973,Products!$A$2:$A$15,Products!$B$2:$B$15,"Not found")</f>
        <v/>
      </c>
    </row>
    <row r="974">
      <c r="A974" t="n">
        <v>105293</v>
      </c>
      <c r="B974" s="1" t="n">
        <v>45729</v>
      </c>
      <c r="C974" t="inlineStr">
        <is>
          <t>S05</t>
        </is>
      </c>
      <c r="D974" t="inlineStr">
        <is>
          <t>P101</t>
        </is>
      </c>
      <c r="E974" t="n">
        <v>1</v>
      </c>
      <c r="F974" t="n">
        <v>39</v>
      </c>
      <c r="G974" t="n">
        <v>0.1</v>
      </c>
      <c r="H974">
        <f>E974*F974*(1-G974)</f>
        <v/>
      </c>
      <c r="I974">
        <f>XLOOKUP(D974,Products!$A$2:$A$15,Products!$B$2:$B$15,"Not found")</f>
        <v/>
      </c>
    </row>
    <row r="975">
      <c r="A975" t="n">
        <v>105294</v>
      </c>
      <c r="B975" s="1" t="n">
        <v>45729</v>
      </c>
      <c r="C975" t="inlineStr">
        <is>
          <t>S05</t>
        </is>
      </c>
      <c r="D975" t="inlineStr">
        <is>
          <t>P301</t>
        </is>
      </c>
      <c r="E975" t="n">
        <v>1</v>
      </c>
      <c r="F975" t="n">
        <v>119</v>
      </c>
      <c r="G975" t="n">
        <v>0</v>
      </c>
      <c r="H975">
        <f>E975*F975*(1-G975)</f>
        <v/>
      </c>
      <c r="I975">
        <f>XLOOKUP(D975,Products!$A$2:$A$15,Products!$B$2:$B$15,"Not found")</f>
        <v/>
      </c>
    </row>
    <row r="976">
      <c r="A976" t="n">
        <v>105295</v>
      </c>
      <c r="B976" s="1" t="n">
        <v>45729</v>
      </c>
      <c r="C976" t="inlineStr">
        <is>
          <t>S06</t>
        </is>
      </c>
      <c r="D976" t="inlineStr">
        <is>
          <t>P101</t>
        </is>
      </c>
      <c r="E976" t="n">
        <v>1</v>
      </c>
      <c r="F976" t="n">
        <v>39</v>
      </c>
      <c r="G976" t="n">
        <v>0</v>
      </c>
      <c r="H976">
        <f>E976*F976*(1-G976)</f>
        <v/>
      </c>
      <c r="I976">
        <f>XLOOKUP(D976,Products!$A$2:$A$15,Products!$B$2:$B$15,"Not found")</f>
        <v/>
      </c>
    </row>
    <row r="977">
      <c r="A977" t="n">
        <v>105296</v>
      </c>
      <c r="B977" s="1" t="n">
        <v>45729</v>
      </c>
      <c r="C977" t="inlineStr">
        <is>
          <t>S06</t>
        </is>
      </c>
      <c r="D977" t="inlineStr">
        <is>
          <t>P101</t>
        </is>
      </c>
      <c r="E977" t="n">
        <v>3</v>
      </c>
      <c r="F977" t="n">
        <v>39</v>
      </c>
      <c r="G977" t="n">
        <v>0</v>
      </c>
      <c r="H977">
        <f>E977*F977*(1-G977)</f>
        <v/>
      </c>
      <c r="I977">
        <f>XLOOKUP(D977,Products!$A$2:$A$15,Products!$B$2:$B$15,"Not found")</f>
        <v/>
      </c>
    </row>
    <row r="978">
      <c r="A978" t="n">
        <v>105297</v>
      </c>
      <c r="B978" s="1" t="n">
        <v>45729</v>
      </c>
      <c r="C978" t="inlineStr">
        <is>
          <t>S06</t>
        </is>
      </c>
      <c r="D978" t="inlineStr">
        <is>
          <t>P101</t>
        </is>
      </c>
      <c r="E978" t="n">
        <v>1</v>
      </c>
      <c r="F978" t="n">
        <v>39</v>
      </c>
      <c r="G978" t="n">
        <v>0.15</v>
      </c>
      <c r="H978">
        <f>E978*F978*(1-G978)</f>
        <v/>
      </c>
      <c r="I978">
        <f>XLOOKUP(D978,Products!$A$2:$A$15,Products!$B$2:$B$15,"Not found")</f>
        <v/>
      </c>
    </row>
    <row r="979">
      <c r="A979" t="n">
        <v>105298</v>
      </c>
      <c r="B979" s="1" t="n">
        <v>45730</v>
      </c>
      <c r="C979" t="inlineStr">
        <is>
          <t>S01</t>
        </is>
      </c>
      <c r="D979" t="inlineStr">
        <is>
          <t>P303</t>
        </is>
      </c>
      <c r="E979" t="n">
        <v>2</v>
      </c>
      <c r="F979" t="n">
        <v>12</v>
      </c>
      <c r="G979" t="n">
        <v>0.2</v>
      </c>
      <c r="H979">
        <f>E979*F979*(1-G979)</f>
        <v/>
      </c>
      <c r="I979">
        <f>XLOOKUP(D979,Products!$A$2:$A$15,Products!$B$2:$B$15,"Not found")</f>
        <v/>
      </c>
    </row>
    <row r="980">
      <c r="A980" t="n">
        <v>105299</v>
      </c>
      <c r="B980" s="1" t="n">
        <v>45730</v>
      </c>
      <c r="C980" t="inlineStr">
        <is>
          <t>S01</t>
        </is>
      </c>
      <c r="D980" t="inlineStr">
        <is>
          <t>P204</t>
        </is>
      </c>
      <c r="E980" t="n">
        <v>1</v>
      </c>
      <c r="F980" t="n">
        <v>229</v>
      </c>
      <c r="G980" t="n">
        <v>0</v>
      </c>
      <c r="H980">
        <f>E980*F980*(1-G980)</f>
        <v/>
      </c>
      <c r="I980">
        <f>XLOOKUP(D980,Products!$A$2:$A$15,Products!$B$2:$B$15,"Not found")</f>
        <v/>
      </c>
    </row>
    <row r="981">
      <c r="A981" t="n">
        <v>105300</v>
      </c>
      <c r="B981" s="1" t="n">
        <v>45730</v>
      </c>
      <c r="C981" t="inlineStr">
        <is>
          <t>S02</t>
        </is>
      </c>
      <c r="D981" t="inlineStr">
        <is>
          <t>P201</t>
        </is>
      </c>
      <c r="E981" t="n">
        <v>1</v>
      </c>
      <c r="F981" t="n">
        <v>149</v>
      </c>
      <c r="G981" t="n">
        <v>0.15</v>
      </c>
      <c r="H981">
        <f>E981*F981*(1-G981)</f>
        <v/>
      </c>
      <c r="I981">
        <f>XLOOKUP(D981,Products!$A$2:$A$15,Products!$B$2:$B$15,"Not found")</f>
        <v/>
      </c>
    </row>
    <row r="982">
      <c r="A982" t="n">
        <v>105301</v>
      </c>
      <c r="B982" s="1" t="n">
        <v>45730</v>
      </c>
      <c r="C982" t="inlineStr">
        <is>
          <t>S02</t>
        </is>
      </c>
      <c r="D982" t="inlineStr">
        <is>
          <t>P203</t>
        </is>
      </c>
      <c r="E982" t="n">
        <v>2</v>
      </c>
      <c r="F982" t="n">
        <v>19.5</v>
      </c>
      <c r="G982" t="n">
        <v>0.15</v>
      </c>
      <c r="H982">
        <f>E982*F982*(1-G982)</f>
        <v/>
      </c>
      <c r="I982">
        <f>XLOOKUP(D982,Products!$A$2:$A$15,Products!$B$2:$B$15,"Not found")</f>
        <v/>
      </c>
    </row>
    <row r="983">
      <c r="A983" t="n">
        <v>105302</v>
      </c>
      <c r="B983" s="1" t="n">
        <v>45730</v>
      </c>
      <c r="C983" t="inlineStr">
        <is>
          <t>S03</t>
        </is>
      </c>
      <c r="D983" t="inlineStr">
        <is>
          <t>P102</t>
        </is>
      </c>
      <c r="E983" t="n">
        <v>1</v>
      </c>
      <c r="F983" t="n">
        <v>14.5</v>
      </c>
      <c r="G983" t="n">
        <v>0</v>
      </c>
      <c r="H983">
        <f>E983*F983*(1-G983)</f>
        <v/>
      </c>
      <c r="I983">
        <f>XLOOKUP(D983,Products!$A$2:$A$15,Products!$B$2:$B$15,"Not found")</f>
        <v/>
      </c>
    </row>
    <row r="984">
      <c r="A984" t="n">
        <v>105303</v>
      </c>
      <c r="B984" s="1" t="n">
        <v>45730</v>
      </c>
      <c r="C984" t="inlineStr">
        <is>
          <t>S03</t>
        </is>
      </c>
      <c r="D984" t="inlineStr">
        <is>
          <t>P301</t>
        </is>
      </c>
      <c r="E984" t="n">
        <v>1</v>
      </c>
      <c r="F984" t="n">
        <v>119</v>
      </c>
      <c r="G984" t="n">
        <v>0</v>
      </c>
      <c r="H984">
        <f>E984*F984*(1-G984)</f>
        <v/>
      </c>
      <c r="I984">
        <f>XLOOKUP(D984,Products!$A$2:$A$15,Products!$B$2:$B$15,"Not found")</f>
        <v/>
      </c>
    </row>
    <row r="985">
      <c r="A985" t="n">
        <v>105304</v>
      </c>
      <c r="B985" s="1" t="n">
        <v>45730</v>
      </c>
      <c r="C985" t="inlineStr">
        <is>
          <t>S03</t>
        </is>
      </c>
      <c r="D985" t="inlineStr">
        <is>
          <t>P301</t>
        </is>
      </c>
      <c r="E985" t="n">
        <v>1</v>
      </c>
      <c r="F985" t="n">
        <v>119</v>
      </c>
      <c r="G985" t="n">
        <v>0.15</v>
      </c>
      <c r="H985">
        <f>E985*F985*(1-G985)</f>
        <v/>
      </c>
      <c r="I985">
        <f>XLOOKUP(D985,Products!$A$2:$A$15,Products!$B$2:$B$15,"Not found")</f>
        <v/>
      </c>
    </row>
    <row r="986">
      <c r="A986" t="n">
        <v>105305</v>
      </c>
      <c r="B986" s="1" t="n">
        <v>45730</v>
      </c>
      <c r="C986" t="inlineStr">
        <is>
          <t>S06</t>
        </is>
      </c>
      <c r="D986" t="inlineStr">
        <is>
          <t>P203</t>
        </is>
      </c>
      <c r="E986" t="n">
        <v>1</v>
      </c>
      <c r="F986" t="n">
        <v>19.5</v>
      </c>
      <c r="G986" t="n">
        <v>0.1</v>
      </c>
      <c r="H986">
        <f>E986*F986*(1-G986)</f>
        <v/>
      </c>
      <c r="I986">
        <f>XLOOKUP(D986,Products!$A$2:$A$15,Products!$B$2:$B$15,"Not found")</f>
        <v/>
      </c>
    </row>
    <row r="987">
      <c r="A987" t="n">
        <v>105306</v>
      </c>
      <c r="B987" s="1" t="n">
        <v>45730</v>
      </c>
      <c r="C987" t="inlineStr">
        <is>
          <t>S06</t>
        </is>
      </c>
      <c r="D987" t="inlineStr">
        <is>
          <t>P102</t>
        </is>
      </c>
      <c r="E987" t="n">
        <v>1</v>
      </c>
      <c r="F987" t="n">
        <v>14.5</v>
      </c>
      <c r="G987" t="n">
        <v>0.15</v>
      </c>
      <c r="H987">
        <f>E987*F987*(1-G987)</f>
        <v/>
      </c>
      <c r="I987">
        <f>XLOOKUP(D987,Products!$A$2:$A$15,Products!$B$2:$B$15,"Not found")</f>
        <v/>
      </c>
    </row>
    <row r="988">
      <c r="A988" t="n">
        <v>105307</v>
      </c>
      <c r="B988" s="1" t="n">
        <v>45730</v>
      </c>
      <c r="C988" t="inlineStr">
        <is>
          <t>S06</t>
        </is>
      </c>
      <c r="D988" t="inlineStr">
        <is>
          <t>P102</t>
        </is>
      </c>
      <c r="E988" t="n">
        <v>1</v>
      </c>
      <c r="F988" t="n">
        <v>14.5</v>
      </c>
      <c r="G988" t="n">
        <v>0</v>
      </c>
      <c r="H988">
        <f>E988*F988*(1-G988)</f>
        <v/>
      </c>
      <c r="I988">
        <f>XLOOKUP(D988,Products!$A$2:$A$15,Products!$B$2:$B$15,"Not found")</f>
        <v/>
      </c>
    </row>
    <row r="989">
      <c r="A989" t="n">
        <v>105308</v>
      </c>
      <c r="B989" s="1" t="n">
        <v>45731</v>
      </c>
      <c r="C989" t="inlineStr">
        <is>
          <t>S01</t>
        </is>
      </c>
      <c r="D989" t="inlineStr">
        <is>
          <t>P101</t>
        </is>
      </c>
      <c r="E989" t="n">
        <v>1</v>
      </c>
      <c r="F989" t="n">
        <v>39</v>
      </c>
      <c r="G989" t="n">
        <v>0.1</v>
      </c>
      <c r="H989">
        <f>E989*F989*(1-G989)</f>
        <v/>
      </c>
      <c r="I989">
        <f>XLOOKUP(D989,Products!$A$2:$A$15,Products!$B$2:$B$15,"Not found")</f>
        <v/>
      </c>
    </row>
    <row r="990">
      <c r="A990" t="n">
        <v>105309</v>
      </c>
      <c r="B990" s="1" t="n">
        <v>45731</v>
      </c>
      <c r="C990" t="inlineStr">
        <is>
          <t>S01</t>
        </is>
      </c>
      <c r="D990" t="inlineStr">
        <is>
          <t>P101</t>
        </is>
      </c>
      <c r="E990" t="n">
        <v>4</v>
      </c>
      <c r="F990" t="n">
        <v>39</v>
      </c>
      <c r="G990" t="n">
        <v>0.1</v>
      </c>
      <c r="H990">
        <f>E990*F990*(1-G990)</f>
        <v/>
      </c>
      <c r="I990">
        <f>XLOOKUP(D990,Products!$A$2:$A$15,Products!$B$2:$B$15,"Not found")</f>
        <v/>
      </c>
    </row>
    <row r="991">
      <c r="A991" t="n">
        <v>105310</v>
      </c>
      <c r="B991" s="1" t="n">
        <v>45731</v>
      </c>
      <c r="C991" t="inlineStr">
        <is>
          <t>S01</t>
        </is>
      </c>
      <c r="D991" t="inlineStr">
        <is>
          <t>P203</t>
        </is>
      </c>
      <c r="E991" t="n">
        <v>1</v>
      </c>
      <c r="F991" t="n">
        <v>19.5</v>
      </c>
      <c r="G991" t="n">
        <v>0</v>
      </c>
      <c r="H991">
        <f>E991*F991*(1-G991)</f>
        <v/>
      </c>
      <c r="I991">
        <f>XLOOKUP(D991,Products!$A$2:$A$15,Products!$B$2:$B$15,"Not found")</f>
        <v/>
      </c>
    </row>
    <row r="992">
      <c r="A992" t="n">
        <v>105311</v>
      </c>
      <c r="B992" s="1" t="n">
        <v>45731</v>
      </c>
      <c r="C992" t="inlineStr">
        <is>
          <t>S02</t>
        </is>
      </c>
      <c r="D992" t="inlineStr">
        <is>
          <t>P103</t>
        </is>
      </c>
      <c r="E992" t="n">
        <v>2</v>
      </c>
      <c r="F992" t="n">
        <v>29</v>
      </c>
      <c r="G992" t="n">
        <v>0</v>
      </c>
      <c r="H992">
        <f>E992*F992*(1-G992)</f>
        <v/>
      </c>
      <c r="I992">
        <f>XLOOKUP(D992,Products!$A$2:$A$15,Products!$B$2:$B$15,"Not found")</f>
        <v/>
      </c>
    </row>
    <row r="993">
      <c r="A993" t="n">
        <v>105312</v>
      </c>
      <c r="B993" s="1" t="n">
        <v>45731</v>
      </c>
      <c r="C993" t="inlineStr">
        <is>
          <t>S02</t>
        </is>
      </c>
      <c r="D993" t="inlineStr">
        <is>
          <t>P102</t>
        </is>
      </c>
      <c r="E993" t="n">
        <v>2</v>
      </c>
      <c r="F993" t="n">
        <v>14.5</v>
      </c>
      <c r="G993" t="n">
        <v>0</v>
      </c>
      <c r="H993">
        <f>E993*F993*(1-G993)</f>
        <v/>
      </c>
      <c r="I993">
        <f>XLOOKUP(D993,Products!$A$2:$A$15,Products!$B$2:$B$15,"Not found")</f>
        <v/>
      </c>
    </row>
    <row r="994">
      <c r="A994" t="n">
        <v>105313</v>
      </c>
      <c r="B994" s="1" t="n">
        <v>45731</v>
      </c>
      <c r="C994" t="inlineStr">
        <is>
          <t>S02</t>
        </is>
      </c>
      <c r="D994" t="inlineStr">
        <is>
          <t>P204</t>
        </is>
      </c>
      <c r="E994" t="n">
        <v>1</v>
      </c>
      <c r="F994" t="n">
        <v>229</v>
      </c>
      <c r="G994" t="n">
        <v>0.1</v>
      </c>
      <c r="H994">
        <f>E994*F994*(1-G994)</f>
        <v/>
      </c>
      <c r="I994">
        <f>XLOOKUP(D994,Products!$A$2:$A$15,Products!$B$2:$B$15,"Not found")</f>
        <v/>
      </c>
    </row>
    <row r="995">
      <c r="A995" t="n">
        <v>105314</v>
      </c>
      <c r="B995" s="1" t="n">
        <v>45731</v>
      </c>
      <c r="C995" t="inlineStr">
        <is>
          <t>S03</t>
        </is>
      </c>
      <c r="D995" t="inlineStr">
        <is>
          <t>P204</t>
        </is>
      </c>
      <c r="E995" t="n">
        <v>1</v>
      </c>
      <c r="F995" t="n">
        <v>229</v>
      </c>
      <c r="G995" t="n">
        <v>0.1</v>
      </c>
      <c r="H995">
        <f>E995*F995*(1-G995)</f>
        <v/>
      </c>
      <c r="I995">
        <f>XLOOKUP(D995,Products!$A$2:$A$15,Products!$B$2:$B$15,"Not found")</f>
        <v/>
      </c>
    </row>
    <row r="996">
      <c r="A996" t="n">
        <v>105315</v>
      </c>
      <c r="B996" s="1" t="n">
        <v>45731</v>
      </c>
      <c r="C996" t="inlineStr">
        <is>
          <t>S03</t>
        </is>
      </c>
      <c r="D996" t="inlineStr">
        <is>
          <t>P102</t>
        </is>
      </c>
      <c r="E996" t="n">
        <v>4</v>
      </c>
      <c r="F996" t="n">
        <v>14.5</v>
      </c>
      <c r="G996" t="n">
        <v>0</v>
      </c>
      <c r="H996">
        <f>E996*F996*(1-G996)</f>
        <v/>
      </c>
      <c r="I996">
        <f>XLOOKUP(D996,Products!$A$2:$A$15,Products!$B$2:$B$15,"Not found")</f>
        <v/>
      </c>
    </row>
    <row r="997">
      <c r="A997" t="n">
        <v>105316</v>
      </c>
      <c r="B997" s="1" t="n">
        <v>45731</v>
      </c>
      <c r="C997" t="inlineStr">
        <is>
          <t>S03</t>
        </is>
      </c>
      <c r="D997" t="inlineStr">
        <is>
          <t>P102</t>
        </is>
      </c>
      <c r="E997" t="n">
        <v>1</v>
      </c>
      <c r="F997" t="n">
        <v>14.5</v>
      </c>
      <c r="G997" t="n">
        <v>0</v>
      </c>
      <c r="H997">
        <f>E997*F997*(1-G997)</f>
        <v/>
      </c>
      <c r="I997">
        <f>XLOOKUP(D997,Products!$A$2:$A$15,Products!$B$2:$B$15,"Not found")</f>
        <v/>
      </c>
    </row>
    <row r="998">
      <c r="A998" t="n">
        <v>105317</v>
      </c>
      <c r="B998" s="1" t="n">
        <v>45731</v>
      </c>
      <c r="C998" t="inlineStr">
        <is>
          <t>S03</t>
        </is>
      </c>
      <c r="D998" t="inlineStr">
        <is>
          <t>P204</t>
        </is>
      </c>
      <c r="E998" t="n">
        <v>1</v>
      </c>
      <c r="F998" t="n">
        <v>229</v>
      </c>
      <c r="G998" t="n">
        <v>0</v>
      </c>
      <c r="H998">
        <f>E998*F998*(1-G998)</f>
        <v/>
      </c>
      <c r="I998">
        <f>XLOOKUP(D998,Products!$A$2:$A$15,Products!$B$2:$B$15,"Not found")</f>
        <v/>
      </c>
    </row>
    <row r="999">
      <c r="A999" t="n">
        <v>105318</v>
      </c>
      <c r="B999" s="1" t="n">
        <v>45731</v>
      </c>
      <c r="C999" t="inlineStr">
        <is>
          <t>S03</t>
        </is>
      </c>
      <c r="D999" t="inlineStr">
        <is>
          <t>P402</t>
        </is>
      </c>
      <c r="E999" t="n">
        <v>1</v>
      </c>
      <c r="F999" t="n">
        <v>699</v>
      </c>
      <c r="G999" t="n">
        <v>0.15</v>
      </c>
      <c r="H999">
        <f>E999*F999*(1-G999)</f>
        <v/>
      </c>
      <c r="I999">
        <f>XLOOKUP(D999,Products!$A$2:$A$15,Products!$B$2:$B$15,"Not found")</f>
        <v/>
      </c>
    </row>
    <row r="1000">
      <c r="A1000" t="n">
        <v>105319</v>
      </c>
      <c r="B1000" s="1" t="n">
        <v>45731</v>
      </c>
      <c r="C1000" t="inlineStr">
        <is>
          <t>S03</t>
        </is>
      </c>
      <c r="D1000" t="inlineStr">
        <is>
          <t>P302</t>
        </is>
      </c>
      <c r="E1000" t="n">
        <v>1</v>
      </c>
      <c r="F1000" t="n">
        <v>24</v>
      </c>
      <c r="G1000" t="n">
        <v>0</v>
      </c>
      <c r="H1000">
        <f>E1000*F1000*(1-G1000)</f>
        <v/>
      </c>
      <c r="I1000">
        <f>XLOOKUP(D1000,Products!$A$2:$A$15,Products!$B$2:$B$15,"Not found")</f>
        <v/>
      </c>
    </row>
    <row r="1001">
      <c r="A1001" t="n">
        <v>105320</v>
      </c>
      <c r="B1001" s="1" t="n">
        <v>45731</v>
      </c>
      <c r="C1001" t="inlineStr">
        <is>
          <t>S04</t>
        </is>
      </c>
      <c r="D1001" t="inlineStr">
        <is>
          <t>P102</t>
        </is>
      </c>
      <c r="E1001" t="n">
        <v>1</v>
      </c>
      <c r="F1001" t="n">
        <v>14.5</v>
      </c>
      <c r="G1001" t="n">
        <v>0</v>
      </c>
      <c r="H1001">
        <f>E1001*F1001*(1-G1001)</f>
        <v/>
      </c>
      <c r="I1001">
        <f>XLOOKUP(D1001,Products!$A$2:$A$15,Products!$B$2:$B$15,"Not found")</f>
        <v/>
      </c>
    </row>
    <row r="1002">
      <c r="A1002" t="n">
        <v>105321</v>
      </c>
      <c r="B1002" s="1" t="n">
        <v>45731</v>
      </c>
      <c r="C1002" t="inlineStr">
        <is>
          <t>S05</t>
        </is>
      </c>
      <c r="D1002" t="inlineStr">
        <is>
          <t>P303</t>
        </is>
      </c>
      <c r="E1002" t="n">
        <v>1</v>
      </c>
      <c r="F1002" t="n">
        <v>12</v>
      </c>
      <c r="G1002" t="n">
        <v>0</v>
      </c>
      <c r="H1002">
        <f>E1002*F1002*(1-G1002)</f>
        <v/>
      </c>
      <c r="I1002">
        <f>XLOOKUP(D1002,Products!$A$2:$A$15,Products!$B$2:$B$15,"Not found")</f>
        <v/>
      </c>
    </row>
    <row r="1003">
      <c r="A1003" t="n">
        <v>105322</v>
      </c>
      <c r="B1003" s="1" t="n">
        <v>45731</v>
      </c>
      <c r="C1003" t="inlineStr">
        <is>
          <t>S05</t>
        </is>
      </c>
      <c r="D1003" t="inlineStr">
        <is>
          <t>P101</t>
        </is>
      </c>
      <c r="E1003" t="n">
        <v>4</v>
      </c>
      <c r="F1003" t="n">
        <v>39</v>
      </c>
      <c r="G1003" t="n">
        <v>0</v>
      </c>
      <c r="H1003">
        <f>E1003*F1003*(1-G1003)</f>
        <v/>
      </c>
      <c r="I1003">
        <f>XLOOKUP(D1003,Products!$A$2:$A$15,Products!$B$2:$B$15,"Not found")</f>
        <v/>
      </c>
    </row>
    <row r="1004">
      <c r="A1004" t="n">
        <v>105323</v>
      </c>
      <c r="B1004" s="1" t="n">
        <v>45731</v>
      </c>
      <c r="C1004" t="inlineStr">
        <is>
          <t>S06</t>
        </is>
      </c>
      <c r="D1004" t="inlineStr">
        <is>
          <t>P101</t>
        </is>
      </c>
      <c r="E1004" t="n">
        <v>2</v>
      </c>
      <c r="F1004" t="n">
        <v>39</v>
      </c>
      <c r="G1004" t="n">
        <v>0</v>
      </c>
      <c r="H1004">
        <f>E1004*F1004*(1-G1004)</f>
        <v/>
      </c>
      <c r="I1004">
        <f>XLOOKUP(D1004,Products!$A$2:$A$15,Products!$B$2:$B$15,"Not found")</f>
        <v/>
      </c>
    </row>
    <row r="1005">
      <c r="A1005" t="n">
        <v>105324</v>
      </c>
      <c r="B1005" s="1" t="n">
        <v>45732</v>
      </c>
      <c r="C1005" t="inlineStr">
        <is>
          <t>S01</t>
        </is>
      </c>
      <c r="D1005" t="inlineStr">
        <is>
          <t>P102</t>
        </is>
      </c>
      <c r="E1005" t="n">
        <v>2</v>
      </c>
      <c r="F1005" t="n">
        <v>14.5</v>
      </c>
      <c r="G1005" t="n">
        <v>0</v>
      </c>
      <c r="H1005">
        <f>E1005*F1005*(1-G1005)</f>
        <v/>
      </c>
      <c r="I1005">
        <f>XLOOKUP(D1005,Products!$A$2:$A$15,Products!$B$2:$B$15,"Not found")</f>
        <v/>
      </c>
    </row>
    <row r="1006">
      <c r="A1006" t="n">
        <v>105325</v>
      </c>
      <c r="B1006" s="1" t="n">
        <v>45732</v>
      </c>
      <c r="C1006" t="inlineStr">
        <is>
          <t>S01</t>
        </is>
      </c>
      <c r="D1006" t="inlineStr">
        <is>
          <t>P203</t>
        </is>
      </c>
      <c r="E1006" t="n">
        <v>3</v>
      </c>
      <c r="F1006" t="n">
        <v>19.5</v>
      </c>
      <c r="G1006" t="n">
        <v>0</v>
      </c>
      <c r="H1006">
        <f>E1006*F1006*(1-G1006)</f>
        <v/>
      </c>
      <c r="I1006">
        <f>XLOOKUP(D1006,Products!$A$2:$A$15,Products!$B$2:$B$15,"Not found")</f>
        <v/>
      </c>
    </row>
    <row r="1007">
      <c r="A1007" t="n">
        <v>105326</v>
      </c>
      <c r="B1007" s="1" t="n">
        <v>45732</v>
      </c>
      <c r="C1007" t="inlineStr">
        <is>
          <t>S01</t>
        </is>
      </c>
      <c r="D1007" t="inlineStr">
        <is>
          <t>P102</t>
        </is>
      </c>
      <c r="E1007" t="n">
        <v>1</v>
      </c>
      <c r="F1007" t="n">
        <v>14.5</v>
      </c>
      <c r="G1007" t="n">
        <v>0</v>
      </c>
      <c r="H1007">
        <f>E1007*F1007*(1-G1007)</f>
        <v/>
      </c>
      <c r="I1007">
        <f>XLOOKUP(D1007,Products!$A$2:$A$15,Products!$B$2:$B$15,"Not found")</f>
        <v/>
      </c>
    </row>
    <row r="1008">
      <c r="A1008" t="n">
        <v>105327</v>
      </c>
      <c r="B1008" s="1" t="n">
        <v>45732</v>
      </c>
      <c r="C1008" t="inlineStr">
        <is>
          <t>S01</t>
        </is>
      </c>
      <c r="D1008" t="inlineStr">
        <is>
          <t>P204</t>
        </is>
      </c>
      <c r="E1008" t="n">
        <v>1</v>
      </c>
      <c r="F1008" t="n">
        <v>229</v>
      </c>
      <c r="G1008" t="n">
        <v>0.15</v>
      </c>
      <c r="H1008">
        <f>E1008*F1008*(1-G1008)</f>
        <v/>
      </c>
      <c r="I1008">
        <f>XLOOKUP(D1008,Products!$A$2:$A$15,Products!$B$2:$B$15,"Not found")</f>
        <v/>
      </c>
    </row>
    <row r="1009">
      <c r="A1009" t="n">
        <v>105328</v>
      </c>
      <c r="B1009" s="1" t="n">
        <v>45732</v>
      </c>
      <c r="C1009" t="inlineStr">
        <is>
          <t>S01</t>
        </is>
      </c>
      <c r="D1009" t="inlineStr">
        <is>
          <t>P302</t>
        </is>
      </c>
      <c r="E1009" t="n">
        <v>1</v>
      </c>
      <c r="F1009" t="n">
        <v>24</v>
      </c>
      <c r="G1009" t="n">
        <v>0.15</v>
      </c>
      <c r="H1009">
        <f>E1009*F1009*(1-G1009)</f>
        <v/>
      </c>
      <c r="I1009">
        <f>XLOOKUP(D1009,Products!$A$2:$A$15,Products!$B$2:$B$15,"Not found")</f>
        <v/>
      </c>
    </row>
    <row r="1010">
      <c r="A1010" t="n">
        <v>105329</v>
      </c>
      <c r="B1010" s="1" t="n">
        <v>45732</v>
      </c>
      <c r="C1010" t="inlineStr">
        <is>
          <t>S01</t>
        </is>
      </c>
      <c r="D1010" t="inlineStr">
        <is>
          <t>P201</t>
        </is>
      </c>
      <c r="E1010" t="n">
        <v>1</v>
      </c>
      <c r="F1010" t="n">
        <v>149</v>
      </c>
      <c r="G1010" t="n">
        <v>0.15</v>
      </c>
      <c r="H1010">
        <f>E1010*F1010*(1-G1010)</f>
        <v/>
      </c>
      <c r="I1010">
        <f>XLOOKUP(D1010,Products!$A$2:$A$15,Products!$B$2:$B$15,"Not found")</f>
        <v/>
      </c>
    </row>
    <row r="1011">
      <c r="A1011" t="n">
        <v>105330</v>
      </c>
      <c r="B1011" s="1" t="n">
        <v>45732</v>
      </c>
      <c r="C1011" t="inlineStr">
        <is>
          <t>S01</t>
        </is>
      </c>
      <c r="D1011" t="inlineStr">
        <is>
          <t>P101</t>
        </is>
      </c>
      <c r="E1011" t="n">
        <v>2</v>
      </c>
      <c r="F1011" t="n">
        <v>39</v>
      </c>
      <c r="G1011" t="n">
        <v>0</v>
      </c>
      <c r="H1011">
        <f>E1011*F1011*(1-G1011)</f>
        <v/>
      </c>
      <c r="I1011">
        <f>XLOOKUP(D1011,Products!$A$2:$A$15,Products!$B$2:$B$15,"Not found")</f>
        <v/>
      </c>
    </row>
    <row r="1012">
      <c r="A1012" t="n">
        <v>105331</v>
      </c>
      <c r="B1012" s="1" t="n">
        <v>45732</v>
      </c>
      <c r="C1012" t="inlineStr">
        <is>
          <t>S01</t>
        </is>
      </c>
      <c r="D1012" t="inlineStr">
        <is>
          <t>P201</t>
        </is>
      </c>
      <c r="E1012" t="n">
        <v>1</v>
      </c>
      <c r="F1012" t="n">
        <v>149</v>
      </c>
      <c r="G1012" t="n">
        <v>0</v>
      </c>
      <c r="H1012">
        <f>E1012*F1012*(1-G1012)</f>
        <v/>
      </c>
      <c r="I1012">
        <f>XLOOKUP(D1012,Products!$A$2:$A$15,Products!$B$2:$B$15,"Not found")</f>
        <v/>
      </c>
    </row>
    <row r="1013">
      <c r="A1013" t="n">
        <v>105332</v>
      </c>
      <c r="B1013" s="1" t="n">
        <v>45732</v>
      </c>
      <c r="C1013" t="inlineStr">
        <is>
          <t>S01</t>
        </is>
      </c>
      <c r="D1013" t="inlineStr">
        <is>
          <t>P202</t>
        </is>
      </c>
      <c r="E1013" t="n">
        <v>2</v>
      </c>
      <c r="F1013" t="n">
        <v>79</v>
      </c>
      <c r="G1013" t="n">
        <v>0</v>
      </c>
      <c r="H1013">
        <f>E1013*F1013*(1-G1013)</f>
        <v/>
      </c>
      <c r="I1013">
        <f>XLOOKUP(D1013,Products!$A$2:$A$15,Products!$B$2:$B$15,"Not found")</f>
        <v/>
      </c>
    </row>
    <row r="1014">
      <c r="A1014" t="n">
        <v>105333</v>
      </c>
      <c r="B1014" s="1" t="n">
        <v>45732</v>
      </c>
      <c r="C1014" t="inlineStr">
        <is>
          <t>S02</t>
        </is>
      </c>
      <c r="D1014" t="inlineStr">
        <is>
          <t>P302</t>
        </is>
      </c>
      <c r="E1014" t="n">
        <v>1</v>
      </c>
      <c r="F1014" t="n">
        <v>24</v>
      </c>
      <c r="G1014" t="n">
        <v>0.1</v>
      </c>
      <c r="H1014">
        <f>E1014*F1014*(1-G1014)</f>
        <v/>
      </c>
      <c r="I1014">
        <f>XLOOKUP(D1014,Products!$A$2:$A$15,Products!$B$2:$B$15,"Not found")</f>
        <v/>
      </c>
    </row>
    <row r="1015">
      <c r="A1015" t="n">
        <v>105334</v>
      </c>
      <c r="B1015" s="1" t="n">
        <v>45732</v>
      </c>
      <c r="C1015" t="inlineStr">
        <is>
          <t>S03</t>
        </is>
      </c>
      <c r="D1015" t="inlineStr">
        <is>
          <t>P204</t>
        </is>
      </c>
      <c r="E1015" t="n">
        <v>1</v>
      </c>
      <c r="F1015" t="n">
        <v>229</v>
      </c>
      <c r="G1015" t="n">
        <v>0.1</v>
      </c>
      <c r="H1015">
        <f>E1015*F1015*(1-G1015)</f>
        <v/>
      </c>
      <c r="I1015">
        <f>XLOOKUP(D1015,Products!$A$2:$A$15,Products!$B$2:$B$15,"Not found")</f>
        <v/>
      </c>
    </row>
    <row r="1016">
      <c r="A1016" t="n">
        <v>105335</v>
      </c>
      <c r="B1016" s="1" t="n">
        <v>45732</v>
      </c>
      <c r="C1016" t="inlineStr">
        <is>
          <t>S03</t>
        </is>
      </c>
      <c r="D1016" t="inlineStr">
        <is>
          <t>P104</t>
        </is>
      </c>
      <c r="E1016" t="n">
        <v>1</v>
      </c>
      <c r="F1016" t="n">
        <v>189</v>
      </c>
      <c r="G1016" t="n">
        <v>0</v>
      </c>
      <c r="H1016">
        <f>E1016*F1016*(1-G1016)</f>
        <v/>
      </c>
      <c r="I1016">
        <f>XLOOKUP(D1016,Products!$A$2:$A$15,Products!$B$2:$B$15,"Not found")</f>
        <v/>
      </c>
    </row>
    <row r="1017">
      <c r="A1017" t="n">
        <v>105336</v>
      </c>
      <c r="B1017" s="1" t="n">
        <v>45732</v>
      </c>
      <c r="C1017" t="inlineStr">
        <is>
          <t>S04</t>
        </is>
      </c>
      <c r="D1017" t="inlineStr">
        <is>
          <t>P101</t>
        </is>
      </c>
      <c r="E1017" t="n">
        <v>1</v>
      </c>
      <c r="F1017" t="n">
        <v>39</v>
      </c>
      <c r="G1017" t="n">
        <v>0</v>
      </c>
      <c r="H1017">
        <f>E1017*F1017*(1-G1017)</f>
        <v/>
      </c>
      <c r="I1017">
        <f>XLOOKUP(D1017,Products!$A$2:$A$15,Products!$B$2:$B$15,"Not found")</f>
        <v/>
      </c>
    </row>
    <row r="1018">
      <c r="A1018" t="n">
        <v>105337</v>
      </c>
      <c r="B1018" s="1" t="n">
        <v>45732</v>
      </c>
      <c r="C1018" t="inlineStr">
        <is>
          <t>S05</t>
        </is>
      </c>
      <c r="D1018" t="inlineStr">
        <is>
          <t>P303</t>
        </is>
      </c>
      <c r="E1018" t="n">
        <v>1</v>
      </c>
      <c r="F1018" t="n">
        <v>12</v>
      </c>
      <c r="G1018" t="n">
        <v>0</v>
      </c>
      <c r="H1018">
        <f>E1018*F1018*(1-G1018)</f>
        <v/>
      </c>
      <c r="I1018">
        <f>XLOOKUP(D1018,Products!$A$2:$A$15,Products!$B$2:$B$15,"Not found")</f>
        <v/>
      </c>
    </row>
    <row r="1019">
      <c r="A1019" t="n">
        <v>105338</v>
      </c>
      <c r="B1019" s="1" t="n">
        <v>45733</v>
      </c>
      <c r="C1019" t="inlineStr">
        <is>
          <t>S01</t>
        </is>
      </c>
      <c r="D1019" t="inlineStr">
        <is>
          <t>P204</t>
        </is>
      </c>
      <c r="E1019" t="n">
        <v>1</v>
      </c>
      <c r="F1019" t="n">
        <v>229</v>
      </c>
      <c r="G1019" t="n">
        <v>0.1</v>
      </c>
      <c r="H1019">
        <f>E1019*F1019*(1-G1019)</f>
        <v/>
      </c>
      <c r="I1019">
        <f>XLOOKUP(D1019,Products!$A$2:$A$15,Products!$B$2:$B$15,"Not found")</f>
        <v/>
      </c>
    </row>
    <row r="1020">
      <c r="A1020" t="n">
        <v>105339</v>
      </c>
      <c r="B1020" s="1" t="n">
        <v>45733</v>
      </c>
      <c r="C1020" t="inlineStr">
        <is>
          <t>S01</t>
        </is>
      </c>
      <c r="D1020" t="inlineStr">
        <is>
          <t>P204</t>
        </is>
      </c>
      <c r="E1020" t="n">
        <v>1</v>
      </c>
      <c r="F1020" t="n">
        <v>229</v>
      </c>
      <c r="G1020" t="n">
        <v>0</v>
      </c>
      <c r="H1020">
        <f>E1020*F1020*(1-G1020)</f>
        <v/>
      </c>
      <c r="I1020">
        <f>XLOOKUP(D1020,Products!$A$2:$A$15,Products!$B$2:$B$15,"Not found")</f>
        <v/>
      </c>
    </row>
    <row r="1021">
      <c r="A1021" t="n">
        <v>105340</v>
      </c>
      <c r="B1021" s="1" t="n">
        <v>45733</v>
      </c>
      <c r="C1021" t="inlineStr">
        <is>
          <t>S01</t>
        </is>
      </c>
      <c r="D1021" t="inlineStr">
        <is>
          <t>P101</t>
        </is>
      </c>
      <c r="E1021" t="n">
        <v>2</v>
      </c>
      <c r="F1021" t="n">
        <v>39</v>
      </c>
      <c r="G1021" t="n">
        <v>0.1</v>
      </c>
      <c r="H1021">
        <f>E1021*F1021*(1-G1021)</f>
        <v/>
      </c>
      <c r="I1021">
        <f>XLOOKUP(D1021,Products!$A$2:$A$15,Products!$B$2:$B$15,"Not found")</f>
        <v/>
      </c>
    </row>
    <row r="1022">
      <c r="A1022" t="n">
        <v>105341</v>
      </c>
      <c r="B1022" s="1" t="n">
        <v>45733</v>
      </c>
      <c r="C1022" t="inlineStr">
        <is>
          <t>S02</t>
        </is>
      </c>
      <c r="D1022" t="inlineStr">
        <is>
          <t>P303</t>
        </is>
      </c>
      <c r="E1022" t="n">
        <v>4</v>
      </c>
      <c r="F1022" t="n">
        <v>12</v>
      </c>
      <c r="G1022" t="n">
        <v>0</v>
      </c>
      <c r="H1022">
        <f>E1022*F1022*(1-G1022)</f>
        <v/>
      </c>
      <c r="I1022">
        <f>XLOOKUP(D1022,Products!$A$2:$A$15,Products!$B$2:$B$15,"Not found")</f>
        <v/>
      </c>
    </row>
    <row r="1023">
      <c r="A1023" t="n">
        <v>105342</v>
      </c>
      <c r="B1023" s="1" t="n">
        <v>45733</v>
      </c>
      <c r="C1023" t="inlineStr">
        <is>
          <t>S02</t>
        </is>
      </c>
      <c r="D1023" t="inlineStr">
        <is>
          <t>P102</t>
        </is>
      </c>
      <c r="E1023" t="n">
        <v>2</v>
      </c>
      <c r="F1023" t="n">
        <v>14.5</v>
      </c>
      <c r="G1023" t="n">
        <v>0.2</v>
      </c>
      <c r="H1023">
        <f>E1023*F1023*(1-G1023)</f>
        <v/>
      </c>
      <c r="I1023">
        <f>XLOOKUP(D1023,Products!$A$2:$A$15,Products!$B$2:$B$15,"Not found")</f>
        <v/>
      </c>
    </row>
    <row r="1024">
      <c r="A1024" t="n">
        <v>105343</v>
      </c>
      <c r="B1024" s="1" t="n">
        <v>45733</v>
      </c>
      <c r="C1024" t="inlineStr">
        <is>
          <t>S03</t>
        </is>
      </c>
      <c r="D1024" t="inlineStr">
        <is>
          <t>P303</t>
        </is>
      </c>
      <c r="E1024" t="n">
        <v>1</v>
      </c>
      <c r="F1024" t="n">
        <v>12</v>
      </c>
      <c r="G1024" t="n">
        <v>0</v>
      </c>
      <c r="H1024">
        <f>E1024*F1024*(1-G1024)</f>
        <v/>
      </c>
      <c r="I1024">
        <f>XLOOKUP(D1024,Products!$A$2:$A$15,Products!$B$2:$B$15,"Not found")</f>
        <v/>
      </c>
    </row>
    <row r="1025">
      <c r="A1025" t="n">
        <v>105344</v>
      </c>
      <c r="B1025" s="1" t="n">
        <v>45733</v>
      </c>
      <c r="C1025" t="inlineStr">
        <is>
          <t>S03</t>
        </is>
      </c>
      <c r="D1025" t="inlineStr">
        <is>
          <t>P102</t>
        </is>
      </c>
      <c r="E1025" t="n">
        <v>2</v>
      </c>
      <c r="F1025" t="n">
        <v>14.5</v>
      </c>
      <c r="G1025" t="n">
        <v>0</v>
      </c>
      <c r="H1025">
        <f>E1025*F1025*(1-G1025)</f>
        <v/>
      </c>
      <c r="I1025">
        <f>XLOOKUP(D1025,Products!$A$2:$A$15,Products!$B$2:$B$15,"Not found")</f>
        <v/>
      </c>
    </row>
    <row r="1026">
      <c r="A1026" t="n">
        <v>105345</v>
      </c>
      <c r="B1026" s="1" t="n">
        <v>45733</v>
      </c>
      <c r="C1026" t="inlineStr">
        <is>
          <t>S04</t>
        </is>
      </c>
      <c r="D1026" t="inlineStr">
        <is>
          <t>P303</t>
        </is>
      </c>
      <c r="E1026" t="n">
        <v>2</v>
      </c>
      <c r="F1026" t="n">
        <v>12</v>
      </c>
      <c r="G1026" t="n">
        <v>0.15</v>
      </c>
      <c r="H1026">
        <f>E1026*F1026*(1-G1026)</f>
        <v/>
      </c>
      <c r="I1026">
        <f>XLOOKUP(D1026,Products!$A$2:$A$15,Products!$B$2:$B$15,"Not found")</f>
        <v/>
      </c>
    </row>
    <row r="1027">
      <c r="A1027" t="n">
        <v>105346</v>
      </c>
      <c r="B1027" s="1" t="n">
        <v>45733</v>
      </c>
      <c r="C1027" t="inlineStr">
        <is>
          <t>S04</t>
        </is>
      </c>
      <c r="D1027" t="inlineStr">
        <is>
          <t>P202</t>
        </is>
      </c>
      <c r="E1027" t="n">
        <v>1</v>
      </c>
      <c r="F1027" t="n">
        <v>79</v>
      </c>
      <c r="G1027" t="n">
        <v>0.15</v>
      </c>
      <c r="H1027">
        <f>E1027*F1027*(1-G1027)</f>
        <v/>
      </c>
      <c r="I1027">
        <f>XLOOKUP(D1027,Products!$A$2:$A$15,Products!$B$2:$B$15,"Not found")</f>
        <v/>
      </c>
    </row>
    <row r="1028">
      <c r="A1028" t="n">
        <v>105347</v>
      </c>
      <c r="B1028" s="1" t="n">
        <v>45733</v>
      </c>
      <c r="C1028" t="inlineStr">
        <is>
          <t>S05</t>
        </is>
      </c>
      <c r="D1028" t="inlineStr">
        <is>
          <t>P203</t>
        </is>
      </c>
      <c r="E1028" t="n">
        <v>4</v>
      </c>
      <c r="F1028" t="n">
        <v>19.5</v>
      </c>
      <c r="G1028" t="n">
        <v>0</v>
      </c>
      <c r="H1028">
        <f>E1028*F1028*(1-G1028)</f>
        <v/>
      </c>
      <c r="I1028">
        <f>XLOOKUP(D1028,Products!$A$2:$A$15,Products!$B$2:$B$15,"Not found")</f>
        <v/>
      </c>
    </row>
    <row r="1029">
      <c r="A1029" t="n">
        <v>105348</v>
      </c>
      <c r="B1029" s="1" t="n">
        <v>45733</v>
      </c>
      <c r="C1029" t="inlineStr">
        <is>
          <t>S05</t>
        </is>
      </c>
      <c r="D1029" t="inlineStr">
        <is>
          <t>P303</t>
        </is>
      </c>
      <c r="E1029" t="n">
        <v>2</v>
      </c>
      <c r="F1029" t="n">
        <v>12</v>
      </c>
      <c r="G1029" t="n">
        <v>0</v>
      </c>
      <c r="H1029">
        <f>E1029*F1029*(1-G1029)</f>
        <v/>
      </c>
      <c r="I1029">
        <f>XLOOKUP(D1029,Products!$A$2:$A$15,Products!$B$2:$B$15,"Not found")</f>
        <v/>
      </c>
    </row>
    <row r="1030">
      <c r="A1030" t="n">
        <v>105349</v>
      </c>
      <c r="B1030" s="1" t="n">
        <v>45733</v>
      </c>
      <c r="C1030" t="inlineStr">
        <is>
          <t>S05</t>
        </is>
      </c>
      <c r="D1030" t="inlineStr">
        <is>
          <t>P102</t>
        </is>
      </c>
      <c r="E1030" t="n">
        <v>1</v>
      </c>
      <c r="F1030" t="n">
        <v>14.5</v>
      </c>
      <c r="G1030" t="n">
        <v>0</v>
      </c>
      <c r="H1030">
        <f>E1030*F1030*(1-G1030)</f>
        <v/>
      </c>
      <c r="I1030">
        <f>XLOOKUP(D1030,Products!$A$2:$A$15,Products!$B$2:$B$15,"Not found")</f>
        <v/>
      </c>
    </row>
    <row r="1031">
      <c r="A1031" t="n">
        <v>105350</v>
      </c>
      <c r="B1031" s="1" t="n">
        <v>45734</v>
      </c>
      <c r="C1031" t="inlineStr">
        <is>
          <t>S01</t>
        </is>
      </c>
      <c r="D1031" t="inlineStr">
        <is>
          <t>P303</t>
        </is>
      </c>
      <c r="E1031" t="n">
        <v>3</v>
      </c>
      <c r="F1031" t="n">
        <v>12</v>
      </c>
      <c r="G1031" t="n">
        <v>0.2</v>
      </c>
      <c r="H1031">
        <f>E1031*F1031*(1-G1031)</f>
        <v/>
      </c>
      <c r="I1031">
        <f>XLOOKUP(D1031,Products!$A$2:$A$15,Products!$B$2:$B$15,"Not found")</f>
        <v/>
      </c>
    </row>
    <row r="1032">
      <c r="A1032" t="n">
        <v>105351</v>
      </c>
      <c r="B1032" s="1" t="n">
        <v>45734</v>
      </c>
      <c r="C1032" t="inlineStr">
        <is>
          <t>S01</t>
        </is>
      </c>
      <c r="D1032" t="inlineStr">
        <is>
          <t>P102</t>
        </is>
      </c>
      <c r="E1032" t="n">
        <v>2</v>
      </c>
      <c r="F1032" t="n">
        <v>14.5</v>
      </c>
      <c r="G1032" t="n">
        <v>0.1</v>
      </c>
      <c r="H1032">
        <f>E1032*F1032*(1-G1032)</f>
        <v/>
      </c>
      <c r="I1032">
        <f>XLOOKUP(D1032,Products!$A$2:$A$15,Products!$B$2:$B$15,"Not found")</f>
        <v/>
      </c>
    </row>
    <row r="1033">
      <c r="A1033" t="n">
        <v>105352</v>
      </c>
      <c r="B1033" s="1" t="n">
        <v>45734</v>
      </c>
      <c r="C1033" t="inlineStr">
        <is>
          <t>S02</t>
        </is>
      </c>
      <c r="D1033" t="inlineStr">
        <is>
          <t>P202</t>
        </is>
      </c>
      <c r="E1033" t="n">
        <v>1</v>
      </c>
      <c r="F1033" t="n">
        <v>79</v>
      </c>
      <c r="G1033" t="n">
        <v>0</v>
      </c>
      <c r="H1033">
        <f>E1033*F1033*(1-G1033)</f>
        <v/>
      </c>
      <c r="I1033">
        <f>XLOOKUP(D1033,Products!$A$2:$A$15,Products!$B$2:$B$15,"Not found")</f>
        <v/>
      </c>
    </row>
    <row r="1034">
      <c r="A1034" t="n">
        <v>105353</v>
      </c>
      <c r="B1034" s="1" t="n">
        <v>45734</v>
      </c>
      <c r="C1034" t="inlineStr">
        <is>
          <t>S02</t>
        </is>
      </c>
      <c r="D1034" t="inlineStr">
        <is>
          <t>P203</t>
        </is>
      </c>
      <c r="E1034" t="n">
        <v>2</v>
      </c>
      <c r="F1034" t="n">
        <v>19.5</v>
      </c>
      <c r="G1034" t="n">
        <v>0</v>
      </c>
      <c r="H1034">
        <f>E1034*F1034*(1-G1034)</f>
        <v/>
      </c>
      <c r="I1034">
        <f>XLOOKUP(D1034,Products!$A$2:$A$15,Products!$B$2:$B$15,"Not found")</f>
        <v/>
      </c>
    </row>
    <row r="1035">
      <c r="A1035" t="n">
        <v>105354</v>
      </c>
      <c r="B1035" s="1" t="n">
        <v>45734</v>
      </c>
      <c r="C1035" t="inlineStr">
        <is>
          <t>S03</t>
        </is>
      </c>
      <c r="D1035" t="inlineStr">
        <is>
          <t>P204</t>
        </is>
      </c>
      <c r="E1035" t="n">
        <v>1</v>
      </c>
      <c r="F1035" t="n">
        <v>229</v>
      </c>
      <c r="G1035" t="n">
        <v>0</v>
      </c>
      <c r="H1035">
        <f>E1035*F1035*(1-G1035)</f>
        <v/>
      </c>
      <c r="I1035">
        <f>XLOOKUP(D1035,Products!$A$2:$A$15,Products!$B$2:$B$15,"Not found")</f>
        <v/>
      </c>
    </row>
    <row r="1036">
      <c r="A1036" t="n">
        <v>105355</v>
      </c>
      <c r="B1036" s="1" t="n">
        <v>45734</v>
      </c>
      <c r="C1036" t="inlineStr">
        <is>
          <t>S04</t>
        </is>
      </c>
      <c r="D1036" t="inlineStr">
        <is>
          <t>P301</t>
        </is>
      </c>
      <c r="E1036" t="n">
        <v>1</v>
      </c>
      <c r="F1036" t="n">
        <v>119</v>
      </c>
      <c r="G1036" t="n">
        <v>0</v>
      </c>
      <c r="H1036">
        <f>E1036*F1036*(1-G1036)</f>
        <v/>
      </c>
      <c r="I1036">
        <f>XLOOKUP(D1036,Products!$A$2:$A$15,Products!$B$2:$B$15,"Not found")</f>
        <v/>
      </c>
    </row>
    <row r="1037">
      <c r="A1037" t="n">
        <v>105356</v>
      </c>
      <c r="B1037" s="1" t="n">
        <v>45734</v>
      </c>
      <c r="C1037" t="inlineStr">
        <is>
          <t>S06</t>
        </is>
      </c>
      <c r="D1037" t="inlineStr">
        <is>
          <t>P202</t>
        </is>
      </c>
      <c r="E1037" t="n">
        <v>1</v>
      </c>
      <c r="F1037" t="n">
        <v>79</v>
      </c>
      <c r="G1037" t="n">
        <v>0</v>
      </c>
      <c r="H1037">
        <f>E1037*F1037*(1-G1037)</f>
        <v/>
      </c>
      <c r="I1037">
        <f>XLOOKUP(D1037,Products!$A$2:$A$15,Products!$B$2:$B$15,"Not found")</f>
        <v/>
      </c>
    </row>
    <row r="1038">
      <c r="A1038" t="n">
        <v>105357</v>
      </c>
      <c r="B1038" s="1" t="n">
        <v>45735</v>
      </c>
      <c r="C1038" t="inlineStr">
        <is>
          <t>S01</t>
        </is>
      </c>
      <c r="D1038" t="inlineStr">
        <is>
          <t>P102</t>
        </is>
      </c>
      <c r="E1038" t="n">
        <v>2</v>
      </c>
      <c r="F1038" t="n">
        <v>14.5</v>
      </c>
      <c r="G1038" t="n">
        <v>0.2</v>
      </c>
      <c r="H1038">
        <f>E1038*F1038*(1-G1038)</f>
        <v/>
      </c>
      <c r="I1038">
        <f>XLOOKUP(D1038,Products!$A$2:$A$15,Products!$B$2:$B$15,"Not found")</f>
        <v/>
      </c>
    </row>
    <row r="1039">
      <c r="A1039" t="n">
        <v>105358</v>
      </c>
      <c r="B1039" s="1" t="n">
        <v>45735</v>
      </c>
      <c r="C1039" t="inlineStr">
        <is>
          <t>S02</t>
        </is>
      </c>
      <c r="D1039" t="inlineStr">
        <is>
          <t>P402</t>
        </is>
      </c>
      <c r="E1039" t="n">
        <v>1</v>
      </c>
      <c r="F1039" t="n">
        <v>699</v>
      </c>
      <c r="G1039" t="n">
        <v>0</v>
      </c>
      <c r="H1039">
        <f>E1039*F1039*(1-G1039)</f>
        <v/>
      </c>
      <c r="I1039">
        <f>XLOOKUP(D1039,Products!$A$2:$A$15,Products!$B$2:$B$15,"Not found")</f>
        <v/>
      </c>
    </row>
    <row r="1040">
      <c r="A1040" t="n">
        <v>105359</v>
      </c>
      <c r="B1040" s="1" t="n">
        <v>45735</v>
      </c>
      <c r="C1040" t="inlineStr">
        <is>
          <t>S02</t>
        </is>
      </c>
      <c r="D1040" t="inlineStr">
        <is>
          <t>P301</t>
        </is>
      </c>
      <c r="E1040" t="n">
        <v>1</v>
      </c>
      <c r="F1040" t="n">
        <v>119</v>
      </c>
      <c r="G1040" t="n">
        <v>0</v>
      </c>
      <c r="H1040">
        <f>E1040*F1040*(1-G1040)</f>
        <v/>
      </c>
      <c r="I1040">
        <f>XLOOKUP(D1040,Products!$A$2:$A$15,Products!$B$2:$B$15,"Not found")</f>
        <v/>
      </c>
    </row>
    <row r="1041">
      <c r="A1041" t="n">
        <v>105360</v>
      </c>
      <c r="B1041" s="1" t="n">
        <v>45735</v>
      </c>
      <c r="C1041" t="inlineStr">
        <is>
          <t>S02</t>
        </is>
      </c>
      <c r="D1041" t="inlineStr">
        <is>
          <t>P102</t>
        </is>
      </c>
      <c r="E1041" t="n">
        <v>1</v>
      </c>
      <c r="F1041" t="n">
        <v>14.5</v>
      </c>
      <c r="G1041" t="n">
        <v>0</v>
      </c>
      <c r="H1041">
        <f>E1041*F1041*(1-G1041)</f>
        <v/>
      </c>
      <c r="I1041">
        <f>XLOOKUP(D1041,Products!$A$2:$A$15,Products!$B$2:$B$15,"Not found")</f>
        <v/>
      </c>
    </row>
    <row r="1042">
      <c r="A1042" t="n">
        <v>105361</v>
      </c>
      <c r="B1042" s="1" t="n">
        <v>45735</v>
      </c>
      <c r="C1042" t="inlineStr">
        <is>
          <t>S03</t>
        </is>
      </c>
      <c r="D1042" t="inlineStr">
        <is>
          <t>P102</t>
        </is>
      </c>
      <c r="E1042" t="n">
        <v>1</v>
      </c>
      <c r="F1042" t="n">
        <v>14.5</v>
      </c>
      <c r="G1042" t="n">
        <v>0</v>
      </c>
      <c r="H1042">
        <f>E1042*F1042*(1-G1042)</f>
        <v/>
      </c>
      <c r="I1042">
        <f>XLOOKUP(D1042,Products!$A$2:$A$15,Products!$B$2:$B$15,"Not found")</f>
        <v/>
      </c>
    </row>
    <row r="1043">
      <c r="A1043" t="n">
        <v>105362</v>
      </c>
      <c r="B1043" s="1" t="n">
        <v>45735</v>
      </c>
      <c r="C1043" t="inlineStr">
        <is>
          <t>S03</t>
        </is>
      </c>
      <c r="D1043" t="inlineStr">
        <is>
          <t>P303</t>
        </is>
      </c>
      <c r="E1043" t="n">
        <v>1</v>
      </c>
      <c r="F1043" t="n">
        <v>12</v>
      </c>
      <c r="G1043" t="n">
        <v>0</v>
      </c>
      <c r="H1043">
        <f>E1043*F1043*(1-G1043)</f>
        <v/>
      </c>
      <c r="I1043">
        <f>XLOOKUP(D1043,Products!$A$2:$A$15,Products!$B$2:$B$15,"Not found")</f>
        <v/>
      </c>
    </row>
    <row r="1044">
      <c r="A1044" t="n">
        <v>105363</v>
      </c>
      <c r="B1044" s="1" t="n">
        <v>45735</v>
      </c>
      <c r="C1044" t="inlineStr">
        <is>
          <t>S03</t>
        </is>
      </c>
      <c r="D1044" t="inlineStr">
        <is>
          <t>P203</t>
        </is>
      </c>
      <c r="E1044" t="n">
        <v>4</v>
      </c>
      <c r="F1044" t="n">
        <v>19.5</v>
      </c>
      <c r="G1044" t="n">
        <v>0</v>
      </c>
      <c r="H1044">
        <f>E1044*F1044*(1-G1044)</f>
        <v/>
      </c>
      <c r="I1044">
        <f>XLOOKUP(D1044,Products!$A$2:$A$15,Products!$B$2:$B$15,"Not found")</f>
        <v/>
      </c>
    </row>
    <row r="1045">
      <c r="A1045" t="n">
        <v>105364</v>
      </c>
      <c r="B1045" s="1" t="n">
        <v>45735</v>
      </c>
      <c r="C1045" t="inlineStr">
        <is>
          <t>S04</t>
        </is>
      </c>
      <c r="D1045" t="inlineStr">
        <is>
          <t>P102</t>
        </is>
      </c>
      <c r="E1045" t="n">
        <v>2</v>
      </c>
      <c r="F1045" t="n">
        <v>14.5</v>
      </c>
      <c r="G1045" t="n">
        <v>0</v>
      </c>
      <c r="H1045">
        <f>E1045*F1045*(1-G1045)</f>
        <v/>
      </c>
      <c r="I1045">
        <f>XLOOKUP(D1045,Products!$A$2:$A$15,Products!$B$2:$B$15,"Not found")</f>
        <v/>
      </c>
    </row>
    <row r="1046">
      <c r="A1046" t="n">
        <v>105365</v>
      </c>
      <c r="B1046" s="1" t="n">
        <v>45735</v>
      </c>
      <c r="C1046" t="inlineStr">
        <is>
          <t>S04</t>
        </is>
      </c>
      <c r="D1046" t="inlineStr">
        <is>
          <t>P103</t>
        </is>
      </c>
      <c r="E1046" t="n">
        <v>1</v>
      </c>
      <c r="F1046" t="n">
        <v>29</v>
      </c>
      <c r="G1046" t="n">
        <v>0</v>
      </c>
      <c r="H1046">
        <f>E1046*F1046*(1-G1046)</f>
        <v/>
      </c>
      <c r="I1046">
        <f>XLOOKUP(D1046,Products!$A$2:$A$15,Products!$B$2:$B$15,"Not found")</f>
        <v/>
      </c>
    </row>
    <row r="1047">
      <c r="A1047" t="n">
        <v>105366</v>
      </c>
      <c r="B1047" s="1" t="n">
        <v>45735</v>
      </c>
      <c r="C1047" t="inlineStr">
        <is>
          <t>S04</t>
        </is>
      </c>
      <c r="D1047" t="inlineStr">
        <is>
          <t>P201</t>
        </is>
      </c>
      <c r="E1047" t="n">
        <v>1</v>
      </c>
      <c r="F1047" t="n">
        <v>149</v>
      </c>
      <c r="G1047" t="n">
        <v>0</v>
      </c>
      <c r="H1047">
        <f>E1047*F1047*(1-G1047)</f>
        <v/>
      </c>
      <c r="I1047">
        <f>XLOOKUP(D1047,Products!$A$2:$A$15,Products!$B$2:$B$15,"Not found")</f>
        <v/>
      </c>
    </row>
    <row r="1048">
      <c r="A1048" t="n">
        <v>105367</v>
      </c>
      <c r="B1048" s="1" t="n">
        <v>45735</v>
      </c>
      <c r="C1048" t="inlineStr">
        <is>
          <t>S06</t>
        </is>
      </c>
      <c r="D1048" t="inlineStr">
        <is>
          <t>P102</t>
        </is>
      </c>
      <c r="E1048" t="n">
        <v>3</v>
      </c>
      <c r="F1048" t="n">
        <v>14.5</v>
      </c>
      <c r="G1048" t="n">
        <v>0</v>
      </c>
      <c r="H1048">
        <f>E1048*F1048*(1-G1048)</f>
        <v/>
      </c>
      <c r="I1048">
        <f>XLOOKUP(D1048,Products!$A$2:$A$15,Products!$B$2:$B$15,"Not found")</f>
        <v/>
      </c>
    </row>
    <row r="1049">
      <c r="A1049" t="n">
        <v>105368</v>
      </c>
      <c r="B1049" s="1" t="n">
        <v>45736</v>
      </c>
      <c r="C1049" t="inlineStr">
        <is>
          <t>S01</t>
        </is>
      </c>
      <c r="D1049" t="inlineStr">
        <is>
          <t>P303</t>
        </is>
      </c>
      <c r="E1049" t="n">
        <v>2</v>
      </c>
      <c r="F1049" t="n">
        <v>12</v>
      </c>
      <c r="G1049" t="n">
        <v>0.1</v>
      </c>
      <c r="H1049">
        <f>E1049*F1049*(1-G1049)</f>
        <v/>
      </c>
      <c r="I1049">
        <f>XLOOKUP(D1049,Products!$A$2:$A$15,Products!$B$2:$B$15,"Not found")</f>
        <v/>
      </c>
    </row>
    <row r="1050">
      <c r="A1050" t="n">
        <v>105369</v>
      </c>
      <c r="B1050" s="1" t="n">
        <v>45736</v>
      </c>
      <c r="C1050" t="inlineStr">
        <is>
          <t>S02</t>
        </is>
      </c>
      <c r="D1050" t="inlineStr">
        <is>
          <t>P203</t>
        </is>
      </c>
      <c r="E1050" t="n">
        <v>1</v>
      </c>
      <c r="F1050" t="n">
        <v>19.5</v>
      </c>
      <c r="G1050" t="n">
        <v>0.2</v>
      </c>
      <c r="H1050">
        <f>E1050*F1050*(1-G1050)</f>
        <v/>
      </c>
      <c r="I1050">
        <f>XLOOKUP(D1050,Products!$A$2:$A$15,Products!$B$2:$B$15,"Not found")</f>
        <v/>
      </c>
    </row>
    <row r="1051">
      <c r="A1051" t="n">
        <v>105370</v>
      </c>
      <c r="B1051" s="1" t="n">
        <v>45736</v>
      </c>
      <c r="C1051" t="inlineStr">
        <is>
          <t>S02</t>
        </is>
      </c>
      <c r="D1051" t="inlineStr">
        <is>
          <t>P303</t>
        </is>
      </c>
      <c r="E1051" t="n">
        <v>1</v>
      </c>
      <c r="F1051" t="n">
        <v>12</v>
      </c>
      <c r="G1051" t="n">
        <v>0.2</v>
      </c>
      <c r="H1051">
        <f>E1051*F1051*(1-G1051)</f>
        <v/>
      </c>
      <c r="I1051">
        <f>XLOOKUP(D1051,Products!$A$2:$A$15,Products!$B$2:$B$15,"Not found")</f>
        <v/>
      </c>
    </row>
    <row r="1052">
      <c r="A1052" t="n">
        <v>105371</v>
      </c>
      <c r="B1052" s="1" t="n">
        <v>45736</v>
      </c>
      <c r="C1052" t="inlineStr">
        <is>
          <t>S02</t>
        </is>
      </c>
      <c r="D1052" t="inlineStr">
        <is>
          <t>P301</t>
        </is>
      </c>
      <c r="E1052" t="n">
        <v>1</v>
      </c>
      <c r="F1052" t="n">
        <v>119</v>
      </c>
      <c r="G1052" t="n">
        <v>0</v>
      </c>
      <c r="H1052">
        <f>E1052*F1052*(1-G1052)</f>
        <v/>
      </c>
      <c r="I1052">
        <f>XLOOKUP(D1052,Products!$A$2:$A$15,Products!$B$2:$B$15,"Not found")</f>
        <v/>
      </c>
    </row>
    <row r="1053">
      <c r="A1053" t="n">
        <v>105372</v>
      </c>
      <c r="B1053" s="1" t="n">
        <v>45736</v>
      </c>
      <c r="C1053" t="inlineStr">
        <is>
          <t>S03</t>
        </is>
      </c>
      <c r="D1053" t="inlineStr">
        <is>
          <t>P301</t>
        </is>
      </c>
      <c r="E1053" t="n">
        <v>1</v>
      </c>
      <c r="F1053" t="n">
        <v>119</v>
      </c>
      <c r="G1053" t="n">
        <v>0.2</v>
      </c>
      <c r="H1053">
        <f>E1053*F1053*(1-G1053)</f>
        <v/>
      </c>
      <c r="I1053">
        <f>XLOOKUP(D1053,Products!$A$2:$A$15,Products!$B$2:$B$15,"Not found")</f>
        <v/>
      </c>
    </row>
    <row r="1054">
      <c r="A1054" t="n">
        <v>105373</v>
      </c>
      <c r="B1054" s="1" t="n">
        <v>45736</v>
      </c>
      <c r="C1054" t="inlineStr">
        <is>
          <t>S06</t>
        </is>
      </c>
      <c r="D1054" t="inlineStr">
        <is>
          <t>P202</t>
        </is>
      </c>
      <c r="E1054" t="n">
        <v>1</v>
      </c>
      <c r="F1054" t="n">
        <v>79</v>
      </c>
      <c r="G1054" t="n">
        <v>0.1</v>
      </c>
      <c r="H1054">
        <f>E1054*F1054*(1-G1054)</f>
        <v/>
      </c>
      <c r="I1054">
        <f>XLOOKUP(D1054,Products!$A$2:$A$15,Products!$B$2:$B$15,"Not found")</f>
        <v/>
      </c>
    </row>
    <row r="1055">
      <c r="A1055" t="n">
        <v>105374</v>
      </c>
      <c r="B1055" s="1" t="n">
        <v>45736</v>
      </c>
      <c r="C1055" t="inlineStr">
        <is>
          <t>S06</t>
        </is>
      </c>
      <c r="D1055" t="inlineStr">
        <is>
          <t>P302</t>
        </is>
      </c>
      <c r="E1055" t="n">
        <v>2</v>
      </c>
      <c r="F1055" t="n">
        <v>24</v>
      </c>
      <c r="G1055" t="n">
        <v>0.15</v>
      </c>
      <c r="H1055">
        <f>E1055*F1055*(1-G1055)</f>
        <v/>
      </c>
      <c r="I1055">
        <f>XLOOKUP(D1055,Products!$A$2:$A$15,Products!$B$2:$B$15,"Not found")</f>
        <v/>
      </c>
    </row>
    <row r="1056">
      <c r="A1056" t="n">
        <v>105375</v>
      </c>
      <c r="B1056" s="1" t="n">
        <v>45737</v>
      </c>
      <c r="C1056" t="inlineStr">
        <is>
          <t>S01</t>
        </is>
      </c>
      <c r="D1056" t="inlineStr">
        <is>
          <t>P303</t>
        </is>
      </c>
      <c r="E1056" t="n">
        <v>1</v>
      </c>
      <c r="F1056" t="n">
        <v>12</v>
      </c>
      <c r="G1056" t="n">
        <v>0.15</v>
      </c>
      <c r="H1056">
        <f>E1056*F1056*(1-G1056)</f>
        <v/>
      </c>
      <c r="I1056">
        <f>XLOOKUP(D1056,Products!$A$2:$A$15,Products!$B$2:$B$15,"Not found")</f>
        <v/>
      </c>
    </row>
    <row r="1057">
      <c r="A1057" t="n">
        <v>105376</v>
      </c>
      <c r="B1057" s="1" t="n">
        <v>45737</v>
      </c>
      <c r="C1057" t="inlineStr">
        <is>
          <t>S01</t>
        </is>
      </c>
      <c r="D1057" t="inlineStr">
        <is>
          <t>P301</t>
        </is>
      </c>
      <c r="E1057" t="n">
        <v>1</v>
      </c>
      <c r="F1057" t="n">
        <v>119</v>
      </c>
      <c r="G1057" t="n">
        <v>0.2</v>
      </c>
      <c r="H1057">
        <f>E1057*F1057*(1-G1057)</f>
        <v/>
      </c>
      <c r="I1057">
        <f>XLOOKUP(D1057,Products!$A$2:$A$15,Products!$B$2:$B$15,"Not found")</f>
        <v/>
      </c>
    </row>
    <row r="1058">
      <c r="A1058" t="n">
        <v>105377</v>
      </c>
      <c r="B1058" s="1" t="n">
        <v>45737</v>
      </c>
      <c r="C1058" t="inlineStr">
        <is>
          <t>S01</t>
        </is>
      </c>
      <c r="D1058" t="inlineStr">
        <is>
          <t>P101</t>
        </is>
      </c>
      <c r="E1058" t="n">
        <v>2</v>
      </c>
      <c r="F1058" t="n">
        <v>39</v>
      </c>
      <c r="G1058" t="n">
        <v>0</v>
      </c>
      <c r="H1058">
        <f>E1058*F1058*(1-G1058)</f>
        <v/>
      </c>
      <c r="I1058">
        <f>XLOOKUP(D1058,Products!$A$2:$A$15,Products!$B$2:$B$15,"Not found")</f>
        <v/>
      </c>
    </row>
    <row r="1059">
      <c r="A1059" t="n">
        <v>105378</v>
      </c>
      <c r="B1059" s="1" t="n">
        <v>45737</v>
      </c>
      <c r="C1059" t="inlineStr">
        <is>
          <t>S02</t>
        </is>
      </c>
      <c r="D1059" t="inlineStr">
        <is>
          <t>P101</t>
        </is>
      </c>
      <c r="E1059" t="n">
        <v>1</v>
      </c>
      <c r="F1059" t="n">
        <v>39</v>
      </c>
      <c r="G1059" t="n">
        <v>0.2</v>
      </c>
      <c r="H1059">
        <f>E1059*F1059*(1-G1059)</f>
        <v/>
      </c>
      <c r="I1059">
        <f>XLOOKUP(D1059,Products!$A$2:$A$15,Products!$B$2:$B$15,"Not found")</f>
        <v/>
      </c>
    </row>
    <row r="1060">
      <c r="A1060" t="n">
        <v>105379</v>
      </c>
      <c r="B1060" s="1" t="n">
        <v>45737</v>
      </c>
      <c r="C1060" t="inlineStr">
        <is>
          <t>S02</t>
        </is>
      </c>
      <c r="D1060" t="inlineStr">
        <is>
          <t>P402</t>
        </is>
      </c>
      <c r="E1060" t="n">
        <v>1</v>
      </c>
      <c r="F1060" t="n">
        <v>699</v>
      </c>
      <c r="G1060" t="n">
        <v>0.2</v>
      </c>
      <c r="H1060">
        <f>E1060*F1060*(1-G1060)</f>
        <v/>
      </c>
      <c r="I1060">
        <f>XLOOKUP(D1060,Products!$A$2:$A$15,Products!$B$2:$B$15,"Not found")</f>
        <v/>
      </c>
    </row>
    <row r="1061">
      <c r="A1061" t="n">
        <v>105380</v>
      </c>
      <c r="B1061" s="1" t="n">
        <v>45737</v>
      </c>
      <c r="C1061" t="inlineStr">
        <is>
          <t>S04</t>
        </is>
      </c>
      <c r="D1061" t="inlineStr">
        <is>
          <t>P202</t>
        </is>
      </c>
      <c r="E1061" t="n">
        <v>3</v>
      </c>
      <c r="F1061" t="n">
        <v>79</v>
      </c>
      <c r="G1061" t="n">
        <v>0.15</v>
      </c>
      <c r="H1061">
        <f>E1061*F1061*(1-G1061)</f>
        <v/>
      </c>
      <c r="I1061">
        <f>XLOOKUP(D1061,Products!$A$2:$A$15,Products!$B$2:$B$15,"Not found")</f>
        <v/>
      </c>
    </row>
    <row r="1062">
      <c r="A1062" t="n">
        <v>105381</v>
      </c>
      <c r="B1062" s="1" t="n">
        <v>45737</v>
      </c>
      <c r="C1062" t="inlineStr">
        <is>
          <t>S04</t>
        </is>
      </c>
      <c r="D1062" t="inlineStr">
        <is>
          <t>P201</t>
        </is>
      </c>
      <c r="E1062" t="n">
        <v>1</v>
      </c>
      <c r="F1062" t="n">
        <v>149</v>
      </c>
      <c r="G1062" t="n">
        <v>0.15</v>
      </c>
      <c r="H1062">
        <f>E1062*F1062*(1-G1062)</f>
        <v/>
      </c>
      <c r="I1062">
        <f>XLOOKUP(D1062,Products!$A$2:$A$15,Products!$B$2:$B$15,"Not found")</f>
        <v/>
      </c>
    </row>
    <row r="1063">
      <c r="A1063" t="n">
        <v>105382</v>
      </c>
      <c r="B1063" s="1" t="n">
        <v>45737</v>
      </c>
      <c r="C1063" t="inlineStr">
        <is>
          <t>S04</t>
        </is>
      </c>
      <c r="D1063" t="inlineStr">
        <is>
          <t>P303</t>
        </is>
      </c>
      <c r="E1063" t="n">
        <v>2</v>
      </c>
      <c r="F1063" t="n">
        <v>12</v>
      </c>
      <c r="G1063" t="n">
        <v>0.1</v>
      </c>
      <c r="H1063">
        <f>E1063*F1063*(1-G1063)</f>
        <v/>
      </c>
      <c r="I1063">
        <f>XLOOKUP(D1063,Products!$A$2:$A$15,Products!$B$2:$B$15,"Not found")</f>
        <v/>
      </c>
    </row>
    <row r="1064">
      <c r="A1064" t="n">
        <v>105383</v>
      </c>
      <c r="B1064" s="1" t="n">
        <v>45737</v>
      </c>
      <c r="C1064" t="inlineStr">
        <is>
          <t>S04</t>
        </is>
      </c>
      <c r="D1064" t="inlineStr">
        <is>
          <t>P102</t>
        </is>
      </c>
      <c r="E1064" t="n">
        <v>1</v>
      </c>
      <c r="F1064" t="n">
        <v>14.5</v>
      </c>
      <c r="G1064" t="n">
        <v>0</v>
      </c>
      <c r="H1064">
        <f>E1064*F1064*(1-G1064)</f>
        <v/>
      </c>
      <c r="I1064">
        <f>XLOOKUP(D1064,Products!$A$2:$A$15,Products!$B$2:$B$15,"Not found")</f>
        <v/>
      </c>
    </row>
    <row r="1065">
      <c r="A1065" t="n">
        <v>105384</v>
      </c>
      <c r="B1065" s="1" t="n">
        <v>45737</v>
      </c>
      <c r="C1065" t="inlineStr">
        <is>
          <t>S06</t>
        </is>
      </c>
      <c r="D1065" t="inlineStr">
        <is>
          <t>P101</t>
        </is>
      </c>
      <c r="E1065" t="n">
        <v>1</v>
      </c>
      <c r="F1065" t="n">
        <v>39</v>
      </c>
      <c r="G1065" t="n">
        <v>0</v>
      </c>
      <c r="H1065">
        <f>E1065*F1065*(1-G1065)</f>
        <v/>
      </c>
      <c r="I1065">
        <f>XLOOKUP(D1065,Products!$A$2:$A$15,Products!$B$2:$B$15,"Not found")</f>
        <v/>
      </c>
    </row>
    <row r="1066">
      <c r="A1066" t="n">
        <v>105385</v>
      </c>
      <c r="B1066" s="1" t="n">
        <v>45738</v>
      </c>
      <c r="C1066" t="inlineStr">
        <is>
          <t>S01</t>
        </is>
      </c>
      <c r="D1066" t="inlineStr">
        <is>
          <t>P201</t>
        </is>
      </c>
      <c r="E1066" t="n">
        <v>1</v>
      </c>
      <c r="F1066" t="n">
        <v>149</v>
      </c>
      <c r="G1066" t="n">
        <v>0</v>
      </c>
      <c r="H1066">
        <f>E1066*F1066*(1-G1066)</f>
        <v/>
      </c>
      <c r="I1066">
        <f>XLOOKUP(D1066,Products!$A$2:$A$15,Products!$B$2:$B$15,"Not found")</f>
        <v/>
      </c>
    </row>
    <row r="1067">
      <c r="A1067" t="n">
        <v>105386</v>
      </c>
      <c r="B1067" s="1" t="n">
        <v>45738</v>
      </c>
      <c r="C1067" t="inlineStr">
        <is>
          <t>S01</t>
        </is>
      </c>
      <c r="D1067" t="inlineStr">
        <is>
          <t>P302</t>
        </is>
      </c>
      <c r="E1067" t="n">
        <v>4</v>
      </c>
      <c r="F1067" t="n">
        <v>24</v>
      </c>
      <c r="G1067" t="n">
        <v>0</v>
      </c>
      <c r="H1067">
        <f>E1067*F1067*(1-G1067)</f>
        <v/>
      </c>
      <c r="I1067">
        <f>XLOOKUP(D1067,Products!$A$2:$A$15,Products!$B$2:$B$15,"Not found")</f>
        <v/>
      </c>
    </row>
    <row r="1068">
      <c r="A1068" t="n">
        <v>105387</v>
      </c>
      <c r="B1068" s="1" t="n">
        <v>45738</v>
      </c>
      <c r="C1068" t="inlineStr">
        <is>
          <t>S01</t>
        </is>
      </c>
      <c r="D1068" t="inlineStr">
        <is>
          <t>P101</t>
        </is>
      </c>
      <c r="E1068" t="n">
        <v>1</v>
      </c>
      <c r="F1068" t="n">
        <v>39</v>
      </c>
      <c r="G1068" t="n">
        <v>0</v>
      </c>
      <c r="H1068">
        <f>E1068*F1068*(1-G1068)</f>
        <v/>
      </c>
      <c r="I1068">
        <f>XLOOKUP(D1068,Products!$A$2:$A$15,Products!$B$2:$B$15,"Not found")</f>
        <v/>
      </c>
    </row>
    <row r="1069">
      <c r="A1069" t="n">
        <v>105388</v>
      </c>
      <c r="B1069" s="1" t="n">
        <v>45738</v>
      </c>
      <c r="C1069" t="inlineStr">
        <is>
          <t>S01</t>
        </is>
      </c>
      <c r="D1069" t="inlineStr">
        <is>
          <t>P102</t>
        </is>
      </c>
      <c r="E1069" t="n">
        <v>3</v>
      </c>
      <c r="F1069" t="n">
        <v>14.5</v>
      </c>
      <c r="G1069" t="n">
        <v>0.15</v>
      </c>
      <c r="H1069">
        <f>E1069*F1069*(1-G1069)</f>
        <v/>
      </c>
      <c r="I1069">
        <f>XLOOKUP(D1069,Products!$A$2:$A$15,Products!$B$2:$B$15,"Not found")</f>
        <v/>
      </c>
    </row>
    <row r="1070">
      <c r="A1070" t="n">
        <v>105389</v>
      </c>
      <c r="B1070" s="1" t="n">
        <v>45738</v>
      </c>
      <c r="C1070" t="inlineStr">
        <is>
          <t>S02</t>
        </is>
      </c>
      <c r="D1070" t="inlineStr">
        <is>
          <t>P303</t>
        </is>
      </c>
      <c r="E1070" t="n">
        <v>4</v>
      </c>
      <c r="F1070" t="n">
        <v>12</v>
      </c>
      <c r="G1070" t="n">
        <v>0.1</v>
      </c>
      <c r="H1070">
        <f>E1070*F1070*(1-G1070)</f>
        <v/>
      </c>
      <c r="I1070">
        <f>XLOOKUP(D1070,Products!$A$2:$A$15,Products!$B$2:$B$15,"Not found")</f>
        <v/>
      </c>
    </row>
    <row r="1071">
      <c r="A1071" t="n">
        <v>105390</v>
      </c>
      <c r="B1071" s="1" t="n">
        <v>45738</v>
      </c>
      <c r="C1071" t="inlineStr">
        <is>
          <t>S02</t>
        </is>
      </c>
      <c r="D1071" t="inlineStr">
        <is>
          <t>P101</t>
        </is>
      </c>
      <c r="E1071" t="n">
        <v>2</v>
      </c>
      <c r="F1071" t="n">
        <v>39</v>
      </c>
      <c r="G1071" t="n">
        <v>0.15</v>
      </c>
      <c r="H1071">
        <f>E1071*F1071*(1-G1071)</f>
        <v/>
      </c>
      <c r="I1071">
        <f>XLOOKUP(D1071,Products!$A$2:$A$15,Products!$B$2:$B$15,"Not found")</f>
        <v/>
      </c>
    </row>
    <row r="1072">
      <c r="A1072" t="n">
        <v>105391</v>
      </c>
      <c r="B1072" s="1" t="n">
        <v>45738</v>
      </c>
      <c r="C1072" t="inlineStr">
        <is>
          <t>S02</t>
        </is>
      </c>
      <c r="D1072" t="inlineStr">
        <is>
          <t>P302</t>
        </is>
      </c>
      <c r="E1072" t="n">
        <v>4</v>
      </c>
      <c r="F1072" t="n">
        <v>24</v>
      </c>
      <c r="G1072" t="n">
        <v>0.2</v>
      </c>
      <c r="H1072">
        <f>E1072*F1072*(1-G1072)</f>
        <v/>
      </c>
      <c r="I1072">
        <f>XLOOKUP(D1072,Products!$A$2:$A$15,Products!$B$2:$B$15,"Not found")</f>
        <v/>
      </c>
    </row>
    <row r="1073">
      <c r="A1073" t="n">
        <v>105392</v>
      </c>
      <c r="B1073" s="1" t="n">
        <v>45738</v>
      </c>
      <c r="C1073" t="inlineStr">
        <is>
          <t>S02</t>
        </is>
      </c>
      <c r="D1073" t="inlineStr">
        <is>
          <t>P303</t>
        </is>
      </c>
      <c r="E1073" t="n">
        <v>2</v>
      </c>
      <c r="F1073" t="n">
        <v>12</v>
      </c>
      <c r="G1073" t="n">
        <v>0.15</v>
      </c>
      <c r="H1073">
        <f>E1073*F1073*(1-G1073)</f>
        <v/>
      </c>
      <c r="I1073">
        <f>XLOOKUP(D1073,Products!$A$2:$A$15,Products!$B$2:$B$15,"Not found")</f>
        <v/>
      </c>
    </row>
    <row r="1074">
      <c r="A1074" t="n">
        <v>105393</v>
      </c>
      <c r="B1074" s="1" t="n">
        <v>45738</v>
      </c>
      <c r="C1074" t="inlineStr">
        <is>
          <t>S03</t>
        </is>
      </c>
      <c r="D1074" t="inlineStr">
        <is>
          <t>P303</t>
        </is>
      </c>
      <c r="E1074" t="n">
        <v>1</v>
      </c>
      <c r="F1074" t="n">
        <v>12</v>
      </c>
      <c r="G1074" t="n">
        <v>0</v>
      </c>
      <c r="H1074">
        <f>E1074*F1074*(1-G1074)</f>
        <v/>
      </c>
      <c r="I1074">
        <f>XLOOKUP(D1074,Products!$A$2:$A$15,Products!$B$2:$B$15,"Not found")</f>
        <v/>
      </c>
    </row>
    <row r="1075">
      <c r="A1075" t="n">
        <v>105394</v>
      </c>
      <c r="B1075" s="1" t="n">
        <v>45738</v>
      </c>
      <c r="C1075" t="inlineStr">
        <is>
          <t>S03</t>
        </is>
      </c>
      <c r="D1075" t="inlineStr">
        <is>
          <t>P203</t>
        </is>
      </c>
      <c r="E1075" t="n">
        <v>2</v>
      </c>
      <c r="F1075" t="n">
        <v>19.5</v>
      </c>
      <c r="G1075" t="n">
        <v>0.15</v>
      </c>
      <c r="H1075">
        <f>E1075*F1075*(1-G1075)</f>
        <v/>
      </c>
      <c r="I1075">
        <f>XLOOKUP(D1075,Products!$A$2:$A$15,Products!$B$2:$B$15,"Not found")</f>
        <v/>
      </c>
    </row>
    <row r="1076">
      <c r="A1076" t="n">
        <v>105395</v>
      </c>
      <c r="B1076" s="1" t="n">
        <v>45738</v>
      </c>
      <c r="C1076" t="inlineStr">
        <is>
          <t>S04</t>
        </is>
      </c>
      <c r="D1076" t="inlineStr">
        <is>
          <t>P302</t>
        </is>
      </c>
      <c r="E1076" t="n">
        <v>3</v>
      </c>
      <c r="F1076" t="n">
        <v>24</v>
      </c>
      <c r="G1076" t="n">
        <v>0</v>
      </c>
      <c r="H1076">
        <f>E1076*F1076*(1-G1076)</f>
        <v/>
      </c>
      <c r="I1076">
        <f>XLOOKUP(D1076,Products!$A$2:$A$15,Products!$B$2:$B$15,"Not found")</f>
        <v/>
      </c>
    </row>
    <row r="1077">
      <c r="A1077" t="n">
        <v>105396</v>
      </c>
      <c r="B1077" s="1" t="n">
        <v>45738</v>
      </c>
      <c r="C1077" t="inlineStr">
        <is>
          <t>S04</t>
        </is>
      </c>
      <c r="D1077" t="inlineStr">
        <is>
          <t>P103</t>
        </is>
      </c>
      <c r="E1077" t="n">
        <v>3</v>
      </c>
      <c r="F1077" t="n">
        <v>29</v>
      </c>
      <c r="G1077" t="n">
        <v>0</v>
      </c>
      <c r="H1077">
        <f>E1077*F1077*(1-G1077)</f>
        <v/>
      </c>
      <c r="I1077">
        <f>XLOOKUP(D1077,Products!$A$2:$A$15,Products!$B$2:$B$15,"Not found")</f>
        <v/>
      </c>
    </row>
    <row r="1078">
      <c r="A1078" t="n">
        <v>105397</v>
      </c>
      <c r="B1078" s="1" t="n">
        <v>45738</v>
      </c>
      <c r="C1078" t="inlineStr">
        <is>
          <t>S05</t>
        </is>
      </c>
      <c r="D1078" t="inlineStr">
        <is>
          <t>P302</t>
        </is>
      </c>
      <c r="E1078" t="n">
        <v>2</v>
      </c>
      <c r="F1078" t="n">
        <v>24</v>
      </c>
      <c r="G1078" t="n">
        <v>0</v>
      </c>
      <c r="H1078">
        <f>E1078*F1078*(1-G1078)</f>
        <v/>
      </c>
      <c r="I1078">
        <f>XLOOKUP(D1078,Products!$A$2:$A$15,Products!$B$2:$B$15,"Not found")</f>
        <v/>
      </c>
    </row>
    <row r="1079">
      <c r="A1079" t="n">
        <v>105398</v>
      </c>
      <c r="B1079" s="1" t="n">
        <v>45738</v>
      </c>
      <c r="C1079" t="inlineStr">
        <is>
          <t>S05</t>
        </is>
      </c>
      <c r="D1079" t="inlineStr">
        <is>
          <t>P302</t>
        </is>
      </c>
      <c r="E1079" t="n">
        <v>4</v>
      </c>
      <c r="F1079" t="n">
        <v>24</v>
      </c>
      <c r="G1079" t="n">
        <v>0</v>
      </c>
      <c r="H1079">
        <f>E1079*F1079*(1-G1079)</f>
        <v/>
      </c>
      <c r="I1079">
        <f>XLOOKUP(D1079,Products!$A$2:$A$15,Products!$B$2:$B$15,"Not found")</f>
        <v/>
      </c>
    </row>
    <row r="1080">
      <c r="A1080" t="n">
        <v>105399</v>
      </c>
      <c r="B1080" s="1" t="n">
        <v>45738</v>
      </c>
      <c r="C1080" t="inlineStr">
        <is>
          <t>S06</t>
        </is>
      </c>
      <c r="D1080" t="inlineStr">
        <is>
          <t>P302</t>
        </is>
      </c>
      <c r="E1080" t="n">
        <v>4</v>
      </c>
      <c r="F1080" t="n">
        <v>24</v>
      </c>
      <c r="G1080" t="n">
        <v>0</v>
      </c>
      <c r="H1080">
        <f>E1080*F1080*(1-G1080)</f>
        <v/>
      </c>
      <c r="I1080">
        <f>XLOOKUP(D1080,Products!$A$2:$A$15,Products!$B$2:$B$15,"Not found")</f>
        <v/>
      </c>
    </row>
    <row r="1081">
      <c r="A1081" t="n">
        <v>105400</v>
      </c>
      <c r="B1081" s="1" t="n">
        <v>45738</v>
      </c>
      <c r="C1081" t="inlineStr">
        <is>
          <t>S06</t>
        </is>
      </c>
      <c r="D1081" t="inlineStr">
        <is>
          <t>P101</t>
        </is>
      </c>
      <c r="E1081" t="n">
        <v>1</v>
      </c>
      <c r="F1081" t="n">
        <v>39</v>
      </c>
      <c r="G1081" t="n">
        <v>0</v>
      </c>
      <c r="H1081">
        <f>E1081*F1081*(1-G1081)</f>
        <v/>
      </c>
      <c r="I1081">
        <f>XLOOKUP(D1081,Products!$A$2:$A$15,Products!$B$2:$B$15,"Not found")</f>
        <v/>
      </c>
    </row>
    <row r="1082">
      <c r="A1082" t="n">
        <v>105401</v>
      </c>
      <c r="B1082" s="1" t="n">
        <v>45739</v>
      </c>
      <c r="C1082" t="inlineStr">
        <is>
          <t>S01</t>
        </is>
      </c>
      <c r="D1082" t="inlineStr">
        <is>
          <t>P104</t>
        </is>
      </c>
      <c r="E1082" t="n">
        <v>1</v>
      </c>
      <c r="F1082" t="n">
        <v>189</v>
      </c>
      <c r="G1082" t="n">
        <v>0</v>
      </c>
      <c r="H1082">
        <f>E1082*F1082*(1-G1082)</f>
        <v/>
      </c>
      <c r="I1082">
        <f>XLOOKUP(D1082,Products!$A$2:$A$15,Products!$B$2:$B$15,"Not found")</f>
        <v/>
      </c>
    </row>
    <row r="1083">
      <c r="A1083" t="n">
        <v>105402</v>
      </c>
      <c r="B1083" s="1" t="n">
        <v>45739</v>
      </c>
      <c r="C1083" t="inlineStr">
        <is>
          <t>S01</t>
        </is>
      </c>
      <c r="D1083" t="inlineStr">
        <is>
          <t>P301</t>
        </is>
      </c>
      <c r="E1083" t="n">
        <v>1</v>
      </c>
      <c r="F1083" t="n">
        <v>119</v>
      </c>
      <c r="G1083" t="n">
        <v>0.15</v>
      </c>
      <c r="H1083">
        <f>E1083*F1083*(1-G1083)</f>
        <v/>
      </c>
      <c r="I1083">
        <f>XLOOKUP(D1083,Products!$A$2:$A$15,Products!$B$2:$B$15,"Not found")</f>
        <v/>
      </c>
    </row>
    <row r="1084">
      <c r="A1084" t="n">
        <v>105403</v>
      </c>
      <c r="B1084" s="1" t="n">
        <v>45739</v>
      </c>
      <c r="C1084" t="inlineStr">
        <is>
          <t>S01</t>
        </is>
      </c>
      <c r="D1084" t="inlineStr">
        <is>
          <t>P103</t>
        </is>
      </c>
      <c r="E1084" t="n">
        <v>1</v>
      </c>
      <c r="F1084" t="n">
        <v>29</v>
      </c>
      <c r="G1084" t="n">
        <v>0</v>
      </c>
      <c r="H1084">
        <f>E1084*F1084*(1-G1084)</f>
        <v/>
      </c>
      <c r="I1084">
        <f>XLOOKUP(D1084,Products!$A$2:$A$15,Products!$B$2:$B$15,"Not found")</f>
        <v/>
      </c>
    </row>
    <row r="1085">
      <c r="A1085" t="n">
        <v>105404</v>
      </c>
      <c r="B1085" s="1" t="n">
        <v>45739</v>
      </c>
      <c r="C1085" t="inlineStr">
        <is>
          <t>S01</t>
        </is>
      </c>
      <c r="D1085" t="inlineStr">
        <is>
          <t>P302</t>
        </is>
      </c>
      <c r="E1085" t="n">
        <v>4</v>
      </c>
      <c r="F1085" t="n">
        <v>24</v>
      </c>
      <c r="G1085" t="n">
        <v>0.1</v>
      </c>
      <c r="H1085">
        <f>E1085*F1085*(1-G1085)</f>
        <v/>
      </c>
      <c r="I1085">
        <f>XLOOKUP(D1085,Products!$A$2:$A$15,Products!$B$2:$B$15,"Not found")</f>
        <v/>
      </c>
    </row>
    <row r="1086">
      <c r="A1086" t="n">
        <v>105405</v>
      </c>
      <c r="B1086" s="1" t="n">
        <v>45739</v>
      </c>
      <c r="C1086" t="inlineStr">
        <is>
          <t>S02</t>
        </is>
      </c>
      <c r="D1086" t="inlineStr">
        <is>
          <t>P201</t>
        </is>
      </c>
      <c r="E1086" t="n">
        <v>1</v>
      </c>
      <c r="F1086" t="n">
        <v>149</v>
      </c>
      <c r="G1086" t="n">
        <v>0.15</v>
      </c>
      <c r="H1086">
        <f>E1086*F1086*(1-G1086)</f>
        <v/>
      </c>
      <c r="I1086">
        <f>XLOOKUP(D1086,Products!$A$2:$A$15,Products!$B$2:$B$15,"Not found")</f>
        <v/>
      </c>
    </row>
    <row r="1087">
      <c r="A1087" t="n">
        <v>105406</v>
      </c>
      <c r="B1087" s="1" t="n">
        <v>45739</v>
      </c>
      <c r="C1087" t="inlineStr">
        <is>
          <t>S02</t>
        </is>
      </c>
      <c r="D1087" t="inlineStr">
        <is>
          <t>P301</t>
        </is>
      </c>
      <c r="E1087" t="n">
        <v>1</v>
      </c>
      <c r="F1087" t="n">
        <v>119</v>
      </c>
      <c r="G1087" t="n">
        <v>0.15</v>
      </c>
      <c r="H1087">
        <f>E1087*F1087*(1-G1087)</f>
        <v/>
      </c>
      <c r="I1087">
        <f>XLOOKUP(D1087,Products!$A$2:$A$15,Products!$B$2:$B$15,"Not found")</f>
        <v/>
      </c>
    </row>
    <row r="1088">
      <c r="A1088" t="n">
        <v>105407</v>
      </c>
      <c r="B1088" s="1" t="n">
        <v>45739</v>
      </c>
      <c r="C1088" t="inlineStr">
        <is>
          <t>S02</t>
        </is>
      </c>
      <c r="D1088" t="inlineStr">
        <is>
          <t>P201</t>
        </is>
      </c>
      <c r="E1088" t="n">
        <v>1</v>
      </c>
      <c r="F1088" t="n">
        <v>149</v>
      </c>
      <c r="G1088" t="n">
        <v>0</v>
      </c>
      <c r="H1088">
        <f>E1088*F1088*(1-G1088)</f>
        <v/>
      </c>
      <c r="I1088">
        <f>XLOOKUP(D1088,Products!$A$2:$A$15,Products!$B$2:$B$15,"Not found")</f>
        <v/>
      </c>
    </row>
    <row r="1089">
      <c r="A1089" t="n">
        <v>105408</v>
      </c>
      <c r="B1089" s="1" t="n">
        <v>45739</v>
      </c>
      <c r="C1089" t="inlineStr">
        <is>
          <t>S03</t>
        </is>
      </c>
      <c r="D1089" t="inlineStr">
        <is>
          <t>P102</t>
        </is>
      </c>
      <c r="E1089" t="n">
        <v>2</v>
      </c>
      <c r="F1089" t="n">
        <v>14.5</v>
      </c>
      <c r="G1089" t="n">
        <v>0</v>
      </c>
      <c r="H1089">
        <f>E1089*F1089*(1-G1089)</f>
        <v/>
      </c>
      <c r="I1089">
        <f>XLOOKUP(D1089,Products!$A$2:$A$15,Products!$B$2:$B$15,"Not found")</f>
        <v/>
      </c>
    </row>
    <row r="1090">
      <c r="A1090" t="n">
        <v>105409</v>
      </c>
      <c r="B1090" s="1" t="n">
        <v>45739</v>
      </c>
      <c r="C1090" t="inlineStr">
        <is>
          <t>S03</t>
        </is>
      </c>
      <c r="D1090" t="inlineStr">
        <is>
          <t>P102</t>
        </is>
      </c>
      <c r="E1090" t="n">
        <v>1</v>
      </c>
      <c r="F1090" t="n">
        <v>14.5</v>
      </c>
      <c r="G1090" t="n">
        <v>0.15</v>
      </c>
      <c r="H1090">
        <f>E1090*F1090*(1-G1090)</f>
        <v/>
      </c>
      <c r="I1090">
        <f>XLOOKUP(D1090,Products!$A$2:$A$15,Products!$B$2:$B$15,"Not found")</f>
        <v/>
      </c>
    </row>
    <row r="1091">
      <c r="A1091" t="n">
        <v>105410</v>
      </c>
      <c r="B1091" s="1" t="n">
        <v>45739</v>
      </c>
      <c r="C1091" t="inlineStr">
        <is>
          <t>S04</t>
        </is>
      </c>
      <c r="D1091" t="inlineStr">
        <is>
          <t>P401</t>
        </is>
      </c>
      <c r="E1091" t="n">
        <v>1</v>
      </c>
      <c r="F1091" t="n">
        <v>549</v>
      </c>
      <c r="G1091" t="n">
        <v>0</v>
      </c>
      <c r="H1091">
        <f>E1091*F1091*(1-G1091)</f>
        <v/>
      </c>
      <c r="I1091">
        <f>XLOOKUP(D1091,Products!$A$2:$A$15,Products!$B$2:$B$15,"Not found")</f>
        <v/>
      </c>
    </row>
    <row r="1092">
      <c r="A1092" t="n">
        <v>105411</v>
      </c>
      <c r="B1092" s="1" t="n">
        <v>45739</v>
      </c>
      <c r="C1092" t="inlineStr">
        <is>
          <t>S05</t>
        </is>
      </c>
      <c r="D1092" t="inlineStr">
        <is>
          <t>P302</t>
        </is>
      </c>
      <c r="E1092" t="n">
        <v>1</v>
      </c>
      <c r="F1092" t="n">
        <v>24</v>
      </c>
      <c r="G1092" t="n">
        <v>0</v>
      </c>
      <c r="H1092">
        <f>E1092*F1092*(1-G1092)</f>
        <v/>
      </c>
      <c r="I1092">
        <f>XLOOKUP(D1092,Products!$A$2:$A$15,Products!$B$2:$B$15,"Not found")</f>
        <v/>
      </c>
    </row>
    <row r="1093">
      <c r="A1093" t="n">
        <v>105412</v>
      </c>
      <c r="B1093" s="1" t="n">
        <v>45739</v>
      </c>
      <c r="C1093" t="inlineStr">
        <is>
          <t>S05</t>
        </is>
      </c>
      <c r="D1093" t="inlineStr">
        <is>
          <t>P104</t>
        </is>
      </c>
      <c r="E1093" t="n">
        <v>1</v>
      </c>
      <c r="F1093" t="n">
        <v>189</v>
      </c>
      <c r="G1093" t="n">
        <v>0.15</v>
      </c>
      <c r="H1093">
        <f>E1093*F1093*(1-G1093)</f>
        <v/>
      </c>
      <c r="I1093">
        <f>XLOOKUP(D1093,Products!$A$2:$A$15,Products!$B$2:$B$15,"Not found")</f>
        <v/>
      </c>
    </row>
    <row r="1094">
      <c r="A1094" t="n">
        <v>105413</v>
      </c>
      <c r="B1094" s="1" t="n">
        <v>45740</v>
      </c>
      <c r="C1094" t="inlineStr">
        <is>
          <t>S01</t>
        </is>
      </c>
      <c r="D1094" t="inlineStr">
        <is>
          <t>P303</t>
        </is>
      </c>
      <c r="E1094" t="n">
        <v>4</v>
      </c>
      <c r="F1094" t="n">
        <v>12</v>
      </c>
      <c r="G1094" t="n">
        <v>0</v>
      </c>
      <c r="H1094">
        <f>E1094*F1094*(1-G1094)</f>
        <v/>
      </c>
      <c r="I1094">
        <f>XLOOKUP(D1094,Products!$A$2:$A$15,Products!$B$2:$B$15,"Not found")</f>
        <v/>
      </c>
    </row>
    <row r="1095">
      <c r="A1095" t="n">
        <v>105414</v>
      </c>
      <c r="B1095" s="1" t="n">
        <v>45740</v>
      </c>
      <c r="C1095" t="inlineStr">
        <is>
          <t>S01</t>
        </is>
      </c>
      <c r="D1095" t="inlineStr">
        <is>
          <t>P203</t>
        </is>
      </c>
      <c r="E1095" t="n">
        <v>1</v>
      </c>
      <c r="F1095" t="n">
        <v>19.5</v>
      </c>
      <c r="G1095" t="n">
        <v>0</v>
      </c>
      <c r="H1095">
        <f>E1095*F1095*(1-G1095)</f>
        <v/>
      </c>
      <c r="I1095">
        <f>XLOOKUP(D1095,Products!$A$2:$A$15,Products!$B$2:$B$15,"Not found")</f>
        <v/>
      </c>
    </row>
    <row r="1096">
      <c r="A1096" t="n">
        <v>105415</v>
      </c>
      <c r="B1096" s="1" t="n">
        <v>45740</v>
      </c>
      <c r="C1096" t="inlineStr">
        <is>
          <t>S02</t>
        </is>
      </c>
      <c r="D1096" t="inlineStr">
        <is>
          <t>P102</t>
        </is>
      </c>
      <c r="E1096" t="n">
        <v>2</v>
      </c>
      <c r="F1096" t="n">
        <v>14.5</v>
      </c>
      <c r="G1096" t="n">
        <v>0.15</v>
      </c>
      <c r="H1096">
        <f>E1096*F1096*(1-G1096)</f>
        <v/>
      </c>
      <c r="I1096">
        <f>XLOOKUP(D1096,Products!$A$2:$A$15,Products!$B$2:$B$15,"Not found")</f>
        <v/>
      </c>
    </row>
    <row r="1097">
      <c r="A1097" t="n">
        <v>105416</v>
      </c>
      <c r="B1097" s="1" t="n">
        <v>45740</v>
      </c>
      <c r="C1097" t="inlineStr">
        <is>
          <t>S04</t>
        </is>
      </c>
      <c r="D1097" t="inlineStr">
        <is>
          <t>P101</t>
        </is>
      </c>
      <c r="E1097" t="n">
        <v>1</v>
      </c>
      <c r="F1097" t="n">
        <v>39</v>
      </c>
      <c r="G1097" t="n">
        <v>0.2</v>
      </c>
      <c r="H1097">
        <f>E1097*F1097*(1-G1097)</f>
        <v/>
      </c>
      <c r="I1097">
        <f>XLOOKUP(D1097,Products!$A$2:$A$15,Products!$B$2:$B$15,"Not found")</f>
        <v/>
      </c>
    </row>
    <row r="1098">
      <c r="A1098" t="n">
        <v>105417</v>
      </c>
      <c r="B1098" s="1" t="n">
        <v>45740</v>
      </c>
      <c r="C1098" t="inlineStr">
        <is>
          <t>S04</t>
        </is>
      </c>
      <c r="D1098" t="inlineStr">
        <is>
          <t>P102</t>
        </is>
      </c>
      <c r="E1098" t="n">
        <v>2</v>
      </c>
      <c r="F1098" t="n">
        <v>14.5</v>
      </c>
      <c r="G1098" t="n">
        <v>0.1</v>
      </c>
      <c r="H1098">
        <f>E1098*F1098*(1-G1098)</f>
        <v/>
      </c>
      <c r="I1098">
        <f>XLOOKUP(D1098,Products!$A$2:$A$15,Products!$B$2:$B$15,"Not found")</f>
        <v/>
      </c>
    </row>
    <row r="1099">
      <c r="A1099" t="n">
        <v>105418</v>
      </c>
      <c r="B1099" s="1" t="n">
        <v>45740</v>
      </c>
      <c r="C1099" t="inlineStr">
        <is>
          <t>S04</t>
        </is>
      </c>
      <c r="D1099" t="inlineStr">
        <is>
          <t>P102</t>
        </is>
      </c>
      <c r="E1099" t="n">
        <v>2</v>
      </c>
      <c r="F1099" t="n">
        <v>14.5</v>
      </c>
      <c r="G1099" t="n">
        <v>0</v>
      </c>
      <c r="H1099">
        <f>E1099*F1099*(1-G1099)</f>
        <v/>
      </c>
      <c r="I1099">
        <f>XLOOKUP(D1099,Products!$A$2:$A$15,Products!$B$2:$B$15,"Not found")</f>
        <v/>
      </c>
    </row>
    <row r="1100">
      <c r="A1100" t="n">
        <v>105419</v>
      </c>
      <c r="B1100" s="1" t="n">
        <v>45740</v>
      </c>
      <c r="C1100" t="inlineStr">
        <is>
          <t>S04</t>
        </is>
      </c>
      <c r="D1100" t="inlineStr">
        <is>
          <t>P102</t>
        </is>
      </c>
      <c r="E1100" t="n">
        <v>2</v>
      </c>
      <c r="F1100" t="n">
        <v>14.5</v>
      </c>
      <c r="G1100" t="n">
        <v>0.1</v>
      </c>
      <c r="H1100">
        <f>E1100*F1100*(1-G1100)</f>
        <v/>
      </c>
      <c r="I1100">
        <f>XLOOKUP(D1100,Products!$A$2:$A$15,Products!$B$2:$B$15,"Not found")</f>
        <v/>
      </c>
    </row>
    <row r="1101">
      <c r="A1101" t="n">
        <v>105420</v>
      </c>
      <c r="B1101" s="1" t="n">
        <v>45740</v>
      </c>
      <c r="C1101" t="inlineStr">
        <is>
          <t>S04</t>
        </is>
      </c>
      <c r="D1101" t="inlineStr">
        <is>
          <t>P301</t>
        </is>
      </c>
      <c r="E1101" t="n">
        <v>1</v>
      </c>
      <c r="F1101" t="n">
        <v>119</v>
      </c>
      <c r="G1101" t="n">
        <v>0.2</v>
      </c>
      <c r="H1101">
        <f>E1101*F1101*(1-G1101)</f>
        <v/>
      </c>
      <c r="I1101">
        <f>XLOOKUP(D1101,Products!$A$2:$A$15,Products!$B$2:$B$15,"Not found")</f>
        <v/>
      </c>
    </row>
    <row r="1102">
      <c r="A1102" t="n">
        <v>105421</v>
      </c>
      <c r="B1102" s="1" t="n">
        <v>45740</v>
      </c>
      <c r="C1102" t="inlineStr">
        <is>
          <t>S05</t>
        </is>
      </c>
      <c r="D1102" t="inlineStr">
        <is>
          <t>P302</t>
        </is>
      </c>
      <c r="E1102" t="n">
        <v>1</v>
      </c>
      <c r="F1102" t="n">
        <v>24</v>
      </c>
      <c r="G1102" t="n">
        <v>0.1</v>
      </c>
      <c r="H1102">
        <f>E1102*F1102*(1-G1102)</f>
        <v/>
      </c>
      <c r="I1102">
        <f>XLOOKUP(D1102,Products!$A$2:$A$15,Products!$B$2:$B$15,"Not found")</f>
        <v/>
      </c>
    </row>
    <row r="1103">
      <c r="A1103" t="n">
        <v>105422</v>
      </c>
      <c r="B1103" s="1" t="n">
        <v>45740</v>
      </c>
      <c r="C1103" t="inlineStr">
        <is>
          <t>S05</t>
        </is>
      </c>
      <c r="D1103" t="inlineStr">
        <is>
          <t>P303</t>
        </is>
      </c>
      <c r="E1103" t="n">
        <v>1</v>
      </c>
      <c r="F1103" t="n">
        <v>12</v>
      </c>
      <c r="G1103" t="n">
        <v>0</v>
      </c>
      <c r="H1103">
        <f>E1103*F1103*(1-G1103)</f>
        <v/>
      </c>
      <c r="I1103">
        <f>XLOOKUP(D1103,Products!$A$2:$A$15,Products!$B$2:$B$15,"Not found")</f>
        <v/>
      </c>
    </row>
    <row r="1104">
      <c r="A1104" t="n">
        <v>105423</v>
      </c>
      <c r="B1104" s="1" t="n">
        <v>45740</v>
      </c>
      <c r="C1104" t="inlineStr">
        <is>
          <t>S05</t>
        </is>
      </c>
      <c r="D1104" t="inlineStr">
        <is>
          <t>P101</t>
        </is>
      </c>
      <c r="E1104" t="n">
        <v>2</v>
      </c>
      <c r="F1104" t="n">
        <v>39</v>
      </c>
      <c r="G1104" t="n">
        <v>0</v>
      </c>
      <c r="H1104">
        <f>E1104*F1104*(1-G1104)</f>
        <v/>
      </c>
      <c r="I1104">
        <f>XLOOKUP(D1104,Products!$A$2:$A$15,Products!$B$2:$B$15,"Not found")</f>
        <v/>
      </c>
    </row>
    <row r="1105">
      <c r="A1105" t="n">
        <v>105424</v>
      </c>
      <c r="B1105" s="1" t="n">
        <v>45740</v>
      </c>
      <c r="C1105" t="inlineStr">
        <is>
          <t>S05</t>
        </is>
      </c>
      <c r="D1105" t="inlineStr">
        <is>
          <t>P103</t>
        </is>
      </c>
      <c r="E1105" t="n">
        <v>1</v>
      </c>
      <c r="F1105" t="n">
        <v>29</v>
      </c>
      <c r="G1105" t="n">
        <v>0</v>
      </c>
      <c r="H1105">
        <f>E1105*F1105*(1-G1105)</f>
        <v/>
      </c>
      <c r="I1105">
        <f>XLOOKUP(D1105,Products!$A$2:$A$15,Products!$B$2:$B$15,"Not found")</f>
        <v/>
      </c>
    </row>
    <row r="1106">
      <c r="A1106" t="n">
        <v>105425</v>
      </c>
      <c r="B1106" s="1" t="n">
        <v>45740</v>
      </c>
      <c r="C1106" t="inlineStr">
        <is>
          <t>S06</t>
        </is>
      </c>
      <c r="D1106" t="inlineStr">
        <is>
          <t>P301</t>
        </is>
      </c>
      <c r="E1106" t="n">
        <v>1</v>
      </c>
      <c r="F1106" t="n">
        <v>119</v>
      </c>
      <c r="G1106" t="n">
        <v>0</v>
      </c>
      <c r="H1106">
        <f>E1106*F1106*(1-G1106)</f>
        <v/>
      </c>
      <c r="I1106">
        <f>XLOOKUP(D1106,Products!$A$2:$A$15,Products!$B$2:$B$15,"Not found")</f>
        <v/>
      </c>
    </row>
    <row r="1107">
      <c r="A1107" t="n">
        <v>105426</v>
      </c>
      <c r="B1107" s="1" t="n">
        <v>45741</v>
      </c>
      <c r="C1107" t="inlineStr">
        <is>
          <t>S01</t>
        </is>
      </c>
      <c r="D1107" t="inlineStr">
        <is>
          <t>P201</t>
        </is>
      </c>
      <c r="E1107" t="n">
        <v>1</v>
      </c>
      <c r="F1107" t="n">
        <v>149</v>
      </c>
      <c r="G1107" t="n">
        <v>0</v>
      </c>
      <c r="H1107">
        <f>E1107*F1107*(1-G1107)</f>
        <v/>
      </c>
      <c r="I1107">
        <f>XLOOKUP(D1107,Products!$A$2:$A$15,Products!$B$2:$B$15,"Not found")</f>
        <v/>
      </c>
    </row>
    <row r="1108">
      <c r="A1108" t="n">
        <v>105427</v>
      </c>
      <c r="B1108" s="1" t="n">
        <v>45741</v>
      </c>
      <c r="C1108" t="inlineStr">
        <is>
          <t>S02</t>
        </is>
      </c>
      <c r="D1108" t="inlineStr">
        <is>
          <t>P202</t>
        </is>
      </c>
      <c r="E1108" t="n">
        <v>2</v>
      </c>
      <c r="F1108" t="n">
        <v>79</v>
      </c>
      <c r="G1108" t="n">
        <v>0</v>
      </c>
      <c r="H1108">
        <f>E1108*F1108*(1-G1108)</f>
        <v/>
      </c>
      <c r="I1108">
        <f>XLOOKUP(D1108,Products!$A$2:$A$15,Products!$B$2:$B$15,"Not found")</f>
        <v/>
      </c>
    </row>
    <row r="1109">
      <c r="A1109" t="n">
        <v>105428</v>
      </c>
      <c r="B1109" s="1" t="n">
        <v>45741</v>
      </c>
      <c r="C1109" t="inlineStr">
        <is>
          <t>S02</t>
        </is>
      </c>
      <c r="D1109" t="inlineStr">
        <is>
          <t>P102</t>
        </is>
      </c>
      <c r="E1109" t="n">
        <v>2</v>
      </c>
      <c r="F1109" t="n">
        <v>14.5</v>
      </c>
      <c r="G1109" t="n">
        <v>0.2</v>
      </c>
      <c r="H1109">
        <f>E1109*F1109*(1-G1109)</f>
        <v/>
      </c>
      <c r="I1109">
        <f>XLOOKUP(D1109,Products!$A$2:$A$15,Products!$B$2:$B$15,"Not found")</f>
        <v/>
      </c>
    </row>
    <row r="1110">
      <c r="A1110" t="n">
        <v>105429</v>
      </c>
      <c r="B1110" s="1" t="n">
        <v>45741</v>
      </c>
      <c r="C1110" t="inlineStr">
        <is>
          <t>S02</t>
        </is>
      </c>
      <c r="D1110" t="inlineStr">
        <is>
          <t>P301</t>
        </is>
      </c>
      <c r="E1110" t="n">
        <v>1</v>
      </c>
      <c r="F1110" t="n">
        <v>119</v>
      </c>
      <c r="G1110" t="n">
        <v>0.2</v>
      </c>
      <c r="H1110">
        <f>E1110*F1110*(1-G1110)</f>
        <v/>
      </c>
      <c r="I1110">
        <f>XLOOKUP(D1110,Products!$A$2:$A$15,Products!$B$2:$B$15,"Not found")</f>
        <v/>
      </c>
    </row>
    <row r="1111">
      <c r="A1111" t="n">
        <v>105430</v>
      </c>
      <c r="B1111" s="1" t="n">
        <v>45741</v>
      </c>
      <c r="C1111" t="inlineStr">
        <is>
          <t>S03</t>
        </is>
      </c>
      <c r="D1111" t="inlineStr">
        <is>
          <t>P101</t>
        </is>
      </c>
      <c r="E1111" t="n">
        <v>4</v>
      </c>
      <c r="F1111" t="n">
        <v>39</v>
      </c>
      <c r="G1111" t="n">
        <v>0</v>
      </c>
      <c r="H1111">
        <f>E1111*F1111*(1-G1111)</f>
        <v/>
      </c>
      <c r="I1111">
        <f>XLOOKUP(D1111,Products!$A$2:$A$15,Products!$B$2:$B$15,"Not found")</f>
        <v/>
      </c>
    </row>
    <row r="1112">
      <c r="A1112" t="n">
        <v>105431</v>
      </c>
      <c r="B1112" s="1" t="n">
        <v>45741</v>
      </c>
      <c r="C1112" t="inlineStr">
        <is>
          <t>S04</t>
        </is>
      </c>
      <c r="D1112" t="inlineStr">
        <is>
          <t>P203</t>
        </is>
      </c>
      <c r="E1112" t="n">
        <v>2</v>
      </c>
      <c r="F1112" t="n">
        <v>19.5</v>
      </c>
      <c r="G1112" t="n">
        <v>0</v>
      </c>
      <c r="H1112">
        <f>E1112*F1112*(1-G1112)</f>
        <v/>
      </c>
      <c r="I1112">
        <f>XLOOKUP(D1112,Products!$A$2:$A$15,Products!$B$2:$B$15,"Not found")</f>
        <v/>
      </c>
    </row>
    <row r="1113">
      <c r="A1113" t="n">
        <v>105432</v>
      </c>
      <c r="B1113" s="1" t="n">
        <v>45741</v>
      </c>
      <c r="C1113" t="inlineStr">
        <is>
          <t>S04</t>
        </is>
      </c>
      <c r="D1113" t="inlineStr">
        <is>
          <t>P201</t>
        </is>
      </c>
      <c r="E1113" t="n">
        <v>1</v>
      </c>
      <c r="F1113" t="n">
        <v>149</v>
      </c>
      <c r="G1113" t="n">
        <v>0.2</v>
      </c>
      <c r="H1113">
        <f>E1113*F1113*(1-G1113)</f>
        <v/>
      </c>
      <c r="I1113">
        <f>XLOOKUP(D1113,Products!$A$2:$A$15,Products!$B$2:$B$15,"Not found")</f>
        <v/>
      </c>
    </row>
    <row r="1114">
      <c r="A1114" t="n">
        <v>105433</v>
      </c>
      <c r="B1114" s="1" t="n">
        <v>45741</v>
      </c>
      <c r="C1114" t="inlineStr">
        <is>
          <t>S04</t>
        </is>
      </c>
      <c r="D1114" t="inlineStr">
        <is>
          <t>P102</t>
        </is>
      </c>
      <c r="E1114" t="n">
        <v>4</v>
      </c>
      <c r="F1114" t="n">
        <v>14.5</v>
      </c>
      <c r="G1114" t="n">
        <v>0.1</v>
      </c>
      <c r="H1114">
        <f>E1114*F1114*(1-G1114)</f>
        <v/>
      </c>
      <c r="I1114">
        <f>XLOOKUP(D1114,Products!$A$2:$A$15,Products!$B$2:$B$15,"Not found")</f>
        <v/>
      </c>
    </row>
    <row r="1115">
      <c r="A1115" t="n">
        <v>105434</v>
      </c>
      <c r="B1115" s="1" t="n">
        <v>45741</v>
      </c>
      <c r="C1115" t="inlineStr">
        <is>
          <t>S04</t>
        </is>
      </c>
      <c r="D1115" t="inlineStr">
        <is>
          <t>P301</t>
        </is>
      </c>
      <c r="E1115" t="n">
        <v>1</v>
      </c>
      <c r="F1115" t="n">
        <v>119</v>
      </c>
      <c r="G1115" t="n">
        <v>0.2</v>
      </c>
      <c r="H1115">
        <f>E1115*F1115*(1-G1115)</f>
        <v/>
      </c>
      <c r="I1115">
        <f>XLOOKUP(D1115,Products!$A$2:$A$15,Products!$B$2:$B$15,"Not found")</f>
        <v/>
      </c>
    </row>
    <row r="1116">
      <c r="A1116" t="n">
        <v>105435</v>
      </c>
      <c r="B1116" s="1" t="n">
        <v>45741</v>
      </c>
      <c r="C1116" t="inlineStr">
        <is>
          <t>S06</t>
        </is>
      </c>
      <c r="D1116" t="inlineStr">
        <is>
          <t>P101</t>
        </is>
      </c>
      <c r="E1116" t="n">
        <v>2</v>
      </c>
      <c r="F1116" t="n">
        <v>39</v>
      </c>
      <c r="G1116" t="n">
        <v>0</v>
      </c>
      <c r="H1116">
        <f>E1116*F1116*(1-G1116)</f>
        <v/>
      </c>
      <c r="I1116">
        <f>XLOOKUP(D1116,Products!$A$2:$A$15,Products!$B$2:$B$15,"Not found")</f>
        <v/>
      </c>
    </row>
    <row r="1117">
      <c r="A1117" t="n">
        <v>105436</v>
      </c>
      <c r="B1117" s="1" t="n">
        <v>45741</v>
      </c>
      <c r="C1117" t="inlineStr">
        <is>
          <t>S06</t>
        </is>
      </c>
      <c r="D1117" t="inlineStr">
        <is>
          <t>P302</t>
        </is>
      </c>
      <c r="E1117" t="n">
        <v>2</v>
      </c>
      <c r="F1117" t="n">
        <v>24</v>
      </c>
      <c r="G1117" t="n">
        <v>0</v>
      </c>
      <c r="H1117">
        <f>E1117*F1117*(1-G1117)</f>
        <v/>
      </c>
      <c r="I1117">
        <f>XLOOKUP(D1117,Products!$A$2:$A$15,Products!$B$2:$B$15,"Not found")</f>
        <v/>
      </c>
    </row>
    <row r="1118">
      <c r="A1118" t="n">
        <v>105437</v>
      </c>
      <c r="B1118" s="1" t="n">
        <v>45741</v>
      </c>
      <c r="C1118" t="inlineStr">
        <is>
          <t>S06</t>
        </is>
      </c>
      <c r="D1118" t="inlineStr">
        <is>
          <t>P203</t>
        </is>
      </c>
      <c r="E1118" t="n">
        <v>3</v>
      </c>
      <c r="F1118" t="n">
        <v>19.5</v>
      </c>
      <c r="G1118" t="n">
        <v>0</v>
      </c>
      <c r="H1118">
        <f>E1118*F1118*(1-G1118)</f>
        <v/>
      </c>
      <c r="I1118">
        <f>XLOOKUP(D1118,Products!$A$2:$A$15,Products!$B$2:$B$15,"Not found")</f>
        <v/>
      </c>
    </row>
    <row r="1119">
      <c r="A1119" t="n">
        <v>105438</v>
      </c>
      <c r="B1119" s="1" t="n">
        <v>45742</v>
      </c>
      <c r="C1119" t="inlineStr">
        <is>
          <t>S01</t>
        </is>
      </c>
      <c r="D1119" t="inlineStr">
        <is>
          <t>P102</t>
        </is>
      </c>
      <c r="E1119" t="n">
        <v>4</v>
      </c>
      <c r="F1119" t="n">
        <v>14.5</v>
      </c>
      <c r="G1119" t="n">
        <v>0</v>
      </c>
      <c r="H1119">
        <f>E1119*F1119*(1-G1119)</f>
        <v/>
      </c>
      <c r="I1119">
        <f>XLOOKUP(D1119,Products!$A$2:$A$15,Products!$B$2:$B$15,"Not found")</f>
        <v/>
      </c>
    </row>
    <row r="1120">
      <c r="A1120" t="n">
        <v>105439</v>
      </c>
      <c r="B1120" s="1" t="n">
        <v>45742</v>
      </c>
      <c r="C1120" t="inlineStr">
        <is>
          <t>S01</t>
        </is>
      </c>
      <c r="D1120" t="inlineStr">
        <is>
          <t>P302</t>
        </is>
      </c>
      <c r="E1120" t="n">
        <v>3</v>
      </c>
      <c r="F1120" t="n">
        <v>24</v>
      </c>
      <c r="G1120" t="n">
        <v>0</v>
      </c>
      <c r="H1120">
        <f>E1120*F1120*(1-G1120)</f>
        <v/>
      </c>
      <c r="I1120">
        <f>XLOOKUP(D1120,Products!$A$2:$A$15,Products!$B$2:$B$15,"Not found")</f>
        <v/>
      </c>
    </row>
    <row r="1121">
      <c r="A1121" t="n">
        <v>105440</v>
      </c>
      <c r="B1121" s="1" t="n">
        <v>45742</v>
      </c>
      <c r="C1121" t="inlineStr">
        <is>
          <t>S01</t>
        </is>
      </c>
      <c r="D1121" t="inlineStr">
        <is>
          <t>P103</t>
        </is>
      </c>
      <c r="E1121" t="n">
        <v>2</v>
      </c>
      <c r="F1121" t="n">
        <v>29</v>
      </c>
      <c r="G1121" t="n">
        <v>0.15</v>
      </c>
      <c r="H1121">
        <f>E1121*F1121*(1-G1121)</f>
        <v/>
      </c>
      <c r="I1121">
        <f>XLOOKUP(D1121,Products!$A$2:$A$15,Products!$B$2:$B$15,"Not found")</f>
        <v/>
      </c>
    </row>
    <row r="1122">
      <c r="A1122" t="n">
        <v>105441</v>
      </c>
      <c r="B1122" s="1" t="n">
        <v>45742</v>
      </c>
      <c r="C1122" t="inlineStr">
        <is>
          <t>S01</t>
        </is>
      </c>
      <c r="D1122" t="inlineStr">
        <is>
          <t>P103</t>
        </is>
      </c>
      <c r="E1122" t="n">
        <v>2</v>
      </c>
      <c r="F1122" t="n">
        <v>29</v>
      </c>
      <c r="G1122" t="n">
        <v>0</v>
      </c>
      <c r="H1122">
        <f>E1122*F1122*(1-G1122)</f>
        <v/>
      </c>
      <c r="I1122">
        <f>XLOOKUP(D1122,Products!$A$2:$A$15,Products!$B$2:$B$15,"Not found")</f>
        <v/>
      </c>
    </row>
    <row r="1123">
      <c r="A1123" t="n">
        <v>105442</v>
      </c>
      <c r="B1123" s="1" t="n">
        <v>45742</v>
      </c>
      <c r="C1123" t="inlineStr">
        <is>
          <t>S01</t>
        </is>
      </c>
      <c r="D1123" t="inlineStr">
        <is>
          <t>P203</t>
        </is>
      </c>
      <c r="E1123" t="n">
        <v>1</v>
      </c>
      <c r="F1123" t="n">
        <v>19.5</v>
      </c>
      <c r="G1123" t="n">
        <v>0</v>
      </c>
      <c r="H1123">
        <f>E1123*F1123*(1-G1123)</f>
        <v/>
      </c>
      <c r="I1123">
        <f>XLOOKUP(D1123,Products!$A$2:$A$15,Products!$B$2:$B$15,"Not found")</f>
        <v/>
      </c>
    </row>
    <row r="1124">
      <c r="A1124" t="n">
        <v>105443</v>
      </c>
      <c r="B1124" s="1" t="n">
        <v>45742</v>
      </c>
      <c r="C1124" t="inlineStr">
        <is>
          <t>S02</t>
        </is>
      </c>
      <c r="D1124" t="inlineStr">
        <is>
          <t>P203</t>
        </is>
      </c>
      <c r="E1124" t="n">
        <v>2</v>
      </c>
      <c r="F1124" t="n">
        <v>19.5</v>
      </c>
      <c r="G1124" t="n">
        <v>0</v>
      </c>
      <c r="H1124">
        <f>E1124*F1124*(1-G1124)</f>
        <v/>
      </c>
      <c r="I1124">
        <f>XLOOKUP(D1124,Products!$A$2:$A$15,Products!$B$2:$B$15,"Not found")</f>
        <v/>
      </c>
    </row>
    <row r="1125">
      <c r="A1125" t="n">
        <v>105444</v>
      </c>
      <c r="B1125" s="1" t="n">
        <v>45742</v>
      </c>
      <c r="C1125" t="inlineStr">
        <is>
          <t>S02</t>
        </is>
      </c>
      <c r="D1125" t="inlineStr">
        <is>
          <t>P301</t>
        </is>
      </c>
      <c r="E1125" t="n">
        <v>1</v>
      </c>
      <c r="F1125" t="n">
        <v>119</v>
      </c>
      <c r="G1125" t="n">
        <v>0</v>
      </c>
      <c r="H1125">
        <f>E1125*F1125*(1-G1125)</f>
        <v/>
      </c>
      <c r="I1125">
        <f>XLOOKUP(D1125,Products!$A$2:$A$15,Products!$B$2:$B$15,"Not found")</f>
        <v/>
      </c>
    </row>
    <row r="1126">
      <c r="A1126" t="n">
        <v>105445</v>
      </c>
      <c r="B1126" s="1" t="n">
        <v>45742</v>
      </c>
      <c r="C1126" t="inlineStr">
        <is>
          <t>S04</t>
        </is>
      </c>
      <c r="D1126" t="inlineStr">
        <is>
          <t>P203</t>
        </is>
      </c>
      <c r="E1126" t="n">
        <v>1</v>
      </c>
      <c r="F1126" t="n">
        <v>19.5</v>
      </c>
      <c r="G1126" t="n">
        <v>0.15</v>
      </c>
      <c r="H1126">
        <f>E1126*F1126*(1-G1126)</f>
        <v/>
      </c>
      <c r="I1126">
        <f>XLOOKUP(D1126,Products!$A$2:$A$15,Products!$B$2:$B$15,"Not found")</f>
        <v/>
      </c>
    </row>
    <row r="1127">
      <c r="A1127" t="n">
        <v>105446</v>
      </c>
      <c r="B1127" s="1" t="n">
        <v>45742</v>
      </c>
      <c r="C1127" t="inlineStr">
        <is>
          <t>S04</t>
        </is>
      </c>
      <c r="D1127" t="inlineStr">
        <is>
          <t>P202</t>
        </is>
      </c>
      <c r="E1127" t="n">
        <v>2</v>
      </c>
      <c r="F1127" t="n">
        <v>79</v>
      </c>
      <c r="G1127" t="n">
        <v>0</v>
      </c>
      <c r="H1127">
        <f>E1127*F1127*(1-G1127)</f>
        <v/>
      </c>
      <c r="I1127">
        <f>XLOOKUP(D1127,Products!$A$2:$A$15,Products!$B$2:$B$15,"Not found")</f>
        <v/>
      </c>
    </row>
    <row r="1128">
      <c r="A1128" t="n">
        <v>105447</v>
      </c>
      <c r="B1128" s="1" t="n">
        <v>45742</v>
      </c>
      <c r="C1128" t="inlineStr">
        <is>
          <t>S04</t>
        </is>
      </c>
      <c r="D1128" t="inlineStr">
        <is>
          <t>P203</t>
        </is>
      </c>
      <c r="E1128" t="n">
        <v>1</v>
      </c>
      <c r="F1128" t="n">
        <v>19.5</v>
      </c>
      <c r="G1128" t="n">
        <v>0</v>
      </c>
      <c r="H1128">
        <f>E1128*F1128*(1-G1128)</f>
        <v/>
      </c>
      <c r="I1128">
        <f>XLOOKUP(D1128,Products!$A$2:$A$15,Products!$B$2:$B$15,"Not found")</f>
        <v/>
      </c>
    </row>
    <row r="1129">
      <c r="A1129" t="n">
        <v>105448</v>
      </c>
      <c r="B1129" s="1" t="n">
        <v>45742</v>
      </c>
      <c r="C1129" t="inlineStr">
        <is>
          <t>S04</t>
        </is>
      </c>
      <c r="D1129" t="inlineStr">
        <is>
          <t>P201</t>
        </is>
      </c>
      <c r="E1129" t="n">
        <v>1</v>
      </c>
      <c r="F1129" t="n">
        <v>149</v>
      </c>
      <c r="G1129" t="n">
        <v>0</v>
      </c>
      <c r="H1129">
        <f>E1129*F1129*(1-G1129)</f>
        <v/>
      </c>
      <c r="I1129">
        <f>XLOOKUP(D1129,Products!$A$2:$A$15,Products!$B$2:$B$15,"Not found")</f>
        <v/>
      </c>
    </row>
    <row r="1130">
      <c r="A1130" t="n">
        <v>105449</v>
      </c>
      <c r="B1130" s="1" t="n">
        <v>45742</v>
      </c>
      <c r="C1130" t="inlineStr">
        <is>
          <t>S05</t>
        </is>
      </c>
      <c r="D1130" t="inlineStr">
        <is>
          <t>P302</t>
        </is>
      </c>
      <c r="E1130" t="n">
        <v>2</v>
      </c>
      <c r="F1130" t="n">
        <v>24</v>
      </c>
      <c r="G1130" t="n">
        <v>0.1</v>
      </c>
      <c r="H1130">
        <f>E1130*F1130*(1-G1130)</f>
        <v/>
      </c>
      <c r="I1130">
        <f>XLOOKUP(D1130,Products!$A$2:$A$15,Products!$B$2:$B$15,"Not found")</f>
        <v/>
      </c>
    </row>
    <row r="1131">
      <c r="A1131" t="n">
        <v>105450</v>
      </c>
      <c r="B1131" s="1" t="n">
        <v>45742</v>
      </c>
      <c r="C1131" t="inlineStr">
        <is>
          <t>S05</t>
        </is>
      </c>
      <c r="D1131" t="inlineStr">
        <is>
          <t>P103</t>
        </is>
      </c>
      <c r="E1131" t="n">
        <v>1</v>
      </c>
      <c r="F1131" t="n">
        <v>29</v>
      </c>
      <c r="G1131" t="n">
        <v>0.15</v>
      </c>
      <c r="H1131">
        <f>E1131*F1131*(1-G1131)</f>
        <v/>
      </c>
      <c r="I1131">
        <f>XLOOKUP(D1131,Products!$A$2:$A$15,Products!$B$2:$B$15,"Not found")</f>
        <v/>
      </c>
    </row>
    <row r="1132">
      <c r="A1132" t="n">
        <v>105451</v>
      </c>
      <c r="B1132" s="1" t="n">
        <v>45742</v>
      </c>
      <c r="C1132" t="inlineStr">
        <is>
          <t>S05</t>
        </is>
      </c>
      <c r="D1132" t="inlineStr">
        <is>
          <t>P203</t>
        </is>
      </c>
      <c r="E1132" t="n">
        <v>3</v>
      </c>
      <c r="F1132" t="n">
        <v>19.5</v>
      </c>
      <c r="G1132" t="n">
        <v>0</v>
      </c>
      <c r="H1132">
        <f>E1132*F1132*(1-G1132)</f>
        <v/>
      </c>
      <c r="I1132">
        <f>XLOOKUP(D1132,Products!$A$2:$A$15,Products!$B$2:$B$15,"Not found")</f>
        <v/>
      </c>
    </row>
    <row r="1133">
      <c r="A1133" t="n">
        <v>105452</v>
      </c>
      <c r="B1133" s="1" t="n">
        <v>45743</v>
      </c>
      <c r="C1133" t="inlineStr">
        <is>
          <t>S02</t>
        </is>
      </c>
      <c r="D1133" t="inlineStr">
        <is>
          <t>P101</t>
        </is>
      </c>
      <c r="E1133" t="n">
        <v>1</v>
      </c>
      <c r="F1133" t="n">
        <v>39</v>
      </c>
      <c r="G1133" t="n">
        <v>0</v>
      </c>
      <c r="H1133">
        <f>E1133*F1133*(1-G1133)</f>
        <v/>
      </c>
      <c r="I1133">
        <f>XLOOKUP(D1133,Products!$A$2:$A$15,Products!$B$2:$B$15,"Not found")</f>
        <v/>
      </c>
    </row>
    <row r="1134">
      <c r="A1134" t="n">
        <v>105453</v>
      </c>
      <c r="B1134" s="1" t="n">
        <v>45743</v>
      </c>
      <c r="C1134" t="inlineStr">
        <is>
          <t>S02</t>
        </is>
      </c>
      <c r="D1134" t="inlineStr">
        <is>
          <t>P402</t>
        </is>
      </c>
      <c r="E1134" t="n">
        <v>1</v>
      </c>
      <c r="F1134" t="n">
        <v>699</v>
      </c>
      <c r="G1134" t="n">
        <v>0</v>
      </c>
      <c r="H1134">
        <f>E1134*F1134*(1-G1134)</f>
        <v/>
      </c>
      <c r="I1134">
        <f>XLOOKUP(D1134,Products!$A$2:$A$15,Products!$B$2:$B$15,"Not found")</f>
        <v/>
      </c>
    </row>
    <row r="1135">
      <c r="A1135" t="n">
        <v>105454</v>
      </c>
      <c r="B1135" s="1" t="n">
        <v>45743</v>
      </c>
      <c r="C1135" t="inlineStr">
        <is>
          <t>S02</t>
        </is>
      </c>
      <c r="D1135" t="inlineStr">
        <is>
          <t>P103</t>
        </is>
      </c>
      <c r="E1135" t="n">
        <v>2</v>
      </c>
      <c r="F1135" t="n">
        <v>29</v>
      </c>
      <c r="G1135" t="n">
        <v>0.1</v>
      </c>
      <c r="H1135">
        <f>E1135*F1135*(1-G1135)</f>
        <v/>
      </c>
      <c r="I1135">
        <f>XLOOKUP(D1135,Products!$A$2:$A$15,Products!$B$2:$B$15,"Not found")</f>
        <v/>
      </c>
    </row>
    <row r="1136">
      <c r="A1136" t="n">
        <v>105455</v>
      </c>
      <c r="B1136" s="1" t="n">
        <v>45743</v>
      </c>
      <c r="C1136" t="inlineStr">
        <is>
          <t>S03</t>
        </is>
      </c>
      <c r="D1136" t="inlineStr">
        <is>
          <t>P303</t>
        </is>
      </c>
      <c r="E1136" t="n">
        <v>2</v>
      </c>
      <c r="F1136" t="n">
        <v>12</v>
      </c>
      <c r="G1136" t="n">
        <v>0.15</v>
      </c>
      <c r="H1136">
        <f>E1136*F1136*(1-G1136)</f>
        <v/>
      </c>
      <c r="I1136">
        <f>XLOOKUP(D1136,Products!$A$2:$A$15,Products!$B$2:$B$15,"Not found")</f>
        <v/>
      </c>
    </row>
    <row r="1137">
      <c r="A1137" t="n">
        <v>105456</v>
      </c>
      <c r="B1137" s="1" t="n">
        <v>45743</v>
      </c>
      <c r="C1137" t="inlineStr">
        <is>
          <t>S04</t>
        </is>
      </c>
      <c r="D1137" t="inlineStr">
        <is>
          <t>P303</t>
        </is>
      </c>
      <c r="E1137" t="n">
        <v>3</v>
      </c>
      <c r="F1137" t="n">
        <v>12</v>
      </c>
      <c r="G1137" t="n">
        <v>0</v>
      </c>
      <c r="H1137">
        <f>E1137*F1137*(1-G1137)</f>
        <v/>
      </c>
      <c r="I1137">
        <f>XLOOKUP(D1137,Products!$A$2:$A$15,Products!$B$2:$B$15,"Not found")</f>
        <v/>
      </c>
    </row>
    <row r="1138">
      <c r="A1138" t="n">
        <v>105457</v>
      </c>
      <c r="B1138" s="1" t="n">
        <v>45743</v>
      </c>
      <c r="C1138" t="inlineStr">
        <is>
          <t>S04</t>
        </is>
      </c>
      <c r="D1138" t="inlineStr">
        <is>
          <t>P303</t>
        </is>
      </c>
      <c r="E1138" t="n">
        <v>4</v>
      </c>
      <c r="F1138" t="n">
        <v>12</v>
      </c>
      <c r="G1138" t="n">
        <v>0.1</v>
      </c>
      <c r="H1138">
        <f>E1138*F1138*(1-G1138)</f>
        <v/>
      </c>
      <c r="I1138">
        <f>XLOOKUP(D1138,Products!$A$2:$A$15,Products!$B$2:$B$15,"Not found")</f>
        <v/>
      </c>
    </row>
    <row r="1139">
      <c r="A1139" t="n">
        <v>105458</v>
      </c>
      <c r="B1139" s="1" t="n">
        <v>45744</v>
      </c>
      <c r="C1139" t="inlineStr">
        <is>
          <t>S01</t>
        </is>
      </c>
      <c r="D1139" t="inlineStr">
        <is>
          <t>P302</t>
        </is>
      </c>
      <c r="E1139" t="n">
        <v>1</v>
      </c>
      <c r="F1139" t="n">
        <v>24</v>
      </c>
      <c r="G1139" t="n">
        <v>0</v>
      </c>
      <c r="H1139">
        <f>E1139*F1139*(1-G1139)</f>
        <v/>
      </c>
      <c r="I1139">
        <f>XLOOKUP(D1139,Products!$A$2:$A$15,Products!$B$2:$B$15,"Not found")</f>
        <v/>
      </c>
    </row>
    <row r="1140">
      <c r="A1140" t="n">
        <v>105459</v>
      </c>
      <c r="B1140" s="1" t="n">
        <v>45744</v>
      </c>
      <c r="C1140" t="inlineStr">
        <is>
          <t>S01</t>
        </is>
      </c>
      <c r="D1140" t="inlineStr">
        <is>
          <t>P104</t>
        </is>
      </c>
      <c r="E1140" t="n">
        <v>1</v>
      </c>
      <c r="F1140" t="n">
        <v>189</v>
      </c>
      <c r="G1140" t="n">
        <v>0</v>
      </c>
      <c r="H1140">
        <f>E1140*F1140*(1-G1140)</f>
        <v/>
      </c>
      <c r="I1140">
        <f>XLOOKUP(D1140,Products!$A$2:$A$15,Products!$B$2:$B$15,"Not found")</f>
        <v/>
      </c>
    </row>
    <row r="1141">
      <c r="A1141" t="n">
        <v>105460</v>
      </c>
      <c r="B1141" s="1" t="n">
        <v>45744</v>
      </c>
      <c r="C1141" t="inlineStr">
        <is>
          <t>S01</t>
        </is>
      </c>
      <c r="D1141" t="inlineStr">
        <is>
          <t>P301</t>
        </is>
      </c>
      <c r="E1141" t="n">
        <v>1</v>
      </c>
      <c r="F1141" t="n">
        <v>119</v>
      </c>
      <c r="G1141" t="n">
        <v>0.1</v>
      </c>
      <c r="H1141">
        <f>E1141*F1141*(1-G1141)</f>
        <v/>
      </c>
      <c r="I1141">
        <f>XLOOKUP(D1141,Products!$A$2:$A$15,Products!$B$2:$B$15,"Not found")</f>
        <v/>
      </c>
    </row>
    <row r="1142">
      <c r="A1142" t="n">
        <v>105461</v>
      </c>
      <c r="B1142" s="1" t="n">
        <v>45744</v>
      </c>
      <c r="C1142" t="inlineStr">
        <is>
          <t>S02</t>
        </is>
      </c>
      <c r="D1142" t="inlineStr">
        <is>
          <t>P303</t>
        </is>
      </c>
      <c r="E1142" t="n">
        <v>1</v>
      </c>
      <c r="F1142" t="n">
        <v>12</v>
      </c>
      <c r="G1142" t="n">
        <v>0</v>
      </c>
      <c r="H1142">
        <f>E1142*F1142*(1-G1142)</f>
        <v/>
      </c>
      <c r="I1142">
        <f>XLOOKUP(D1142,Products!$A$2:$A$15,Products!$B$2:$B$15,"Not found")</f>
        <v/>
      </c>
    </row>
    <row r="1143">
      <c r="A1143" t="n">
        <v>105462</v>
      </c>
      <c r="B1143" s="1" t="n">
        <v>45744</v>
      </c>
      <c r="C1143" t="inlineStr">
        <is>
          <t>S02</t>
        </is>
      </c>
      <c r="D1143" t="inlineStr">
        <is>
          <t>P202</t>
        </is>
      </c>
      <c r="E1143" t="n">
        <v>1</v>
      </c>
      <c r="F1143" t="n">
        <v>79</v>
      </c>
      <c r="G1143" t="n">
        <v>0.2</v>
      </c>
      <c r="H1143">
        <f>E1143*F1143*(1-G1143)</f>
        <v/>
      </c>
      <c r="I1143">
        <f>XLOOKUP(D1143,Products!$A$2:$A$15,Products!$B$2:$B$15,"Not found")</f>
        <v/>
      </c>
    </row>
    <row r="1144">
      <c r="A1144" t="n">
        <v>105463</v>
      </c>
      <c r="B1144" s="1" t="n">
        <v>45744</v>
      </c>
      <c r="C1144" t="inlineStr">
        <is>
          <t>S02</t>
        </is>
      </c>
      <c r="D1144" t="inlineStr">
        <is>
          <t>P203</t>
        </is>
      </c>
      <c r="E1144" t="n">
        <v>1</v>
      </c>
      <c r="F1144" t="n">
        <v>19.5</v>
      </c>
      <c r="G1144" t="n">
        <v>0.15</v>
      </c>
      <c r="H1144">
        <f>E1144*F1144*(1-G1144)</f>
        <v/>
      </c>
      <c r="I1144">
        <f>XLOOKUP(D1144,Products!$A$2:$A$15,Products!$B$2:$B$15,"Not found")</f>
        <v/>
      </c>
    </row>
    <row r="1145">
      <c r="A1145" t="n">
        <v>105464</v>
      </c>
      <c r="B1145" s="1" t="n">
        <v>45744</v>
      </c>
      <c r="C1145" t="inlineStr">
        <is>
          <t>S02</t>
        </is>
      </c>
      <c r="D1145" t="inlineStr">
        <is>
          <t>P204</t>
        </is>
      </c>
      <c r="E1145" t="n">
        <v>1</v>
      </c>
      <c r="F1145" t="n">
        <v>229</v>
      </c>
      <c r="G1145" t="n">
        <v>0</v>
      </c>
      <c r="H1145">
        <f>E1145*F1145*(1-G1145)</f>
        <v/>
      </c>
      <c r="I1145">
        <f>XLOOKUP(D1145,Products!$A$2:$A$15,Products!$B$2:$B$15,"Not found")</f>
        <v/>
      </c>
    </row>
    <row r="1146">
      <c r="A1146" t="n">
        <v>105465</v>
      </c>
      <c r="B1146" s="1" t="n">
        <v>45744</v>
      </c>
      <c r="C1146" t="inlineStr">
        <is>
          <t>S03</t>
        </is>
      </c>
      <c r="D1146" t="inlineStr">
        <is>
          <t>P101</t>
        </is>
      </c>
      <c r="E1146" t="n">
        <v>1</v>
      </c>
      <c r="F1146" t="n">
        <v>39</v>
      </c>
      <c r="G1146" t="n">
        <v>0</v>
      </c>
      <c r="H1146">
        <f>E1146*F1146*(1-G1146)</f>
        <v/>
      </c>
      <c r="I1146">
        <f>XLOOKUP(D1146,Products!$A$2:$A$15,Products!$B$2:$B$15,"Not found")</f>
        <v/>
      </c>
    </row>
    <row r="1147">
      <c r="A1147" t="n">
        <v>105466</v>
      </c>
      <c r="B1147" s="1" t="n">
        <v>45744</v>
      </c>
      <c r="C1147" t="inlineStr">
        <is>
          <t>S04</t>
        </is>
      </c>
      <c r="D1147" t="inlineStr">
        <is>
          <t>P101</t>
        </is>
      </c>
      <c r="E1147" t="n">
        <v>3</v>
      </c>
      <c r="F1147" t="n">
        <v>39</v>
      </c>
      <c r="G1147" t="n">
        <v>0.15</v>
      </c>
      <c r="H1147">
        <f>E1147*F1147*(1-G1147)</f>
        <v/>
      </c>
      <c r="I1147">
        <f>XLOOKUP(D1147,Products!$A$2:$A$15,Products!$B$2:$B$15,"Not found")</f>
        <v/>
      </c>
    </row>
    <row r="1148">
      <c r="A1148" t="n">
        <v>105467</v>
      </c>
      <c r="B1148" s="1" t="n">
        <v>45744</v>
      </c>
      <c r="C1148" t="inlineStr">
        <is>
          <t>S04</t>
        </is>
      </c>
      <c r="D1148" t="inlineStr">
        <is>
          <t>P101</t>
        </is>
      </c>
      <c r="E1148" t="n">
        <v>4</v>
      </c>
      <c r="F1148" t="n">
        <v>39</v>
      </c>
      <c r="G1148" t="n">
        <v>0.2</v>
      </c>
      <c r="H1148">
        <f>E1148*F1148*(1-G1148)</f>
        <v/>
      </c>
      <c r="I1148">
        <f>XLOOKUP(D1148,Products!$A$2:$A$15,Products!$B$2:$B$15,"Not found")</f>
        <v/>
      </c>
    </row>
    <row r="1149">
      <c r="A1149" t="n">
        <v>105468</v>
      </c>
      <c r="B1149" s="1" t="n">
        <v>45744</v>
      </c>
      <c r="C1149" t="inlineStr">
        <is>
          <t>S04</t>
        </is>
      </c>
      <c r="D1149" t="inlineStr">
        <is>
          <t>P102</t>
        </is>
      </c>
      <c r="E1149" t="n">
        <v>1</v>
      </c>
      <c r="F1149" t="n">
        <v>14.5</v>
      </c>
      <c r="G1149" t="n">
        <v>0</v>
      </c>
      <c r="H1149">
        <f>E1149*F1149*(1-G1149)</f>
        <v/>
      </c>
      <c r="I1149">
        <f>XLOOKUP(D1149,Products!$A$2:$A$15,Products!$B$2:$B$15,"Not found")</f>
        <v/>
      </c>
    </row>
    <row r="1150">
      <c r="A1150" t="n">
        <v>105469</v>
      </c>
      <c r="B1150" s="1" t="n">
        <v>45744</v>
      </c>
      <c r="C1150" t="inlineStr">
        <is>
          <t>S05</t>
        </is>
      </c>
      <c r="D1150" t="inlineStr">
        <is>
          <t>P101</t>
        </is>
      </c>
      <c r="E1150" t="n">
        <v>4</v>
      </c>
      <c r="F1150" t="n">
        <v>39</v>
      </c>
      <c r="G1150" t="n">
        <v>0.2</v>
      </c>
      <c r="H1150">
        <f>E1150*F1150*(1-G1150)</f>
        <v/>
      </c>
      <c r="I1150">
        <f>XLOOKUP(D1150,Products!$A$2:$A$15,Products!$B$2:$B$15,"Not found")</f>
        <v/>
      </c>
    </row>
    <row r="1151">
      <c r="A1151" t="n">
        <v>105470</v>
      </c>
      <c r="B1151" s="1" t="n">
        <v>45744</v>
      </c>
      <c r="C1151" t="inlineStr">
        <is>
          <t>S05</t>
        </is>
      </c>
      <c r="D1151" t="inlineStr">
        <is>
          <t>P102</t>
        </is>
      </c>
      <c r="E1151" t="n">
        <v>1</v>
      </c>
      <c r="F1151" t="n">
        <v>14.5</v>
      </c>
      <c r="G1151" t="n">
        <v>0</v>
      </c>
      <c r="H1151">
        <f>E1151*F1151*(1-G1151)</f>
        <v/>
      </c>
      <c r="I1151">
        <f>XLOOKUP(D1151,Products!$A$2:$A$15,Products!$B$2:$B$15,"Not found")</f>
        <v/>
      </c>
    </row>
    <row r="1152">
      <c r="A1152" t="n">
        <v>105471</v>
      </c>
      <c r="B1152" s="1" t="n">
        <v>45744</v>
      </c>
      <c r="C1152" t="inlineStr">
        <is>
          <t>S06</t>
        </is>
      </c>
      <c r="D1152" t="inlineStr">
        <is>
          <t>P101</t>
        </is>
      </c>
      <c r="E1152" t="n">
        <v>2</v>
      </c>
      <c r="F1152" t="n">
        <v>39</v>
      </c>
      <c r="G1152" t="n">
        <v>0.15</v>
      </c>
      <c r="H1152">
        <f>E1152*F1152*(1-G1152)</f>
        <v/>
      </c>
      <c r="I1152">
        <f>XLOOKUP(D1152,Products!$A$2:$A$15,Products!$B$2:$B$15,"Not found")</f>
        <v/>
      </c>
    </row>
    <row r="1153">
      <c r="A1153" t="n">
        <v>105472</v>
      </c>
      <c r="B1153" s="1" t="n">
        <v>45745</v>
      </c>
      <c r="C1153" t="inlineStr">
        <is>
          <t>S01</t>
        </is>
      </c>
      <c r="D1153" t="inlineStr">
        <is>
          <t>P303</t>
        </is>
      </c>
      <c r="E1153" t="n">
        <v>1</v>
      </c>
      <c r="F1153" t="n">
        <v>12</v>
      </c>
      <c r="G1153" t="n">
        <v>0.2</v>
      </c>
      <c r="H1153">
        <f>E1153*F1153*(1-G1153)</f>
        <v/>
      </c>
      <c r="I1153">
        <f>XLOOKUP(D1153,Products!$A$2:$A$15,Products!$B$2:$B$15,"Not found")</f>
        <v/>
      </c>
    </row>
    <row r="1154">
      <c r="A1154" t="n">
        <v>105473</v>
      </c>
      <c r="B1154" s="1" t="n">
        <v>45745</v>
      </c>
      <c r="C1154" t="inlineStr">
        <is>
          <t>S01</t>
        </is>
      </c>
      <c r="D1154" t="inlineStr">
        <is>
          <t>P201</t>
        </is>
      </c>
      <c r="E1154" t="n">
        <v>1</v>
      </c>
      <c r="F1154" t="n">
        <v>149</v>
      </c>
      <c r="G1154" t="n">
        <v>0</v>
      </c>
      <c r="H1154">
        <f>E1154*F1154*(1-G1154)</f>
        <v/>
      </c>
      <c r="I1154">
        <f>XLOOKUP(D1154,Products!$A$2:$A$15,Products!$B$2:$B$15,"Not found")</f>
        <v/>
      </c>
    </row>
    <row r="1155">
      <c r="A1155" t="n">
        <v>105474</v>
      </c>
      <c r="B1155" s="1" t="n">
        <v>45745</v>
      </c>
      <c r="C1155" t="inlineStr">
        <is>
          <t>S02</t>
        </is>
      </c>
      <c r="D1155" t="inlineStr">
        <is>
          <t>P203</t>
        </is>
      </c>
      <c r="E1155" t="n">
        <v>2</v>
      </c>
      <c r="F1155" t="n">
        <v>19.5</v>
      </c>
      <c r="G1155" t="n">
        <v>0</v>
      </c>
      <c r="H1155">
        <f>E1155*F1155*(1-G1155)</f>
        <v/>
      </c>
      <c r="I1155">
        <f>XLOOKUP(D1155,Products!$A$2:$A$15,Products!$B$2:$B$15,"Not found")</f>
        <v/>
      </c>
    </row>
    <row r="1156">
      <c r="A1156" t="n">
        <v>105475</v>
      </c>
      <c r="B1156" s="1" t="n">
        <v>45745</v>
      </c>
      <c r="C1156" t="inlineStr">
        <is>
          <t>S02</t>
        </is>
      </c>
      <c r="D1156" t="inlineStr">
        <is>
          <t>P103</t>
        </is>
      </c>
      <c r="E1156" t="n">
        <v>4</v>
      </c>
      <c r="F1156" t="n">
        <v>29</v>
      </c>
      <c r="G1156" t="n">
        <v>0</v>
      </c>
      <c r="H1156">
        <f>E1156*F1156*(1-G1156)</f>
        <v/>
      </c>
      <c r="I1156">
        <f>XLOOKUP(D1156,Products!$A$2:$A$15,Products!$B$2:$B$15,"Not found")</f>
        <v/>
      </c>
    </row>
    <row r="1157">
      <c r="A1157" t="n">
        <v>105476</v>
      </c>
      <c r="B1157" s="1" t="n">
        <v>45745</v>
      </c>
      <c r="C1157" t="inlineStr">
        <is>
          <t>S02</t>
        </is>
      </c>
      <c r="D1157" t="inlineStr">
        <is>
          <t>P103</t>
        </is>
      </c>
      <c r="E1157" t="n">
        <v>1</v>
      </c>
      <c r="F1157" t="n">
        <v>29</v>
      </c>
      <c r="G1157" t="n">
        <v>0.1</v>
      </c>
      <c r="H1157">
        <f>E1157*F1157*(1-G1157)</f>
        <v/>
      </c>
      <c r="I1157">
        <f>XLOOKUP(D1157,Products!$A$2:$A$15,Products!$B$2:$B$15,"Not found")</f>
        <v/>
      </c>
    </row>
    <row r="1158">
      <c r="A1158" t="n">
        <v>105477</v>
      </c>
      <c r="B1158" s="1" t="n">
        <v>45745</v>
      </c>
      <c r="C1158" t="inlineStr">
        <is>
          <t>S03</t>
        </is>
      </c>
      <c r="D1158" t="inlineStr">
        <is>
          <t>P203</t>
        </is>
      </c>
      <c r="E1158" t="n">
        <v>4</v>
      </c>
      <c r="F1158" t="n">
        <v>19.5</v>
      </c>
      <c r="G1158" t="n">
        <v>0</v>
      </c>
      <c r="H1158">
        <f>E1158*F1158*(1-G1158)</f>
        <v/>
      </c>
      <c r="I1158">
        <f>XLOOKUP(D1158,Products!$A$2:$A$15,Products!$B$2:$B$15,"Not found")</f>
        <v/>
      </c>
    </row>
    <row r="1159">
      <c r="A1159" t="n">
        <v>105478</v>
      </c>
      <c r="B1159" s="1" t="n">
        <v>45745</v>
      </c>
      <c r="C1159" t="inlineStr">
        <is>
          <t>S03</t>
        </is>
      </c>
      <c r="D1159" t="inlineStr">
        <is>
          <t>P302</t>
        </is>
      </c>
      <c r="E1159" t="n">
        <v>1</v>
      </c>
      <c r="F1159" t="n">
        <v>24</v>
      </c>
      <c r="G1159" t="n">
        <v>0</v>
      </c>
      <c r="H1159">
        <f>E1159*F1159*(1-G1159)</f>
        <v/>
      </c>
      <c r="I1159">
        <f>XLOOKUP(D1159,Products!$A$2:$A$15,Products!$B$2:$B$15,"Not found")</f>
        <v/>
      </c>
    </row>
    <row r="1160">
      <c r="A1160" t="n">
        <v>105479</v>
      </c>
      <c r="B1160" s="1" t="n">
        <v>45745</v>
      </c>
      <c r="C1160" t="inlineStr">
        <is>
          <t>S03</t>
        </is>
      </c>
      <c r="D1160" t="inlineStr">
        <is>
          <t>P102</t>
        </is>
      </c>
      <c r="E1160" t="n">
        <v>4</v>
      </c>
      <c r="F1160" t="n">
        <v>14.5</v>
      </c>
      <c r="G1160" t="n">
        <v>0</v>
      </c>
      <c r="H1160">
        <f>E1160*F1160*(1-G1160)</f>
        <v/>
      </c>
      <c r="I1160">
        <f>XLOOKUP(D1160,Products!$A$2:$A$15,Products!$B$2:$B$15,"Not found")</f>
        <v/>
      </c>
    </row>
    <row r="1161">
      <c r="A1161" t="n">
        <v>105480</v>
      </c>
      <c r="B1161" s="1" t="n">
        <v>45745</v>
      </c>
      <c r="C1161" t="inlineStr">
        <is>
          <t>S04</t>
        </is>
      </c>
      <c r="D1161" t="inlineStr">
        <is>
          <t>P101</t>
        </is>
      </c>
      <c r="E1161" t="n">
        <v>1</v>
      </c>
      <c r="F1161" t="n">
        <v>39</v>
      </c>
      <c r="G1161" t="n">
        <v>0</v>
      </c>
      <c r="H1161">
        <f>E1161*F1161*(1-G1161)</f>
        <v/>
      </c>
      <c r="I1161">
        <f>XLOOKUP(D1161,Products!$A$2:$A$15,Products!$B$2:$B$15,"Not found")</f>
        <v/>
      </c>
    </row>
    <row r="1162">
      <c r="A1162" t="n">
        <v>105481</v>
      </c>
      <c r="B1162" s="1" t="n">
        <v>45745</v>
      </c>
      <c r="C1162" t="inlineStr">
        <is>
          <t>S05</t>
        </is>
      </c>
      <c r="D1162" t="inlineStr">
        <is>
          <t>P303</t>
        </is>
      </c>
      <c r="E1162" t="n">
        <v>1</v>
      </c>
      <c r="F1162" t="n">
        <v>12</v>
      </c>
      <c r="G1162" t="n">
        <v>0</v>
      </c>
      <c r="H1162">
        <f>E1162*F1162*(1-G1162)</f>
        <v/>
      </c>
      <c r="I1162">
        <f>XLOOKUP(D1162,Products!$A$2:$A$15,Products!$B$2:$B$15,"Not found")</f>
        <v/>
      </c>
    </row>
    <row r="1163">
      <c r="A1163" t="n">
        <v>105482</v>
      </c>
      <c r="B1163" s="1" t="n">
        <v>45745</v>
      </c>
      <c r="C1163" t="inlineStr">
        <is>
          <t>S05</t>
        </is>
      </c>
      <c r="D1163" t="inlineStr">
        <is>
          <t>P102</t>
        </is>
      </c>
      <c r="E1163" t="n">
        <v>1</v>
      </c>
      <c r="F1163" t="n">
        <v>14.5</v>
      </c>
      <c r="G1163" t="n">
        <v>0.15</v>
      </c>
      <c r="H1163">
        <f>E1163*F1163*(1-G1163)</f>
        <v/>
      </c>
      <c r="I1163">
        <f>XLOOKUP(D1163,Products!$A$2:$A$15,Products!$B$2:$B$15,"Not found")</f>
        <v/>
      </c>
    </row>
    <row r="1164">
      <c r="A1164" t="n">
        <v>105483</v>
      </c>
      <c r="B1164" s="1" t="n">
        <v>45745</v>
      </c>
      <c r="C1164" t="inlineStr">
        <is>
          <t>S06</t>
        </is>
      </c>
      <c r="D1164" t="inlineStr">
        <is>
          <t>P201</t>
        </is>
      </c>
      <c r="E1164" t="n">
        <v>1</v>
      </c>
      <c r="F1164" t="n">
        <v>149</v>
      </c>
      <c r="G1164" t="n">
        <v>0.15</v>
      </c>
      <c r="H1164">
        <f>E1164*F1164*(1-G1164)</f>
        <v/>
      </c>
      <c r="I1164">
        <f>XLOOKUP(D1164,Products!$A$2:$A$15,Products!$B$2:$B$15,"Not found")</f>
        <v/>
      </c>
    </row>
    <row r="1165">
      <c r="A1165" t="n">
        <v>105484</v>
      </c>
      <c r="B1165" s="1" t="n">
        <v>45745</v>
      </c>
      <c r="C1165" t="inlineStr">
        <is>
          <t>S06</t>
        </is>
      </c>
      <c r="D1165" t="inlineStr">
        <is>
          <t>P101</t>
        </is>
      </c>
      <c r="E1165" t="n">
        <v>4</v>
      </c>
      <c r="F1165" t="n">
        <v>39</v>
      </c>
      <c r="G1165" t="n">
        <v>0</v>
      </c>
      <c r="H1165">
        <f>E1165*F1165*(1-G1165)</f>
        <v/>
      </c>
      <c r="I1165">
        <f>XLOOKUP(D1165,Products!$A$2:$A$15,Products!$B$2:$B$15,"Not found")</f>
        <v/>
      </c>
    </row>
    <row r="1166">
      <c r="A1166" t="n">
        <v>105485</v>
      </c>
      <c r="B1166" s="1" t="n">
        <v>45745</v>
      </c>
      <c r="C1166" t="inlineStr">
        <is>
          <t>S06</t>
        </is>
      </c>
      <c r="D1166" t="inlineStr">
        <is>
          <t>P303</t>
        </is>
      </c>
      <c r="E1166" t="n">
        <v>1</v>
      </c>
      <c r="F1166" t="n">
        <v>12</v>
      </c>
      <c r="G1166" t="n">
        <v>0</v>
      </c>
      <c r="H1166">
        <f>E1166*F1166*(1-G1166)</f>
        <v/>
      </c>
      <c r="I1166">
        <f>XLOOKUP(D1166,Products!$A$2:$A$15,Products!$B$2:$B$15,"Not found")</f>
        <v/>
      </c>
    </row>
    <row r="1167">
      <c r="A1167" t="n">
        <v>105486</v>
      </c>
      <c r="B1167" s="1" t="n">
        <v>45746</v>
      </c>
      <c r="C1167" t="inlineStr">
        <is>
          <t>S01</t>
        </is>
      </c>
      <c r="D1167" t="inlineStr">
        <is>
          <t>P402</t>
        </is>
      </c>
      <c r="E1167" t="n">
        <v>1</v>
      </c>
      <c r="F1167" t="n">
        <v>699</v>
      </c>
      <c r="G1167" t="n">
        <v>0</v>
      </c>
      <c r="H1167">
        <f>E1167*F1167*(1-G1167)</f>
        <v/>
      </c>
      <c r="I1167">
        <f>XLOOKUP(D1167,Products!$A$2:$A$15,Products!$B$2:$B$15,"Not found")</f>
        <v/>
      </c>
    </row>
    <row r="1168">
      <c r="A1168" t="n">
        <v>105487</v>
      </c>
      <c r="B1168" s="1" t="n">
        <v>45746</v>
      </c>
      <c r="C1168" t="inlineStr">
        <is>
          <t>S01</t>
        </is>
      </c>
      <c r="D1168" t="inlineStr">
        <is>
          <t>P301</t>
        </is>
      </c>
      <c r="E1168" t="n">
        <v>1</v>
      </c>
      <c r="F1168" t="n">
        <v>119</v>
      </c>
      <c r="G1168" t="n">
        <v>0</v>
      </c>
      <c r="H1168">
        <f>E1168*F1168*(1-G1168)</f>
        <v/>
      </c>
      <c r="I1168">
        <f>XLOOKUP(D1168,Products!$A$2:$A$15,Products!$B$2:$B$15,"Not found")</f>
        <v/>
      </c>
    </row>
    <row r="1169">
      <c r="A1169" t="n">
        <v>105488</v>
      </c>
      <c r="B1169" s="1" t="n">
        <v>45746</v>
      </c>
      <c r="C1169" t="inlineStr">
        <is>
          <t>S01</t>
        </is>
      </c>
      <c r="D1169" t="inlineStr">
        <is>
          <t>P303</t>
        </is>
      </c>
      <c r="E1169" t="n">
        <v>3</v>
      </c>
      <c r="F1169" t="n">
        <v>12</v>
      </c>
      <c r="G1169" t="n">
        <v>0</v>
      </c>
      <c r="H1169">
        <f>E1169*F1169*(1-G1169)</f>
        <v/>
      </c>
      <c r="I1169">
        <f>XLOOKUP(D1169,Products!$A$2:$A$15,Products!$B$2:$B$15,"Not found")</f>
        <v/>
      </c>
    </row>
    <row r="1170">
      <c r="A1170" t="n">
        <v>105489</v>
      </c>
      <c r="B1170" s="1" t="n">
        <v>45746</v>
      </c>
      <c r="C1170" t="inlineStr">
        <is>
          <t>S03</t>
        </is>
      </c>
      <c r="D1170" t="inlineStr">
        <is>
          <t>P303</t>
        </is>
      </c>
      <c r="E1170" t="n">
        <v>1</v>
      </c>
      <c r="F1170" t="n">
        <v>12</v>
      </c>
      <c r="G1170" t="n">
        <v>0.1</v>
      </c>
      <c r="H1170">
        <f>E1170*F1170*(1-G1170)</f>
        <v/>
      </c>
      <c r="I1170">
        <f>XLOOKUP(D1170,Products!$A$2:$A$15,Products!$B$2:$B$15,"Not found")</f>
        <v/>
      </c>
    </row>
    <row r="1171">
      <c r="A1171" t="n">
        <v>105490</v>
      </c>
      <c r="B1171" s="1" t="n">
        <v>45746</v>
      </c>
      <c r="C1171" t="inlineStr">
        <is>
          <t>S03</t>
        </is>
      </c>
      <c r="D1171" t="inlineStr">
        <is>
          <t>P103</t>
        </is>
      </c>
      <c r="E1171" t="n">
        <v>1</v>
      </c>
      <c r="F1171" t="n">
        <v>29</v>
      </c>
      <c r="G1171" t="n">
        <v>0.15</v>
      </c>
      <c r="H1171">
        <f>E1171*F1171*(1-G1171)</f>
        <v/>
      </c>
      <c r="I1171">
        <f>XLOOKUP(D1171,Products!$A$2:$A$15,Products!$B$2:$B$15,"Not found")</f>
        <v/>
      </c>
    </row>
    <row r="1172">
      <c r="A1172" t="n">
        <v>105491</v>
      </c>
      <c r="B1172" s="1" t="n">
        <v>45746</v>
      </c>
      <c r="C1172" t="inlineStr">
        <is>
          <t>S04</t>
        </is>
      </c>
      <c r="D1172" t="inlineStr">
        <is>
          <t>P203</t>
        </is>
      </c>
      <c r="E1172" t="n">
        <v>2</v>
      </c>
      <c r="F1172" t="n">
        <v>19.5</v>
      </c>
      <c r="G1172" t="n">
        <v>0.2</v>
      </c>
      <c r="H1172">
        <f>E1172*F1172*(1-G1172)</f>
        <v/>
      </c>
      <c r="I1172">
        <f>XLOOKUP(D1172,Products!$A$2:$A$15,Products!$B$2:$B$15,"Not found")</f>
        <v/>
      </c>
    </row>
    <row r="1173">
      <c r="A1173" t="n">
        <v>105492</v>
      </c>
      <c r="B1173" s="1" t="n">
        <v>45746</v>
      </c>
      <c r="C1173" t="inlineStr">
        <is>
          <t>S04</t>
        </is>
      </c>
      <c r="D1173" t="inlineStr">
        <is>
          <t>P303</t>
        </is>
      </c>
      <c r="E1173" t="n">
        <v>1</v>
      </c>
      <c r="F1173" t="n">
        <v>12</v>
      </c>
      <c r="G1173" t="n">
        <v>0</v>
      </c>
      <c r="H1173">
        <f>E1173*F1173*(1-G1173)</f>
        <v/>
      </c>
      <c r="I1173">
        <f>XLOOKUP(D1173,Products!$A$2:$A$15,Products!$B$2:$B$15,"Not found")</f>
        <v/>
      </c>
    </row>
    <row r="1174">
      <c r="A1174" t="n">
        <v>105493</v>
      </c>
      <c r="B1174" s="1" t="n">
        <v>45746</v>
      </c>
      <c r="C1174" t="inlineStr">
        <is>
          <t>S05</t>
        </is>
      </c>
      <c r="D1174" t="inlineStr">
        <is>
          <t>P303</t>
        </is>
      </c>
      <c r="E1174" t="n">
        <v>3</v>
      </c>
      <c r="F1174" t="n">
        <v>12</v>
      </c>
      <c r="G1174" t="n">
        <v>0</v>
      </c>
      <c r="H1174">
        <f>E1174*F1174*(1-G1174)</f>
        <v/>
      </c>
      <c r="I1174">
        <f>XLOOKUP(D1174,Products!$A$2:$A$15,Products!$B$2:$B$15,"Not found")</f>
        <v/>
      </c>
    </row>
    <row r="1175">
      <c r="A1175" t="n">
        <v>105494</v>
      </c>
      <c r="B1175" s="1" t="n">
        <v>45746</v>
      </c>
      <c r="C1175" t="inlineStr">
        <is>
          <t>S05</t>
        </is>
      </c>
      <c r="D1175" t="inlineStr">
        <is>
          <t>P303</t>
        </is>
      </c>
      <c r="E1175" t="n">
        <v>2</v>
      </c>
      <c r="F1175" t="n">
        <v>12</v>
      </c>
      <c r="G1175" t="n">
        <v>0</v>
      </c>
      <c r="H1175">
        <f>E1175*F1175*(1-G1175)</f>
        <v/>
      </c>
      <c r="I1175">
        <f>XLOOKUP(D1175,Products!$A$2:$A$15,Products!$B$2:$B$15,"Not found")</f>
        <v/>
      </c>
    </row>
    <row r="1176">
      <c r="A1176" t="n">
        <v>105495</v>
      </c>
      <c r="B1176" s="1" t="n">
        <v>45746</v>
      </c>
      <c r="C1176" t="inlineStr">
        <is>
          <t>S05</t>
        </is>
      </c>
      <c r="D1176" t="inlineStr">
        <is>
          <t>P101</t>
        </is>
      </c>
      <c r="E1176" t="n">
        <v>1</v>
      </c>
      <c r="F1176" t="n">
        <v>39</v>
      </c>
      <c r="G1176" t="n">
        <v>0</v>
      </c>
      <c r="H1176">
        <f>E1176*F1176*(1-G1176)</f>
        <v/>
      </c>
      <c r="I1176">
        <f>XLOOKUP(D1176,Products!$A$2:$A$15,Products!$B$2:$B$15,"Not found")</f>
        <v/>
      </c>
    </row>
    <row r="1177">
      <c r="A1177" t="n">
        <v>105496</v>
      </c>
      <c r="B1177" s="1" t="n">
        <v>45747</v>
      </c>
      <c r="C1177" t="inlineStr">
        <is>
          <t>S01</t>
        </is>
      </c>
      <c r="D1177" t="inlineStr">
        <is>
          <t>P101</t>
        </is>
      </c>
      <c r="E1177" t="n">
        <v>2</v>
      </c>
      <c r="F1177" t="n">
        <v>39</v>
      </c>
      <c r="G1177" t="n">
        <v>0</v>
      </c>
      <c r="H1177">
        <f>E1177*F1177*(1-G1177)</f>
        <v/>
      </c>
      <c r="I1177">
        <f>XLOOKUP(D1177,Products!$A$2:$A$15,Products!$B$2:$B$15,"Not found")</f>
        <v/>
      </c>
    </row>
    <row r="1178">
      <c r="A1178" t="n">
        <v>105497</v>
      </c>
      <c r="B1178" s="1" t="n">
        <v>45747</v>
      </c>
      <c r="C1178" t="inlineStr">
        <is>
          <t>S01</t>
        </is>
      </c>
      <c r="D1178" t="inlineStr">
        <is>
          <t>P202</t>
        </is>
      </c>
      <c r="E1178" t="n">
        <v>2</v>
      </c>
      <c r="F1178" t="n">
        <v>79</v>
      </c>
      <c r="G1178" t="n">
        <v>0</v>
      </c>
      <c r="H1178">
        <f>E1178*F1178*(1-G1178)</f>
        <v/>
      </c>
      <c r="I1178">
        <f>XLOOKUP(D1178,Products!$A$2:$A$15,Products!$B$2:$B$15,"Not found")</f>
        <v/>
      </c>
    </row>
    <row r="1179">
      <c r="A1179" t="n">
        <v>105498</v>
      </c>
      <c r="B1179" s="1" t="n">
        <v>45747</v>
      </c>
      <c r="C1179" t="inlineStr">
        <is>
          <t>S03</t>
        </is>
      </c>
      <c r="D1179" t="inlineStr">
        <is>
          <t>P203</t>
        </is>
      </c>
      <c r="E1179" t="n">
        <v>1</v>
      </c>
      <c r="F1179" t="n">
        <v>19.5</v>
      </c>
      <c r="G1179" t="n">
        <v>0.15</v>
      </c>
      <c r="H1179">
        <f>E1179*F1179*(1-G1179)</f>
        <v/>
      </c>
      <c r="I1179">
        <f>XLOOKUP(D1179,Products!$A$2:$A$15,Products!$B$2:$B$15,"Not found")</f>
        <v/>
      </c>
    </row>
    <row r="1180">
      <c r="A1180" t="n">
        <v>105499</v>
      </c>
      <c r="B1180" s="1" t="n">
        <v>45747</v>
      </c>
      <c r="C1180" t="inlineStr">
        <is>
          <t>S03</t>
        </is>
      </c>
      <c r="D1180" t="inlineStr">
        <is>
          <t>P303</t>
        </is>
      </c>
      <c r="E1180" t="n">
        <v>1</v>
      </c>
      <c r="F1180" t="n">
        <v>12</v>
      </c>
      <c r="G1180" t="n">
        <v>0</v>
      </c>
      <c r="H1180">
        <f>E1180*F1180*(1-G1180)</f>
        <v/>
      </c>
      <c r="I1180">
        <f>XLOOKUP(D1180,Products!$A$2:$A$15,Products!$B$2:$B$15,"Not found")</f>
        <v/>
      </c>
    </row>
    <row r="1181">
      <c r="A1181" t="n">
        <v>105500</v>
      </c>
      <c r="B1181" s="1" t="n">
        <v>45747</v>
      </c>
      <c r="C1181" t="inlineStr">
        <is>
          <t>S04</t>
        </is>
      </c>
      <c r="D1181" t="inlineStr">
        <is>
          <t>P301</t>
        </is>
      </c>
      <c r="E1181" t="n">
        <v>1</v>
      </c>
      <c r="F1181" t="n">
        <v>119</v>
      </c>
      <c r="G1181" t="n">
        <v>0.15</v>
      </c>
      <c r="H1181">
        <f>E1181*F1181*(1-G1181)</f>
        <v/>
      </c>
      <c r="I1181">
        <f>XLOOKUP(D1181,Products!$A$2:$A$15,Products!$B$2:$B$15,"Not found")</f>
        <v/>
      </c>
    </row>
    <row r="1182">
      <c r="A1182" t="n">
        <v>105501</v>
      </c>
      <c r="B1182" s="1" t="n">
        <v>45747</v>
      </c>
      <c r="C1182" t="inlineStr">
        <is>
          <t>S04</t>
        </is>
      </c>
      <c r="D1182" t="inlineStr">
        <is>
          <t>P102</t>
        </is>
      </c>
      <c r="E1182" t="n">
        <v>1</v>
      </c>
      <c r="F1182" t="n">
        <v>14.5</v>
      </c>
      <c r="G1182" t="n">
        <v>0</v>
      </c>
      <c r="H1182">
        <f>E1182*F1182*(1-G1182)</f>
        <v/>
      </c>
      <c r="I1182">
        <f>XLOOKUP(D1182,Products!$A$2:$A$15,Products!$B$2:$B$15,"Not found")</f>
        <v/>
      </c>
    </row>
    <row r="1183">
      <c r="A1183" t="n">
        <v>105502</v>
      </c>
      <c r="B1183" s="1" t="n">
        <v>45747</v>
      </c>
      <c r="C1183" t="inlineStr">
        <is>
          <t>S05</t>
        </is>
      </c>
      <c r="D1183" t="inlineStr">
        <is>
          <t>P301</t>
        </is>
      </c>
      <c r="E1183" t="n">
        <v>1</v>
      </c>
      <c r="F1183" t="n">
        <v>119</v>
      </c>
      <c r="G1183" t="n">
        <v>0</v>
      </c>
      <c r="H1183">
        <f>E1183*F1183*(1-G1183)</f>
        <v/>
      </c>
      <c r="I1183">
        <f>XLOOKUP(D1183,Products!$A$2:$A$15,Products!$B$2:$B$15,"Not found")</f>
        <v/>
      </c>
    </row>
    <row r="1184">
      <c r="A1184" t="n">
        <v>105503</v>
      </c>
      <c r="B1184" s="1" t="n">
        <v>45747</v>
      </c>
      <c r="C1184" t="inlineStr">
        <is>
          <t>S06</t>
        </is>
      </c>
      <c r="D1184" t="inlineStr">
        <is>
          <t>P301</t>
        </is>
      </c>
      <c r="E1184" t="n">
        <v>1</v>
      </c>
      <c r="F1184" t="n">
        <v>119</v>
      </c>
      <c r="G1184" t="n">
        <v>0</v>
      </c>
      <c r="H1184">
        <f>E1184*F1184*(1-G1184)</f>
        <v/>
      </c>
      <c r="I1184">
        <f>XLOOKUP(D1184,Products!$A$2:$A$15,Products!$B$2:$B$15,"Not found")</f>
        <v/>
      </c>
    </row>
    <row r="1185">
      <c r="A1185" t="n">
        <v>105504</v>
      </c>
      <c r="B1185" s="1" t="n">
        <v>45747</v>
      </c>
      <c r="C1185" t="inlineStr">
        <is>
          <t>S06</t>
        </is>
      </c>
      <c r="D1185" t="inlineStr">
        <is>
          <t>P403</t>
        </is>
      </c>
      <c r="E1185" t="n">
        <v>2</v>
      </c>
      <c r="F1185" t="n">
        <v>89</v>
      </c>
      <c r="G1185" t="n">
        <v>0.15</v>
      </c>
      <c r="H1185">
        <f>E1185*F1185*(1-G1185)</f>
        <v/>
      </c>
      <c r="I1185">
        <f>XLOOKUP(D1185,Products!$A$2:$A$15,Products!$B$2:$B$15,"Not found")</f>
        <v/>
      </c>
    </row>
    <row r="1186">
      <c r="A1186" t="n">
        <v>105505</v>
      </c>
      <c r="B1186" s="1" t="n">
        <v>45748</v>
      </c>
      <c r="C1186" t="inlineStr">
        <is>
          <t>S01</t>
        </is>
      </c>
      <c r="D1186" t="inlineStr">
        <is>
          <t>P101</t>
        </is>
      </c>
      <c r="E1186" t="n">
        <v>2</v>
      </c>
      <c r="F1186" t="n">
        <v>39</v>
      </c>
      <c r="G1186" t="n">
        <v>0.1</v>
      </c>
      <c r="H1186">
        <f>E1186*F1186*(1-G1186)</f>
        <v/>
      </c>
      <c r="I1186">
        <f>XLOOKUP(D1186,Products!$A$2:$A$15,Products!$B$2:$B$15,"Not found")</f>
        <v/>
      </c>
    </row>
    <row r="1187">
      <c r="A1187" t="n">
        <v>105506</v>
      </c>
      <c r="B1187" s="1" t="n">
        <v>45748</v>
      </c>
      <c r="C1187" t="inlineStr">
        <is>
          <t>S01</t>
        </is>
      </c>
      <c r="D1187" t="inlineStr">
        <is>
          <t>P203</t>
        </is>
      </c>
      <c r="E1187" t="n">
        <v>1</v>
      </c>
      <c r="F1187" t="n">
        <v>19.5</v>
      </c>
      <c r="G1187" t="n">
        <v>0</v>
      </c>
      <c r="H1187">
        <f>E1187*F1187*(1-G1187)</f>
        <v/>
      </c>
      <c r="I1187">
        <f>XLOOKUP(D1187,Products!$A$2:$A$15,Products!$B$2:$B$15,"Not found")</f>
        <v/>
      </c>
    </row>
    <row r="1188">
      <c r="A1188" t="n">
        <v>105507</v>
      </c>
      <c r="B1188" s="1" t="n">
        <v>45748</v>
      </c>
      <c r="C1188" t="inlineStr">
        <is>
          <t>S01</t>
        </is>
      </c>
      <c r="D1188" t="inlineStr">
        <is>
          <t>P201</t>
        </is>
      </c>
      <c r="E1188" t="n">
        <v>1</v>
      </c>
      <c r="F1188" t="n">
        <v>149</v>
      </c>
      <c r="G1188" t="n">
        <v>0.1</v>
      </c>
      <c r="H1188">
        <f>E1188*F1188*(1-G1188)</f>
        <v/>
      </c>
      <c r="I1188">
        <f>XLOOKUP(D1188,Products!$A$2:$A$15,Products!$B$2:$B$15,"Not found")</f>
        <v/>
      </c>
    </row>
    <row r="1189">
      <c r="A1189" t="n">
        <v>105508</v>
      </c>
      <c r="B1189" s="1" t="n">
        <v>45748</v>
      </c>
      <c r="C1189" t="inlineStr">
        <is>
          <t>S01</t>
        </is>
      </c>
      <c r="D1189" t="inlineStr">
        <is>
          <t>P102</t>
        </is>
      </c>
      <c r="E1189" t="n">
        <v>1</v>
      </c>
      <c r="F1189" t="n">
        <v>14.5</v>
      </c>
      <c r="G1189" t="n">
        <v>0</v>
      </c>
      <c r="H1189">
        <f>E1189*F1189*(1-G1189)</f>
        <v/>
      </c>
      <c r="I1189">
        <f>XLOOKUP(D1189,Products!$A$2:$A$15,Products!$B$2:$B$15,"Not found")</f>
        <v/>
      </c>
    </row>
    <row r="1190">
      <c r="A1190" t="n">
        <v>105509</v>
      </c>
      <c r="B1190" s="1" t="n">
        <v>45748</v>
      </c>
      <c r="C1190" t="inlineStr">
        <is>
          <t>S01</t>
        </is>
      </c>
      <c r="D1190" t="inlineStr">
        <is>
          <t>P402</t>
        </is>
      </c>
      <c r="E1190" t="n">
        <v>1</v>
      </c>
      <c r="F1190" t="n">
        <v>699</v>
      </c>
      <c r="G1190" t="n">
        <v>0.1</v>
      </c>
      <c r="H1190">
        <f>E1190*F1190*(1-G1190)</f>
        <v/>
      </c>
      <c r="I1190">
        <f>XLOOKUP(D1190,Products!$A$2:$A$15,Products!$B$2:$B$15,"Not found")</f>
        <v/>
      </c>
    </row>
    <row r="1191">
      <c r="A1191" t="n">
        <v>105510</v>
      </c>
      <c r="B1191" s="1" t="n">
        <v>45748</v>
      </c>
      <c r="C1191" t="inlineStr">
        <is>
          <t>S02</t>
        </is>
      </c>
      <c r="D1191" t="inlineStr">
        <is>
          <t>P102</t>
        </is>
      </c>
      <c r="E1191" t="n">
        <v>2</v>
      </c>
      <c r="F1191" t="n">
        <v>14.5</v>
      </c>
      <c r="G1191" t="n">
        <v>0</v>
      </c>
      <c r="H1191">
        <f>E1191*F1191*(1-G1191)</f>
        <v/>
      </c>
      <c r="I1191">
        <f>XLOOKUP(D1191,Products!$A$2:$A$15,Products!$B$2:$B$15,"Not found")</f>
        <v/>
      </c>
    </row>
    <row r="1192">
      <c r="A1192" t="n">
        <v>105511</v>
      </c>
      <c r="B1192" s="1" t="n">
        <v>45748</v>
      </c>
      <c r="C1192" t="inlineStr">
        <is>
          <t>S02</t>
        </is>
      </c>
      <c r="D1192" t="inlineStr">
        <is>
          <t>P102</t>
        </is>
      </c>
      <c r="E1192" t="n">
        <v>4</v>
      </c>
      <c r="F1192" t="n">
        <v>14.5</v>
      </c>
      <c r="G1192" t="n">
        <v>0.1</v>
      </c>
      <c r="H1192">
        <f>E1192*F1192*(1-G1192)</f>
        <v/>
      </c>
      <c r="I1192">
        <f>XLOOKUP(D1192,Products!$A$2:$A$15,Products!$B$2:$B$15,"Not found")</f>
        <v/>
      </c>
    </row>
    <row r="1193">
      <c r="A1193" t="n">
        <v>105512</v>
      </c>
      <c r="B1193" s="1" t="n">
        <v>45748</v>
      </c>
      <c r="C1193" t="inlineStr">
        <is>
          <t>S02</t>
        </is>
      </c>
      <c r="D1193" t="inlineStr">
        <is>
          <t>P102</t>
        </is>
      </c>
      <c r="E1193" t="n">
        <v>1</v>
      </c>
      <c r="F1193" t="n">
        <v>14.5</v>
      </c>
      <c r="G1193" t="n">
        <v>0</v>
      </c>
      <c r="H1193">
        <f>E1193*F1193*(1-G1193)</f>
        <v/>
      </c>
      <c r="I1193">
        <f>XLOOKUP(D1193,Products!$A$2:$A$15,Products!$B$2:$B$15,"Not found")</f>
        <v/>
      </c>
    </row>
    <row r="1194">
      <c r="A1194" t="n">
        <v>105513</v>
      </c>
      <c r="B1194" s="1" t="n">
        <v>45748</v>
      </c>
      <c r="C1194" t="inlineStr">
        <is>
          <t>S02</t>
        </is>
      </c>
      <c r="D1194" t="inlineStr">
        <is>
          <t>P203</t>
        </is>
      </c>
      <c r="E1194" t="n">
        <v>1</v>
      </c>
      <c r="F1194" t="n">
        <v>19.5</v>
      </c>
      <c r="G1194" t="n">
        <v>0</v>
      </c>
      <c r="H1194">
        <f>E1194*F1194*(1-G1194)</f>
        <v/>
      </c>
      <c r="I1194">
        <f>XLOOKUP(D1194,Products!$A$2:$A$15,Products!$B$2:$B$15,"Not found")</f>
        <v/>
      </c>
    </row>
    <row r="1195">
      <c r="A1195" t="n">
        <v>105514</v>
      </c>
      <c r="B1195" s="1" t="n">
        <v>45748</v>
      </c>
      <c r="C1195" t="inlineStr">
        <is>
          <t>S02</t>
        </is>
      </c>
      <c r="D1195" t="inlineStr">
        <is>
          <t>P103</t>
        </is>
      </c>
      <c r="E1195" t="n">
        <v>2</v>
      </c>
      <c r="F1195" t="n">
        <v>29</v>
      </c>
      <c r="G1195" t="n">
        <v>0</v>
      </c>
      <c r="H1195">
        <f>E1195*F1195*(1-G1195)</f>
        <v/>
      </c>
      <c r="I1195">
        <f>XLOOKUP(D1195,Products!$A$2:$A$15,Products!$B$2:$B$15,"Not found")</f>
        <v/>
      </c>
    </row>
    <row r="1196">
      <c r="A1196" t="n">
        <v>105515</v>
      </c>
      <c r="B1196" s="1" t="n">
        <v>45748</v>
      </c>
      <c r="C1196" t="inlineStr">
        <is>
          <t>S03</t>
        </is>
      </c>
      <c r="D1196" t="inlineStr">
        <is>
          <t>P102</t>
        </is>
      </c>
      <c r="E1196" t="n">
        <v>2</v>
      </c>
      <c r="F1196" t="n">
        <v>14.5</v>
      </c>
      <c r="G1196" t="n">
        <v>0.1</v>
      </c>
      <c r="H1196">
        <f>E1196*F1196*(1-G1196)</f>
        <v/>
      </c>
      <c r="I1196">
        <f>XLOOKUP(D1196,Products!$A$2:$A$15,Products!$B$2:$B$15,"Not found")</f>
        <v/>
      </c>
    </row>
    <row r="1197">
      <c r="A1197" t="n">
        <v>105516</v>
      </c>
      <c r="B1197" s="1" t="n">
        <v>45748</v>
      </c>
      <c r="C1197" t="inlineStr">
        <is>
          <t>S04</t>
        </is>
      </c>
      <c r="D1197" t="inlineStr">
        <is>
          <t>P403</t>
        </is>
      </c>
      <c r="E1197" t="n">
        <v>2</v>
      </c>
      <c r="F1197" t="n">
        <v>89</v>
      </c>
      <c r="G1197" t="n">
        <v>0</v>
      </c>
      <c r="H1197">
        <f>E1197*F1197*(1-G1197)</f>
        <v/>
      </c>
      <c r="I1197">
        <f>XLOOKUP(D1197,Products!$A$2:$A$15,Products!$B$2:$B$15,"Not found")</f>
        <v/>
      </c>
    </row>
    <row r="1198">
      <c r="A1198" t="n">
        <v>105517</v>
      </c>
      <c r="B1198" s="1" t="n">
        <v>45748</v>
      </c>
      <c r="C1198" t="inlineStr">
        <is>
          <t>S04</t>
        </is>
      </c>
      <c r="D1198" t="inlineStr">
        <is>
          <t>P201</t>
        </is>
      </c>
      <c r="E1198" t="n">
        <v>1</v>
      </c>
      <c r="F1198" t="n">
        <v>149</v>
      </c>
      <c r="G1198" t="n">
        <v>0.2</v>
      </c>
      <c r="H1198">
        <f>E1198*F1198*(1-G1198)</f>
        <v/>
      </c>
      <c r="I1198">
        <f>XLOOKUP(D1198,Products!$A$2:$A$15,Products!$B$2:$B$15,"Not found")</f>
        <v/>
      </c>
    </row>
    <row r="1199">
      <c r="A1199" t="n">
        <v>105518</v>
      </c>
      <c r="B1199" s="1" t="n">
        <v>45748</v>
      </c>
      <c r="C1199" t="inlineStr">
        <is>
          <t>S05</t>
        </is>
      </c>
      <c r="D1199" t="inlineStr">
        <is>
          <t>P102</t>
        </is>
      </c>
      <c r="E1199" t="n">
        <v>2</v>
      </c>
      <c r="F1199" t="n">
        <v>14.5</v>
      </c>
      <c r="G1199" t="n">
        <v>0</v>
      </c>
      <c r="H1199">
        <f>E1199*F1199*(1-G1199)</f>
        <v/>
      </c>
      <c r="I1199">
        <f>XLOOKUP(D1199,Products!$A$2:$A$15,Products!$B$2:$B$15,"Not found")</f>
        <v/>
      </c>
    </row>
    <row r="1200">
      <c r="A1200" t="n">
        <v>105519</v>
      </c>
      <c r="B1200" s="1" t="n">
        <v>45748</v>
      </c>
      <c r="C1200" t="inlineStr">
        <is>
          <t>S05</t>
        </is>
      </c>
      <c r="D1200" t="inlineStr">
        <is>
          <t>P101</t>
        </is>
      </c>
      <c r="E1200" t="n">
        <v>3</v>
      </c>
      <c r="F1200" t="n">
        <v>39</v>
      </c>
      <c r="G1200" t="n">
        <v>0</v>
      </c>
      <c r="H1200">
        <f>E1200*F1200*(1-G1200)</f>
        <v/>
      </c>
      <c r="I1200">
        <f>XLOOKUP(D1200,Products!$A$2:$A$15,Products!$B$2:$B$15,"Not found")</f>
        <v/>
      </c>
    </row>
    <row r="1201">
      <c r="A1201" t="n">
        <v>105520</v>
      </c>
      <c r="B1201" s="1" t="n">
        <v>45748</v>
      </c>
      <c r="C1201" t="inlineStr">
        <is>
          <t>S06</t>
        </is>
      </c>
      <c r="D1201" t="inlineStr">
        <is>
          <t>P102</t>
        </is>
      </c>
      <c r="E1201" t="n">
        <v>2</v>
      </c>
      <c r="F1201" t="n">
        <v>14.5</v>
      </c>
      <c r="G1201" t="n">
        <v>0</v>
      </c>
      <c r="H1201">
        <f>E1201*F1201*(1-G1201)</f>
        <v/>
      </c>
      <c r="I1201">
        <f>XLOOKUP(D1201,Products!$A$2:$A$15,Products!$B$2:$B$15,"Not found")</f>
        <v/>
      </c>
    </row>
    <row r="1202">
      <c r="A1202" t="n">
        <v>105521</v>
      </c>
      <c r="B1202" s="1" t="n">
        <v>45749</v>
      </c>
      <c r="C1202" t="inlineStr">
        <is>
          <t>S01</t>
        </is>
      </c>
      <c r="D1202" t="inlineStr">
        <is>
          <t>P203</t>
        </is>
      </c>
      <c r="E1202" t="n">
        <v>2</v>
      </c>
      <c r="F1202" t="n">
        <v>19.5</v>
      </c>
      <c r="G1202" t="n">
        <v>0</v>
      </c>
      <c r="H1202">
        <f>E1202*F1202*(1-G1202)</f>
        <v/>
      </c>
      <c r="I1202">
        <f>XLOOKUP(D1202,Products!$A$2:$A$15,Products!$B$2:$B$15,"Not found")</f>
        <v/>
      </c>
    </row>
    <row r="1203">
      <c r="A1203" t="n">
        <v>105522</v>
      </c>
      <c r="B1203" s="1" t="n">
        <v>45749</v>
      </c>
      <c r="C1203" t="inlineStr">
        <is>
          <t>S01</t>
        </is>
      </c>
      <c r="D1203" t="inlineStr">
        <is>
          <t>P201</t>
        </is>
      </c>
      <c r="E1203" t="n">
        <v>1</v>
      </c>
      <c r="F1203" t="n">
        <v>149</v>
      </c>
      <c r="G1203" t="n">
        <v>0.2</v>
      </c>
      <c r="H1203">
        <f>E1203*F1203*(1-G1203)</f>
        <v/>
      </c>
      <c r="I1203">
        <f>XLOOKUP(D1203,Products!$A$2:$A$15,Products!$B$2:$B$15,"Not found")</f>
        <v/>
      </c>
    </row>
    <row r="1204">
      <c r="A1204" t="n">
        <v>105523</v>
      </c>
      <c r="B1204" s="1" t="n">
        <v>45749</v>
      </c>
      <c r="C1204" t="inlineStr">
        <is>
          <t>S03</t>
        </is>
      </c>
      <c r="D1204" t="inlineStr">
        <is>
          <t>P101</t>
        </is>
      </c>
      <c r="E1204" t="n">
        <v>1</v>
      </c>
      <c r="F1204" t="n">
        <v>39</v>
      </c>
      <c r="G1204" t="n">
        <v>0</v>
      </c>
      <c r="H1204">
        <f>E1204*F1204*(1-G1204)</f>
        <v/>
      </c>
      <c r="I1204">
        <f>XLOOKUP(D1204,Products!$A$2:$A$15,Products!$B$2:$B$15,"Not found")</f>
        <v/>
      </c>
    </row>
    <row r="1205">
      <c r="A1205" t="n">
        <v>105524</v>
      </c>
      <c r="B1205" s="1" t="n">
        <v>45749</v>
      </c>
      <c r="C1205" t="inlineStr">
        <is>
          <t>S04</t>
        </is>
      </c>
      <c r="D1205" t="inlineStr">
        <is>
          <t>P102</t>
        </is>
      </c>
      <c r="E1205" t="n">
        <v>1</v>
      </c>
      <c r="F1205" t="n">
        <v>14.5</v>
      </c>
      <c r="G1205" t="n">
        <v>0</v>
      </c>
      <c r="H1205">
        <f>E1205*F1205*(1-G1205)</f>
        <v/>
      </c>
      <c r="I1205">
        <f>XLOOKUP(D1205,Products!$A$2:$A$15,Products!$B$2:$B$15,"Not found")</f>
        <v/>
      </c>
    </row>
    <row r="1206">
      <c r="A1206" t="n">
        <v>105525</v>
      </c>
      <c r="B1206" s="1" t="n">
        <v>45749</v>
      </c>
      <c r="C1206" t="inlineStr">
        <is>
          <t>S04</t>
        </is>
      </c>
      <c r="D1206" t="inlineStr">
        <is>
          <t>P102</t>
        </is>
      </c>
      <c r="E1206" t="n">
        <v>4</v>
      </c>
      <c r="F1206" t="n">
        <v>14.5</v>
      </c>
      <c r="G1206" t="n">
        <v>0.15</v>
      </c>
      <c r="H1206">
        <f>E1206*F1206*(1-G1206)</f>
        <v/>
      </c>
      <c r="I1206">
        <f>XLOOKUP(D1206,Products!$A$2:$A$15,Products!$B$2:$B$15,"Not found")</f>
        <v/>
      </c>
    </row>
    <row r="1207">
      <c r="A1207" t="n">
        <v>105526</v>
      </c>
      <c r="B1207" s="1" t="n">
        <v>45749</v>
      </c>
      <c r="C1207" t="inlineStr">
        <is>
          <t>S04</t>
        </is>
      </c>
      <c r="D1207" t="inlineStr">
        <is>
          <t>P301</t>
        </is>
      </c>
      <c r="E1207" t="n">
        <v>1</v>
      </c>
      <c r="F1207" t="n">
        <v>119</v>
      </c>
      <c r="G1207" t="n">
        <v>0.15</v>
      </c>
      <c r="H1207">
        <f>E1207*F1207*(1-G1207)</f>
        <v/>
      </c>
      <c r="I1207">
        <f>XLOOKUP(D1207,Products!$A$2:$A$15,Products!$B$2:$B$15,"Not found")</f>
        <v/>
      </c>
    </row>
    <row r="1208">
      <c r="A1208" t="n">
        <v>105527</v>
      </c>
      <c r="B1208" s="1" t="n">
        <v>45749</v>
      </c>
      <c r="C1208" t="inlineStr">
        <is>
          <t>S04</t>
        </is>
      </c>
      <c r="D1208" t="inlineStr">
        <is>
          <t>P203</t>
        </is>
      </c>
      <c r="E1208" t="n">
        <v>2</v>
      </c>
      <c r="F1208" t="n">
        <v>19.5</v>
      </c>
      <c r="G1208" t="n">
        <v>0</v>
      </c>
      <c r="H1208">
        <f>E1208*F1208*(1-G1208)</f>
        <v/>
      </c>
      <c r="I1208">
        <f>XLOOKUP(D1208,Products!$A$2:$A$15,Products!$B$2:$B$15,"Not found")</f>
        <v/>
      </c>
    </row>
    <row r="1209">
      <c r="A1209" t="n">
        <v>105528</v>
      </c>
      <c r="B1209" s="1" t="n">
        <v>45749</v>
      </c>
      <c r="C1209" t="inlineStr">
        <is>
          <t>S05</t>
        </is>
      </c>
      <c r="D1209" t="inlineStr">
        <is>
          <t>P104</t>
        </is>
      </c>
      <c r="E1209" t="n">
        <v>1</v>
      </c>
      <c r="F1209" t="n">
        <v>189</v>
      </c>
      <c r="G1209" t="n">
        <v>0</v>
      </c>
      <c r="H1209">
        <f>E1209*F1209*(1-G1209)</f>
        <v/>
      </c>
      <c r="I1209">
        <f>XLOOKUP(D1209,Products!$A$2:$A$15,Products!$B$2:$B$15,"Not found")</f>
        <v/>
      </c>
    </row>
    <row r="1210">
      <c r="A1210" t="n">
        <v>105529</v>
      </c>
      <c r="B1210" s="1" t="n">
        <v>45749</v>
      </c>
      <c r="C1210" t="inlineStr">
        <is>
          <t>S05</t>
        </is>
      </c>
      <c r="D1210" t="inlineStr">
        <is>
          <t>P102</t>
        </is>
      </c>
      <c r="E1210" t="n">
        <v>1</v>
      </c>
      <c r="F1210" t="n">
        <v>14.5</v>
      </c>
      <c r="G1210" t="n">
        <v>0</v>
      </c>
      <c r="H1210">
        <f>E1210*F1210*(1-G1210)</f>
        <v/>
      </c>
      <c r="I1210">
        <f>XLOOKUP(D1210,Products!$A$2:$A$15,Products!$B$2:$B$15,"Not found")</f>
        <v/>
      </c>
    </row>
    <row r="1211">
      <c r="A1211" t="n">
        <v>105530</v>
      </c>
      <c r="B1211" s="1" t="n">
        <v>45749</v>
      </c>
      <c r="C1211" t="inlineStr">
        <is>
          <t>S05</t>
        </is>
      </c>
      <c r="D1211" t="inlineStr">
        <is>
          <t>P403</t>
        </is>
      </c>
      <c r="E1211" t="n">
        <v>4</v>
      </c>
      <c r="F1211" t="n">
        <v>89</v>
      </c>
      <c r="G1211" t="n">
        <v>0</v>
      </c>
      <c r="H1211">
        <f>E1211*F1211*(1-G1211)</f>
        <v/>
      </c>
      <c r="I1211">
        <f>XLOOKUP(D1211,Products!$A$2:$A$15,Products!$B$2:$B$15,"Not found")</f>
        <v/>
      </c>
    </row>
    <row r="1212">
      <c r="A1212" t="n">
        <v>105531</v>
      </c>
      <c r="B1212" s="1" t="n">
        <v>45749</v>
      </c>
      <c r="C1212" t="inlineStr">
        <is>
          <t>S05</t>
        </is>
      </c>
      <c r="D1212" t="inlineStr">
        <is>
          <t>P302</t>
        </is>
      </c>
      <c r="E1212" t="n">
        <v>3</v>
      </c>
      <c r="F1212" t="n">
        <v>24</v>
      </c>
      <c r="G1212" t="n">
        <v>0.15</v>
      </c>
      <c r="H1212">
        <f>E1212*F1212*(1-G1212)</f>
        <v/>
      </c>
      <c r="I1212">
        <f>XLOOKUP(D1212,Products!$A$2:$A$15,Products!$B$2:$B$15,"Not found")</f>
        <v/>
      </c>
    </row>
    <row r="1213">
      <c r="A1213" t="n">
        <v>105532</v>
      </c>
      <c r="B1213" s="1" t="n">
        <v>45749</v>
      </c>
      <c r="C1213" t="inlineStr">
        <is>
          <t>S05</t>
        </is>
      </c>
      <c r="D1213" t="inlineStr">
        <is>
          <t>P302</t>
        </is>
      </c>
      <c r="E1213" t="n">
        <v>1</v>
      </c>
      <c r="F1213" t="n">
        <v>24</v>
      </c>
      <c r="G1213" t="n">
        <v>0</v>
      </c>
      <c r="H1213">
        <f>E1213*F1213*(1-G1213)</f>
        <v/>
      </c>
      <c r="I1213">
        <f>XLOOKUP(D1213,Products!$A$2:$A$15,Products!$B$2:$B$15,"Not found")</f>
        <v/>
      </c>
    </row>
    <row r="1214">
      <c r="A1214" t="n">
        <v>105533</v>
      </c>
      <c r="B1214" s="1" t="n">
        <v>45750</v>
      </c>
      <c r="C1214" t="inlineStr">
        <is>
          <t>S01</t>
        </is>
      </c>
      <c r="D1214" t="inlineStr">
        <is>
          <t>P403</t>
        </is>
      </c>
      <c r="E1214" t="n">
        <v>1</v>
      </c>
      <c r="F1214" t="n">
        <v>89</v>
      </c>
      <c r="G1214" t="n">
        <v>0.2</v>
      </c>
      <c r="H1214">
        <f>E1214*F1214*(1-G1214)</f>
        <v/>
      </c>
      <c r="I1214">
        <f>XLOOKUP(D1214,Products!$A$2:$A$15,Products!$B$2:$B$15,"Not found")</f>
        <v/>
      </c>
    </row>
    <row r="1215">
      <c r="A1215" t="n">
        <v>105534</v>
      </c>
      <c r="B1215" s="1" t="n">
        <v>45750</v>
      </c>
      <c r="C1215" t="inlineStr">
        <is>
          <t>S01</t>
        </is>
      </c>
      <c r="D1215" t="inlineStr">
        <is>
          <t>P103</t>
        </is>
      </c>
      <c r="E1215" t="n">
        <v>3</v>
      </c>
      <c r="F1215" t="n">
        <v>29</v>
      </c>
      <c r="G1215" t="n">
        <v>0</v>
      </c>
      <c r="H1215">
        <f>E1215*F1215*(1-G1215)</f>
        <v/>
      </c>
      <c r="I1215">
        <f>XLOOKUP(D1215,Products!$A$2:$A$15,Products!$B$2:$B$15,"Not found")</f>
        <v/>
      </c>
    </row>
    <row r="1216">
      <c r="A1216" t="n">
        <v>105535</v>
      </c>
      <c r="B1216" s="1" t="n">
        <v>45750</v>
      </c>
      <c r="C1216" t="inlineStr">
        <is>
          <t>S01</t>
        </is>
      </c>
      <c r="D1216" t="inlineStr">
        <is>
          <t>P301</t>
        </is>
      </c>
      <c r="E1216" t="n">
        <v>1</v>
      </c>
      <c r="F1216" t="n">
        <v>119</v>
      </c>
      <c r="G1216" t="n">
        <v>0.2</v>
      </c>
      <c r="H1216">
        <f>E1216*F1216*(1-G1216)</f>
        <v/>
      </c>
      <c r="I1216">
        <f>XLOOKUP(D1216,Products!$A$2:$A$15,Products!$B$2:$B$15,"Not found")</f>
        <v/>
      </c>
    </row>
    <row r="1217">
      <c r="A1217" t="n">
        <v>105536</v>
      </c>
      <c r="B1217" s="1" t="n">
        <v>45750</v>
      </c>
      <c r="C1217" t="inlineStr">
        <is>
          <t>S01</t>
        </is>
      </c>
      <c r="D1217" t="inlineStr">
        <is>
          <t>P102</t>
        </is>
      </c>
      <c r="E1217" t="n">
        <v>2</v>
      </c>
      <c r="F1217" t="n">
        <v>14.5</v>
      </c>
      <c r="G1217" t="n">
        <v>0</v>
      </c>
      <c r="H1217">
        <f>E1217*F1217*(1-G1217)</f>
        <v/>
      </c>
      <c r="I1217">
        <f>XLOOKUP(D1217,Products!$A$2:$A$15,Products!$B$2:$B$15,"Not found")</f>
        <v/>
      </c>
    </row>
    <row r="1218">
      <c r="A1218" t="n">
        <v>105537</v>
      </c>
      <c r="B1218" s="1" t="n">
        <v>45750</v>
      </c>
      <c r="C1218" t="inlineStr">
        <is>
          <t>S02</t>
        </is>
      </c>
      <c r="D1218" t="inlineStr">
        <is>
          <t>P103</t>
        </is>
      </c>
      <c r="E1218" t="n">
        <v>1</v>
      </c>
      <c r="F1218" t="n">
        <v>29</v>
      </c>
      <c r="G1218" t="n">
        <v>0</v>
      </c>
      <c r="H1218">
        <f>E1218*F1218*(1-G1218)</f>
        <v/>
      </c>
      <c r="I1218">
        <f>XLOOKUP(D1218,Products!$A$2:$A$15,Products!$B$2:$B$15,"Not found")</f>
        <v/>
      </c>
    </row>
    <row r="1219">
      <c r="A1219" t="n">
        <v>105538</v>
      </c>
      <c r="B1219" s="1" t="n">
        <v>45750</v>
      </c>
      <c r="C1219" t="inlineStr">
        <is>
          <t>S02</t>
        </is>
      </c>
      <c r="D1219" t="inlineStr">
        <is>
          <t>P104</t>
        </is>
      </c>
      <c r="E1219" t="n">
        <v>1</v>
      </c>
      <c r="F1219" t="n">
        <v>189</v>
      </c>
      <c r="G1219" t="n">
        <v>0</v>
      </c>
      <c r="H1219">
        <f>E1219*F1219*(1-G1219)</f>
        <v/>
      </c>
      <c r="I1219">
        <f>XLOOKUP(D1219,Products!$A$2:$A$15,Products!$B$2:$B$15,"Not found")</f>
        <v/>
      </c>
    </row>
    <row r="1220">
      <c r="A1220" t="n">
        <v>105539</v>
      </c>
      <c r="B1220" s="1" t="n">
        <v>45750</v>
      </c>
      <c r="C1220" t="inlineStr">
        <is>
          <t>S02</t>
        </is>
      </c>
      <c r="D1220" t="inlineStr">
        <is>
          <t>P303</t>
        </is>
      </c>
      <c r="E1220" t="n">
        <v>4</v>
      </c>
      <c r="F1220" t="n">
        <v>12</v>
      </c>
      <c r="G1220" t="n">
        <v>0.2</v>
      </c>
      <c r="H1220">
        <f>E1220*F1220*(1-G1220)</f>
        <v/>
      </c>
      <c r="I1220">
        <f>XLOOKUP(D1220,Products!$A$2:$A$15,Products!$B$2:$B$15,"Not found")</f>
        <v/>
      </c>
    </row>
    <row r="1221">
      <c r="A1221" t="n">
        <v>105540</v>
      </c>
      <c r="B1221" s="1" t="n">
        <v>45750</v>
      </c>
      <c r="C1221" t="inlineStr">
        <is>
          <t>S03</t>
        </is>
      </c>
      <c r="D1221" t="inlineStr">
        <is>
          <t>P303</t>
        </is>
      </c>
      <c r="E1221" t="n">
        <v>1</v>
      </c>
      <c r="F1221" t="n">
        <v>12</v>
      </c>
      <c r="G1221" t="n">
        <v>0</v>
      </c>
      <c r="H1221">
        <f>E1221*F1221*(1-G1221)</f>
        <v/>
      </c>
      <c r="I1221">
        <f>XLOOKUP(D1221,Products!$A$2:$A$15,Products!$B$2:$B$15,"Not found")</f>
        <v/>
      </c>
    </row>
    <row r="1222">
      <c r="A1222" t="n">
        <v>105541</v>
      </c>
      <c r="B1222" s="1" t="n">
        <v>45750</v>
      </c>
      <c r="C1222" t="inlineStr">
        <is>
          <t>S04</t>
        </is>
      </c>
      <c r="D1222" t="inlineStr">
        <is>
          <t>P202</t>
        </is>
      </c>
      <c r="E1222" t="n">
        <v>1</v>
      </c>
      <c r="F1222" t="n">
        <v>79</v>
      </c>
      <c r="G1222" t="n">
        <v>0.15</v>
      </c>
      <c r="H1222">
        <f>E1222*F1222*(1-G1222)</f>
        <v/>
      </c>
      <c r="I1222">
        <f>XLOOKUP(D1222,Products!$A$2:$A$15,Products!$B$2:$B$15,"Not found")</f>
        <v/>
      </c>
    </row>
    <row r="1223">
      <c r="A1223" t="n">
        <v>105542</v>
      </c>
      <c r="B1223" s="1" t="n">
        <v>45750</v>
      </c>
      <c r="C1223" t="inlineStr">
        <is>
          <t>S05</t>
        </is>
      </c>
      <c r="D1223" t="inlineStr">
        <is>
          <t>P203</t>
        </is>
      </c>
      <c r="E1223" t="n">
        <v>3</v>
      </c>
      <c r="F1223" t="n">
        <v>19.5</v>
      </c>
      <c r="G1223" t="n">
        <v>0.2</v>
      </c>
      <c r="H1223">
        <f>E1223*F1223*(1-G1223)</f>
        <v/>
      </c>
      <c r="I1223">
        <f>XLOOKUP(D1223,Products!$A$2:$A$15,Products!$B$2:$B$15,"Not found")</f>
        <v/>
      </c>
    </row>
    <row r="1224">
      <c r="A1224" t="n">
        <v>105543</v>
      </c>
      <c r="B1224" s="1" t="n">
        <v>45750</v>
      </c>
      <c r="C1224" t="inlineStr">
        <is>
          <t>S05</t>
        </is>
      </c>
      <c r="D1224" t="inlineStr">
        <is>
          <t>P301</t>
        </is>
      </c>
      <c r="E1224" t="n">
        <v>1</v>
      </c>
      <c r="F1224" t="n">
        <v>119</v>
      </c>
      <c r="G1224" t="n">
        <v>0.15</v>
      </c>
      <c r="H1224">
        <f>E1224*F1224*(1-G1224)</f>
        <v/>
      </c>
      <c r="I1224">
        <f>XLOOKUP(D1224,Products!$A$2:$A$15,Products!$B$2:$B$15,"Not found")</f>
        <v/>
      </c>
    </row>
    <row r="1225">
      <c r="A1225" t="n">
        <v>105544</v>
      </c>
      <c r="B1225" s="1" t="n">
        <v>45750</v>
      </c>
      <c r="C1225" t="inlineStr">
        <is>
          <t>S05</t>
        </is>
      </c>
      <c r="D1225" t="inlineStr">
        <is>
          <t>P102</t>
        </is>
      </c>
      <c r="E1225" t="n">
        <v>1</v>
      </c>
      <c r="F1225" t="n">
        <v>14.5</v>
      </c>
      <c r="G1225" t="n">
        <v>0</v>
      </c>
      <c r="H1225">
        <f>E1225*F1225*(1-G1225)</f>
        <v/>
      </c>
      <c r="I1225">
        <f>XLOOKUP(D1225,Products!$A$2:$A$15,Products!$B$2:$B$15,"Not found")</f>
        <v/>
      </c>
    </row>
    <row r="1226">
      <c r="A1226" t="n">
        <v>105545</v>
      </c>
      <c r="B1226" s="1" t="n">
        <v>45750</v>
      </c>
      <c r="C1226" t="inlineStr">
        <is>
          <t>S06</t>
        </is>
      </c>
      <c r="D1226" t="inlineStr">
        <is>
          <t>P301</t>
        </is>
      </c>
      <c r="E1226" t="n">
        <v>1</v>
      </c>
      <c r="F1226" t="n">
        <v>119</v>
      </c>
      <c r="G1226" t="n">
        <v>0.15</v>
      </c>
      <c r="H1226">
        <f>E1226*F1226*(1-G1226)</f>
        <v/>
      </c>
      <c r="I1226">
        <f>XLOOKUP(D1226,Products!$A$2:$A$15,Products!$B$2:$B$15,"Not found")</f>
        <v/>
      </c>
    </row>
    <row r="1227">
      <c r="A1227" t="n">
        <v>105546</v>
      </c>
      <c r="B1227" s="1" t="n">
        <v>45750</v>
      </c>
      <c r="C1227" t="inlineStr">
        <is>
          <t>S06</t>
        </is>
      </c>
      <c r="D1227" t="inlineStr">
        <is>
          <t>P101</t>
        </is>
      </c>
      <c r="E1227" t="n">
        <v>2</v>
      </c>
      <c r="F1227" t="n">
        <v>39</v>
      </c>
      <c r="G1227" t="n">
        <v>0</v>
      </c>
      <c r="H1227">
        <f>E1227*F1227*(1-G1227)</f>
        <v/>
      </c>
      <c r="I1227">
        <f>XLOOKUP(D1227,Products!$A$2:$A$15,Products!$B$2:$B$15,"Not found")</f>
        <v/>
      </c>
    </row>
    <row r="1228">
      <c r="A1228" t="n">
        <v>105547</v>
      </c>
      <c r="B1228" s="1" t="n">
        <v>45751</v>
      </c>
      <c r="C1228" t="inlineStr">
        <is>
          <t>S02</t>
        </is>
      </c>
      <c r="D1228" t="inlineStr">
        <is>
          <t>P202</t>
        </is>
      </c>
      <c r="E1228" t="n">
        <v>1</v>
      </c>
      <c r="F1228" t="n">
        <v>79</v>
      </c>
      <c r="G1228" t="n">
        <v>0.2</v>
      </c>
      <c r="H1228">
        <f>E1228*F1228*(1-G1228)</f>
        <v/>
      </c>
      <c r="I1228">
        <f>XLOOKUP(D1228,Products!$A$2:$A$15,Products!$B$2:$B$15,"Not found")</f>
        <v/>
      </c>
    </row>
    <row r="1229">
      <c r="A1229" t="n">
        <v>105548</v>
      </c>
      <c r="B1229" s="1" t="n">
        <v>45751</v>
      </c>
      <c r="C1229" t="inlineStr">
        <is>
          <t>S02</t>
        </is>
      </c>
      <c r="D1229" t="inlineStr">
        <is>
          <t>P101</t>
        </is>
      </c>
      <c r="E1229" t="n">
        <v>1</v>
      </c>
      <c r="F1229" t="n">
        <v>39</v>
      </c>
      <c r="G1229" t="n">
        <v>0.2</v>
      </c>
      <c r="H1229">
        <f>E1229*F1229*(1-G1229)</f>
        <v/>
      </c>
      <c r="I1229">
        <f>XLOOKUP(D1229,Products!$A$2:$A$15,Products!$B$2:$B$15,"Not found")</f>
        <v/>
      </c>
    </row>
    <row r="1230">
      <c r="A1230" t="n">
        <v>105549</v>
      </c>
      <c r="B1230" s="1" t="n">
        <v>45751</v>
      </c>
      <c r="C1230" t="inlineStr">
        <is>
          <t>S03</t>
        </is>
      </c>
      <c r="D1230" t="inlineStr">
        <is>
          <t>P103</t>
        </is>
      </c>
      <c r="E1230" t="n">
        <v>3</v>
      </c>
      <c r="F1230" t="n">
        <v>29</v>
      </c>
      <c r="G1230" t="n">
        <v>0</v>
      </c>
      <c r="H1230">
        <f>E1230*F1230*(1-G1230)</f>
        <v/>
      </c>
      <c r="I1230">
        <f>XLOOKUP(D1230,Products!$A$2:$A$15,Products!$B$2:$B$15,"Not found")</f>
        <v/>
      </c>
    </row>
    <row r="1231">
      <c r="A1231" t="n">
        <v>105550</v>
      </c>
      <c r="B1231" s="1" t="n">
        <v>45751</v>
      </c>
      <c r="C1231" t="inlineStr">
        <is>
          <t>S03</t>
        </is>
      </c>
      <c r="D1231" t="inlineStr">
        <is>
          <t>P102</t>
        </is>
      </c>
      <c r="E1231" t="n">
        <v>4</v>
      </c>
      <c r="F1231" t="n">
        <v>14.5</v>
      </c>
      <c r="G1231" t="n">
        <v>0</v>
      </c>
      <c r="H1231">
        <f>E1231*F1231*(1-G1231)</f>
        <v/>
      </c>
      <c r="I1231">
        <f>XLOOKUP(D1231,Products!$A$2:$A$15,Products!$B$2:$B$15,"Not found")</f>
        <v/>
      </c>
    </row>
    <row r="1232">
      <c r="A1232" t="n">
        <v>105551</v>
      </c>
      <c r="B1232" s="1" t="n">
        <v>45751</v>
      </c>
      <c r="C1232" t="inlineStr">
        <is>
          <t>S04</t>
        </is>
      </c>
      <c r="D1232" t="inlineStr">
        <is>
          <t>P103</t>
        </is>
      </c>
      <c r="E1232" t="n">
        <v>2</v>
      </c>
      <c r="F1232" t="n">
        <v>29</v>
      </c>
      <c r="G1232" t="n">
        <v>0</v>
      </c>
      <c r="H1232">
        <f>E1232*F1232*(1-G1232)</f>
        <v/>
      </c>
      <c r="I1232">
        <f>XLOOKUP(D1232,Products!$A$2:$A$15,Products!$B$2:$B$15,"Not found")</f>
        <v/>
      </c>
    </row>
    <row r="1233">
      <c r="A1233" t="n">
        <v>105552</v>
      </c>
      <c r="B1233" s="1" t="n">
        <v>45751</v>
      </c>
      <c r="C1233" t="inlineStr">
        <is>
          <t>S05</t>
        </is>
      </c>
      <c r="D1233" t="inlineStr">
        <is>
          <t>P101</t>
        </is>
      </c>
      <c r="E1233" t="n">
        <v>4</v>
      </c>
      <c r="F1233" t="n">
        <v>39</v>
      </c>
      <c r="G1233" t="n">
        <v>0</v>
      </c>
      <c r="H1233">
        <f>E1233*F1233*(1-G1233)</f>
        <v/>
      </c>
      <c r="I1233">
        <f>XLOOKUP(D1233,Products!$A$2:$A$15,Products!$B$2:$B$15,"Not found")</f>
        <v/>
      </c>
    </row>
    <row r="1234">
      <c r="A1234" t="n">
        <v>105553</v>
      </c>
      <c r="B1234" s="1" t="n">
        <v>45751</v>
      </c>
      <c r="C1234" t="inlineStr">
        <is>
          <t>S05</t>
        </is>
      </c>
      <c r="D1234" t="inlineStr">
        <is>
          <t>P201</t>
        </is>
      </c>
      <c r="E1234" t="n">
        <v>1</v>
      </c>
      <c r="F1234" t="n">
        <v>149</v>
      </c>
      <c r="G1234" t="n">
        <v>0</v>
      </c>
      <c r="H1234">
        <f>E1234*F1234*(1-G1234)</f>
        <v/>
      </c>
      <c r="I1234">
        <f>XLOOKUP(D1234,Products!$A$2:$A$15,Products!$B$2:$B$15,"Not found")</f>
        <v/>
      </c>
    </row>
    <row r="1235">
      <c r="A1235" t="n">
        <v>105554</v>
      </c>
      <c r="B1235" s="1" t="n">
        <v>45751</v>
      </c>
      <c r="C1235" t="inlineStr">
        <is>
          <t>S06</t>
        </is>
      </c>
      <c r="D1235" t="inlineStr">
        <is>
          <t>P302</t>
        </is>
      </c>
      <c r="E1235" t="n">
        <v>2</v>
      </c>
      <c r="F1235" t="n">
        <v>24</v>
      </c>
      <c r="G1235" t="n">
        <v>0.1</v>
      </c>
      <c r="H1235">
        <f>E1235*F1235*(1-G1235)</f>
        <v/>
      </c>
      <c r="I1235">
        <f>XLOOKUP(D1235,Products!$A$2:$A$15,Products!$B$2:$B$15,"Not found")</f>
        <v/>
      </c>
    </row>
    <row r="1236">
      <c r="A1236" t="n">
        <v>105555</v>
      </c>
      <c r="B1236" s="1" t="n">
        <v>45752</v>
      </c>
      <c r="C1236" t="inlineStr">
        <is>
          <t>S01</t>
        </is>
      </c>
      <c r="D1236" t="inlineStr">
        <is>
          <t>P104</t>
        </is>
      </c>
      <c r="E1236" t="n">
        <v>1</v>
      </c>
      <c r="F1236" t="n">
        <v>189</v>
      </c>
      <c r="G1236" t="n">
        <v>0</v>
      </c>
      <c r="H1236">
        <f>E1236*F1236*(1-G1236)</f>
        <v/>
      </c>
      <c r="I1236">
        <f>XLOOKUP(D1236,Products!$A$2:$A$15,Products!$B$2:$B$15,"Not found")</f>
        <v/>
      </c>
    </row>
    <row r="1237">
      <c r="A1237" t="n">
        <v>105556</v>
      </c>
      <c r="B1237" s="1" t="n">
        <v>45752</v>
      </c>
      <c r="C1237" t="inlineStr">
        <is>
          <t>S01</t>
        </is>
      </c>
      <c r="D1237" t="inlineStr">
        <is>
          <t>P103</t>
        </is>
      </c>
      <c r="E1237" t="n">
        <v>1</v>
      </c>
      <c r="F1237" t="n">
        <v>29</v>
      </c>
      <c r="G1237" t="n">
        <v>0.1</v>
      </c>
      <c r="H1237">
        <f>E1237*F1237*(1-G1237)</f>
        <v/>
      </c>
      <c r="I1237">
        <f>XLOOKUP(D1237,Products!$A$2:$A$15,Products!$B$2:$B$15,"Not found")</f>
        <v/>
      </c>
    </row>
    <row r="1238">
      <c r="A1238" t="n">
        <v>105557</v>
      </c>
      <c r="B1238" s="1" t="n">
        <v>45752</v>
      </c>
      <c r="C1238" t="inlineStr">
        <is>
          <t>S01</t>
        </is>
      </c>
      <c r="D1238" t="inlineStr">
        <is>
          <t>P103</t>
        </is>
      </c>
      <c r="E1238" t="n">
        <v>2</v>
      </c>
      <c r="F1238" t="n">
        <v>29</v>
      </c>
      <c r="G1238" t="n">
        <v>0.15</v>
      </c>
      <c r="H1238">
        <f>E1238*F1238*(1-G1238)</f>
        <v/>
      </c>
      <c r="I1238">
        <f>XLOOKUP(D1238,Products!$A$2:$A$15,Products!$B$2:$B$15,"Not found")</f>
        <v/>
      </c>
    </row>
    <row r="1239">
      <c r="A1239" t="n">
        <v>105558</v>
      </c>
      <c r="B1239" s="1" t="n">
        <v>45752</v>
      </c>
      <c r="C1239" t="inlineStr">
        <is>
          <t>S02</t>
        </is>
      </c>
      <c r="D1239" t="inlineStr">
        <is>
          <t>P101</t>
        </is>
      </c>
      <c r="E1239" t="n">
        <v>2</v>
      </c>
      <c r="F1239" t="n">
        <v>39</v>
      </c>
      <c r="G1239" t="n">
        <v>0.15</v>
      </c>
      <c r="H1239">
        <f>E1239*F1239*(1-G1239)</f>
        <v/>
      </c>
      <c r="I1239">
        <f>XLOOKUP(D1239,Products!$A$2:$A$15,Products!$B$2:$B$15,"Not found")</f>
        <v/>
      </c>
    </row>
    <row r="1240">
      <c r="A1240" t="n">
        <v>105559</v>
      </c>
      <c r="B1240" s="1" t="n">
        <v>45752</v>
      </c>
      <c r="C1240" t="inlineStr">
        <is>
          <t>S03</t>
        </is>
      </c>
      <c r="D1240" t="inlineStr">
        <is>
          <t>P203</t>
        </is>
      </c>
      <c r="E1240" t="n">
        <v>2</v>
      </c>
      <c r="F1240" t="n">
        <v>19.5</v>
      </c>
      <c r="G1240" t="n">
        <v>0</v>
      </c>
      <c r="H1240">
        <f>E1240*F1240*(1-G1240)</f>
        <v/>
      </c>
      <c r="I1240">
        <f>XLOOKUP(D1240,Products!$A$2:$A$15,Products!$B$2:$B$15,"Not found")</f>
        <v/>
      </c>
    </row>
    <row r="1241">
      <c r="A1241" t="n">
        <v>105560</v>
      </c>
      <c r="B1241" s="1" t="n">
        <v>45752</v>
      </c>
      <c r="C1241" t="inlineStr">
        <is>
          <t>S03</t>
        </is>
      </c>
      <c r="D1241" t="inlineStr">
        <is>
          <t>P103</t>
        </is>
      </c>
      <c r="E1241" t="n">
        <v>2</v>
      </c>
      <c r="F1241" t="n">
        <v>29</v>
      </c>
      <c r="G1241" t="n">
        <v>0</v>
      </c>
      <c r="H1241">
        <f>E1241*F1241*(1-G1241)</f>
        <v/>
      </c>
      <c r="I1241">
        <f>XLOOKUP(D1241,Products!$A$2:$A$15,Products!$B$2:$B$15,"Not found")</f>
        <v/>
      </c>
    </row>
    <row r="1242">
      <c r="A1242" t="n">
        <v>105561</v>
      </c>
      <c r="B1242" s="1" t="n">
        <v>45752</v>
      </c>
      <c r="C1242" t="inlineStr">
        <is>
          <t>S05</t>
        </is>
      </c>
      <c r="D1242" t="inlineStr">
        <is>
          <t>P101</t>
        </is>
      </c>
      <c r="E1242" t="n">
        <v>4</v>
      </c>
      <c r="F1242" t="n">
        <v>39</v>
      </c>
      <c r="G1242" t="n">
        <v>0</v>
      </c>
      <c r="H1242">
        <f>E1242*F1242*(1-G1242)</f>
        <v/>
      </c>
      <c r="I1242">
        <f>XLOOKUP(D1242,Products!$A$2:$A$15,Products!$B$2:$B$15,"Not found")</f>
        <v/>
      </c>
    </row>
    <row r="1243">
      <c r="A1243" t="n">
        <v>105562</v>
      </c>
      <c r="B1243" s="1" t="n">
        <v>45753</v>
      </c>
      <c r="C1243" t="inlineStr">
        <is>
          <t>S01</t>
        </is>
      </c>
      <c r="D1243" t="inlineStr">
        <is>
          <t>P303</t>
        </is>
      </c>
      <c r="E1243" t="n">
        <v>3</v>
      </c>
      <c r="F1243" t="n">
        <v>12</v>
      </c>
      <c r="G1243" t="n">
        <v>0</v>
      </c>
      <c r="H1243">
        <f>E1243*F1243*(1-G1243)</f>
        <v/>
      </c>
      <c r="I1243">
        <f>XLOOKUP(D1243,Products!$A$2:$A$15,Products!$B$2:$B$15,"Not found")</f>
        <v/>
      </c>
    </row>
    <row r="1244">
      <c r="A1244" t="n">
        <v>105563</v>
      </c>
      <c r="B1244" s="1" t="n">
        <v>45753</v>
      </c>
      <c r="C1244" t="inlineStr">
        <is>
          <t>S01</t>
        </is>
      </c>
      <c r="D1244" t="inlineStr">
        <is>
          <t>P302</t>
        </is>
      </c>
      <c r="E1244" t="n">
        <v>4</v>
      </c>
      <c r="F1244" t="n">
        <v>24</v>
      </c>
      <c r="G1244" t="n">
        <v>0</v>
      </c>
      <c r="H1244">
        <f>E1244*F1244*(1-G1244)</f>
        <v/>
      </c>
      <c r="I1244">
        <f>XLOOKUP(D1244,Products!$A$2:$A$15,Products!$B$2:$B$15,"Not found")</f>
        <v/>
      </c>
    </row>
    <row r="1245">
      <c r="A1245" t="n">
        <v>105564</v>
      </c>
      <c r="B1245" s="1" t="n">
        <v>45753</v>
      </c>
      <c r="C1245" t="inlineStr">
        <is>
          <t>S02</t>
        </is>
      </c>
      <c r="D1245" t="inlineStr">
        <is>
          <t>P203</t>
        </is>
      </c>
      <c r="E1245" t="n">
        <v>1</v>
      </c>
      <c r="F1245" t="n">
        <v>19.5</v>
      </c>
      <c r="G1245" t="n">
        <v>0</v>
      </c>
      <c r="H1245">
        <f>E1245*F1245*(1-G1245)</f>
        <v/>
      </c>
      <c r="I1245">
        <f>XLOOKUP(D1245,Products!$A$2:$A$15,Products!$B$2:$B$15,"Not found")</f>
        <v/>
      </c>
    </row>
    <row r="1246">
      <c r="A1246" t="n">
        <v>105565</v>
      </c>
      <c r="B1246" s="1" t="n">
        <v>45753</v>
      </c>
      <c r="C1246" t="inlineStr">
        <is>
          <t>S02</t>
        </is>
      </c>
      <c r="D1246" t="inlineStr">
        <is>
          <t>P104</t>
        </is>
      </c>
      <c r="E1246" t="n">
        <v>1</v>
      </c>
      <c r="F1246" t="n">
        <v>189</v>
      </c>
      <c r="G1246" t="n">
        <v>0</v>
      </c>
      <c r="H1246">
        <f>E1246*F1246*(1-G1246)</f>
        <v/>
      </c>
      <c r="I1246">
        <f>XLOOKUP(D1246,Products!$A$2:$A$15,Products!$B$2:$B$15,"Not found")</f>
        <v/>
      </c>
    </row>
    <row r="1247">
      <c r="A1247" t="n">
        <v>105566</v>
      </c>
      <c r="B1247" s="1" t="n">
        <v>45753</v>
      </c>
      <c r="C1247" t="inlineStr">
        <is>
          <t>S03</t>
        </is>
      </c>
      <c r="D1247" t="inlineStr">
        <is>
          <t>P101</t>
        </is>
      </c>
      <c r="E1247" t="n">
        <v>1</v>
      </c>
      <c r="F1247" t="n">
        <v>39</v>
      </c>
      <c r="G1247" t="n">
        <v>0.1</v>
      </c>
      <c r="H1247">
        <f>E1247*F1247*(1-G1247)</f>
        <v/>
      </c>
      <c r="I1247">
        <f>XLOOKUP(D1247,Products!$A$2:$A$15,Products!$B$2:$B$15,"Not found")</f>
        <v/>
      </c>
    </row>
    <row r="1248">
      <c r="A1248" t="n">
        <v>105567</v>
      </c>
      <c r="B1248" s="1" t="n">
        <v>45753</v>
      </c>
      <c r="C1248" t="inlineStr">
        <is>
          <t>S03</t>
        </is>
      </c>
      <c r="D1248" t="inlineStr">
        <is>
          <t>P102</t>
        </is>
      </c>
      <c r="E1248" t="n">
        <v>2</v>
      </c>
      <c r="F1248" t="n">
        <v>14.5</v>
      </c>
      <c r="G1248" t="n">
        <v>0.1</v>
      </c>
      <c r="H1248">
        <f>E1248*F1248*(1-G1248)</f>
        <v/>
      </c>
      <c r="I1248">
        <f>XLOOKUP(D1248,Products!$A$2:$A$15,Products!$B$2:$B$15,"Not found")</f>
        <v/>
      </c>
    </row>
    <row r="1249">
      <c r="A1249" t="n">
        <v>105568</v>
      </c>
      <c r="B1249" s="1" t="n">
        <v>45753</v>
      </c>
      <c r="C1249" t="inlineStr">
        <is>
          <t>S04</t>
        </is>
      </c>
      <c r="D1249" t="inlineStr">
        <is>
          <t>P203</t>
        </is>
      </c>
      <c r="E1249" t="n">
        <v>1</v>
      </c>
      <c r="F1249" t="n">
        <v>19.5</v>
      </c>
      <c r="G1249" t="n">
        <v>0</v>
      </c>
      <c r="H1249">
        <f>E1249*F1249*(1-G1249)</f>
        <v/>
      </c>
      <c r="I1249">
        <f>XLOOKUP(D1249,Products!$A$2:$A$15,Products!$B$2:$B$15,"Not found")</f>
        <v/>
      </c>
    </row>
    <row r="1250">
      <c r="A1250" t="n">
        <v>105569</v>
      </c>
      <c r="B1250" s="1" t="n">
        <v>45753</v>
      </c>
      <c r="C1250" t="inlineStr">
        <is>
          <t>S04</t>
        </is>
      </c>
      <c r="D1250" t="inlineStr">
        <is>
          <t>P303</t>
        </is>
      </c>
      <c r="E1250" t="n">
        <v>4</v>
      </c>
      <c r="F1250" t="n">
        <v>12</v>
      </c>
      <c r="G1250" t="n">
        <v>0</v>
      </c>
      <c r="H1250">
        <f>E1250*F1250*(1-G1250)</f>
        <v/>
      </c>
      <c r="I1250">
        <f>XLOOKUP(D1250,Products!$A$2:$A$15,Products!$B$2:$B$15,"Not found")</f>
        <v/>
      </c>
    </row>
    <row r="1251">
      <c r="A1251" t="n">
        <v>105570</v>
      </c>
      <c r="B1251" s="1" t="n">
        <v>45753</v>
      </c>
      <c r="C1251" t="inlineStr">
        <is>
          <t>S05</t>
        </is>
      </c>
      <c r="D1251" t="inlineStr">
        <is>
          <t>P102</t>
        </is>
      </c>
      <c r="E1251" t="n">
        <v>1</v>
      </c>
      <c r="F1251" t="n">
        <v>14.5</v>
      </c>
      <c r="G1251" t="n">
        <v>0</v>
      </c>
      <c r="H1251">
        <f>E1251*F1251*(1-G1251)</f>
        <v/>
      </c>
      <c r="I1251">
        <f>XLOOKUP(D1251,Products!$A$2:$A$15,Products!$B$2:$B$15,"Not found")</f>
        <v/>
      </c>
    </row>
    <row r="1252">
      <c r="A1252" t="n">
        <v>105571</v>
      </c>
      <c r="B1252" s="1" t="n">
        <v>45753</v>
      </c>
      <c r="C1252" t="inlineStr">
        <is>
          <t>S05</t>
        </is>
      </c>
      <c r="D1252" t="inlineStr">
        <is>
          <t>P403</t>
        </is>
      </c>
      <c r="E1252" t="n">
        <v>1</v>
      </c>
      <c r="F1252" t="n">
        <v>89</v>
      </c>
      <c r="G1252" t="n">
        <v>0.1</v>
      </c>
      <c r="H1252">
        <f>E1252*F1252*(1-G1252)</f>
        <v/>
      </c>
      <c r="I1252">
        <f>XLOOKUP(D1252,Products!$A$2:$A$15,Products!$B$2:$B$15,"Not found")</f>
        <v/>
      </c>
    </row>
    <row r="1253">
      <c r="A1253" t="n">
        <v>105572</v>
      </c>
      <c r="B1253" s="1" t="n">
        <v>45753</v>
      </c>
      <c r="C1253" t="inlineStr">
        <is>
          <t>S05</t>
        </is>
      </c>
      <c r="D1253" t="inlineStr">
        <is>
          <t>P204</t>
        </is>
      </c>
      <c r="E1253" t="n">
        <v>1</v>
      </c>
      <c r="F1253" t="n">
        <v>229</v>
      </c>
      <c r="G1253" t="n">
        <v>0</v>
      </c>
      <c r="H1253">
        <f>E1253*F1253*(1-G1253)</f>
        <v/>
      </c>
      <c r="I1253">
        <f>XLOOKUP(D1253,Products!$A$2:$A$15,Products!$B$2:$B$15,"Not found")</f>
        <v/>
      </c>
    </row>
    <row r="1254">
      <c r="A1254" t="n">
        <v>105573</v>
      </c>
      <c r="B1254" s="1" t="n">
        <v>45753</v>
      </c>
      <c r="C1254" t="inlineStr">
        <is>
          <t>S06</t>
        </is>
      </c>
      <c r="D1254" t="inlineStr">
        <is>
          <t>P204</t>
        </is>
      </c>
      <c r="E1254" t="n">
        <v>1</v>
      </c>
      <c r="F1254" t="n">
        <v>229</v>
      </c>
      <c r="G1254" t="n">
        <v>0</v>
      </c>
      <c r="H1254">
        <f>E1254*F1254*(1-G1254)</f>
        <v/>
      </c>
      <c r="I1254">
        <f>XLOOKUP(D1254,Products!$A$2:$A$15,Products!$B$2:$B$15,"Not found")</f>
        <v/>
      </c>
    </row>
    <row r="1255">
      <c r="A1255" t="n">
        <v>105574</v>
      </c>
      <c r="B1255" s="1" t="n">
        <v>45754</v>
      </c>
      <c r="C1255" t="inlineStr">
        <is>
          <t>S01</t>
        </is>
      </c>
      <c r="D1255" t="inlineStr">
        <is>
          <t>P303</t>
        </is>
      </c>
      <c r="E1255" t="n">
        <v>1</v>
      </c>
      <c r="F1255" t="n">
        <v>12</v>
      </c>
      <c r="G1255" t="n">
        <v>0.2</v>
      </c>
      <c r="H1255">
        <f>E1255*F1255*(1-G1255)</f>
        <v/>
      </c>
      <c r="I1255">
        <f>XLOOKUP(D1255,Products!$A$2:$A$15,Products!$B$2:$B$15,"Not found")</f>
        <v/>
      </c>
    </row>
    <row r="1256">
      <c r="A1256" t="n">
        <v>105575</v>
      </c>
      <c r="B1256" s="1" t="n">
        <v>45754</v>
      </c>
      <c r="C1256" t="inlineStr">
        <is>
          <t>S01</t>
        </is>
      </c>
      <c r="D1256" t="inlineStr">
        <is>
          <t>P301</t>
        </is>
      </c>
      <c r="E1256" t="n">
        <v>1</v>
      </c>
      <c r="F1256" t="n">
        <v>119</v>
      </c>
      <c r="G1256" t="n">
        <v>0</v>
      </c>
      <c r="H1256">
        <f>E1256*F1256*(1-G1256)</f>
        <v/>
      </c>
      <c r="I1256">
        <f>XLOOKUP(D1256,Products!$A$2:$A$15,Products!$B$2:$B$15,"Not found")</f>
        <v/>
      </c>
    </row>
    <row r="1257">
      <c r="A1257" t="n">
        <v>105576</v>
      </c>
      <c r="B1257" s="1" t="n">
        <v>45754</v>
      </c>
      <c r="C1257" t="inlineStr">
        <is>
          <t>S02</t>
        </is>
      </c>
      <c r="D1257" t="inlineStr">
        <is>
          <t>P402</t>
        </is>
      </c>
      <c r="E1257" t="n">
        <v>1</v>
      </c>
      <c r="F1257" t="n">
        <v>699</v>
      </c>
      <c r="G1257" t="n">
        <v>0</v>
      </c>
      <c r="H1257">
        <f>E1257*F1257*(1-G1257)</f>
        <v/>
      </c>
      <c r="I1257">
        <f>XLOOKUP(D1257,Products!$A$2:$A$15,Products!$B$2:$B$15,"Not found")</f>
        <v/>
      </c>
    </row>
    <row r="1258">
      <c r="A1258" t="n">
        <v>105577</v>
      </c>
      <c r="B1258" s="1" t="n">
        <v>45754</v>
      </c>
      <c r="C1258" t="inlineStr">
        <is>
          <t>S03</t>
        </is>
      </c>
      <c r="D1258" t="inlineStr">
        <is>
          <t>P302</t>
        </is>
      </c>
      <c r="E1258" t="n">
        <v>2</v>
      </c>
      <c r="F1258" t="n">
        <v>24</v>
      </c>
      <c r="G1258" t="n">
        <v>0.15</v>
      </c>
      <c r="H1258">
        <f>E1258*F1258*(1-G1258)</f>
        <v/>
      </c>
      <c r="I1258">
        <f>XLOOKUP(D1258,Products!$A$2:$A$15,Products!$B$2:$B$15,"Not found")</f>
        <v/>
      </c>
    </row>
    <row r="1259">
      <c r="A1259" t="n">
        <v>105578</v>
      </c>
      <c r="B1259" s="1" t="n">
        <v>45754</v>
      </c>
      <c r="C1259" t="inlineStr">
        <is>
          <t>S03</t>
        </is>
      </c>
      <c r="D1259" t="inlineStr">
        <is>
          <t>P302</t>
        </is>
      </c>
      <c r="E1259" t="n">
        <v>2</v>
      </c>
      <c r="F1259" t="n">
        <v>24</v>
      </c>
      <c r="G1259" t="n">
        <v>0.15</v>
      </c>
      <c r="H1259">
        <f>E1259*F1259*(1-G1259)</f>
        <v/>
      </c>
      <c r="I1259">
        <f>XLOOKUP(D1259,Products!$A$2:$A$15,Products!$B$2:$B$15,"Not found")</f>
        <v/>
      </c>
    </row>
    <row r="1260">
      <c r="A1260" t="n">
        <v>105579</v>
      </c>
      <c r="B1260" s="1" t="n">
        <v>45754</v>
      </c>
      <c r="C1260" t="inlineStr">
        <is>
          <t>S03</t>
        </is>
      </c>
      <c r="D1260" t="inlineStr">
        <is>
          <t>P302</t>
        </is>
      </c>
      <c r="E1260" t="n">
        <v>2</v>
      </c>
      <c r="F1260" t="n">
        <v>24</v>
      </c>
      <c r="G1260" t="n">
        <v>0</v>
      </c>
      <c r="H1260">
        <f>E1260*F1260*(1-G1260)</f>
        <v/>
      </c>
      <c r="I1260">
        <f>XLOOKUP(D1260,Products!$A$2:$A$15,Products!$B$2:$B$15,"Not found")</f>
        <v/>
      </c>
    </row>
    <row r="1261">
      <c r="A1261" t="n">
        <v>105580</v>
      </c>
      <c r="B1261" s="1" t="n">
        <v>45754</v>
      </c>
      <c r="C1261" t="inlineStr">
        <is>
          <t>S04</t>
        </is>
      </c>
      <c r="D1261" t="inlineStr">
        <is>
          <t>P203</t>
        </is>
      </c>
      <c r="E1261" t="n">
        <v>2</v>
      </c>
      <c r="F1261" t="n">
        <v>19.5</v>
      </c>
      <c r="G1261" t="n">
        <v>0</v>
      </c>
      <c r="H1261">
        <f>E1261*F1261*(1-G1261)</f>
        <v/>
      </c>
      <c r="I1261">
        <f>XLOOKUP(D1261,Products!$A$2:$A$15,Products!$B$2:$B$15,"Not found")</f>
        <v/>
      </c>
    </row>
    <row r="1262">
      <c r="A1262" t="n">
        <v>105581</v>
      </c>
      <c r="B1262" s="1" t="n">
        <v>45754</v>
      </c>
      <c r="C1262" t="inlineStr">
        <is>
          <t>S04</t>
        </is>
      </c>
      <c r="D1262" t="inlineStr">
        <is>
          <t>P102</t>
        </is>
      </c>
      <c r="E1262" t="n">
        <v>1</v>
      </c>
      <c r="F1262" t="n">
        <v>14.5</v>
      </c>
      <c r="G1262" t="n">
        <v>0.15</v>
      </c>
      <c r="H1262">
        <f>E1262*F1262*(1-G1262)</f>
        <v/>
      </c>
      <c r="I1262">
        <f>XLOOKUP(D1262,Products!$A$2:$A$15,Products!$B$2:$B$15,"Not found")</f>
        <v/>
      </c>
    </row>
    <row r="1263">
      <c r="A1263" t="n">
        <v>105582</v>
      </c>
      <c r="B1263" s="1" t="n">
        <v>45754</v>
      </c>
      <c r="C1263" t="inlineStr">
        <is>
          <t>S05</t>
        </is>
      </c>
      <c r="D1263" t="inlineStr">
        <is>
          <t>P202</t>
        </is>
      </c>
      <c r="E1263" t="n">
        <v>4</v>
      </c>
      <c r="F1263" t="n">
        <v>79</v>
      </c>
      <c r="G1263" t="n">
        <v>0.1</v>
      </c>
      <c r="H1263">
        <f>E1263*F1263*(1-G1263)</f>
        <v/>
      </c>
      <c r="I1263">
        <f>XLOOKUP(D1263,Products!$A$2:$A$15,Products!$B$2:$B$15,"Not found")</f>
        <v/>
      </c>
    </row>
    <row r="1264">
      <c r="A1264" t="n">
        <v>105583</v>
      </c>
      <c r="B1264" s="1" t="n">
        <v>45754</v>
      </c>
      <c r="C1264" t="inlineStr">
        <is>
          <t>S05</t>
        </is>
      </c>
      <c r="D1264" t="inlineStr">
        <is>
          <t>P203</t>
        </is>
      </c>
      <c r="E1264" t="n">
        <v>1</v>
      </c>
      <c r="F1264" t="n">
        <v>19.5</v>
      </c>
      <c r="G1264" t="n">
        <v>0</v>
      </c>
      <c r="H1264">
        <f>E1264*F1264*(1-G1264)</f>
        <v/>
      </c>
      <c r="I1264">
        <f>XLOOKUP(D1264,Products!$A$2:$A$15,Products!$B$2:$B$15,"Not found")</f>
        <v/>
      </c>
    </row>
    <row r="1265">
      <c r="A1265" t="n">
        <v>105584</v>
      </c>
      <c r="B1265" s="1" t="n">
        <v>45754</v>
      </c>
      <c r="C1265" t="inlineStr">
        <is>
          <t>S05</t>
        </is>
      </c>
      <c r="D1265" t="inlineStr">
        <is>
          <t>P102</t>
        </is>
      </c>
      <c r="E1265" t="n">
        <v>2</v>
      </c>
      <c r="F1265" t="n">
        <v>14.5</v>
      </c>
      <c r="G1265" t="n">
        <v>0</v>
      </c>
      <c r="H1265">
        <f>E1265*F1265*(1-G1265)</f>
        <v/>
      </c>
      <c r="I1265">
        <f>XLOOKUP(D1265,Products!$A$2:$A$15,Products!$B$2:$B$15,"Not found")</f>
        <v/>
      </c>
    </row>
    <row r="1266">
      <c r="A1266" t="n">
        <v>105585</v>
      </c>
      <c r="B1266" s="1" t="n">
        <v>45754</v>
      </c>
      <c r="C1266" t="inlineStr">
        <is>
          <t>S05</t>
        </is>
      </c>
      <c r="D1266" t="inlineStr">
        <is>
          <t>P101</t>
        </is>
      </c>
      <c r="E1266" t="n">
        <v>1</v>
      </c>
      <c r="F1266" t="n">
        <v>39</v>
      </c>
      <c r="G1266" t="n">
        <v>0.2</v>
      </c>
      <c r="H1266">
        <f>E1266*F1266*(1-G1266)</f>
        <v/>
      </c>
      <c r="I1266">
        <f>XLOOKUP(D1266,Products!$A$2:$A$15,Products!$B$2:$B$15,"Not found")</f>
        <v/>
      </c>
    </row>
    <row r="1267">
      <c r="A1267" t="n">
        <v>105586</v>
      </c>
      <c r="B1267" s="1" t="n">
        <v>45755</v>
      </c>
      <c r="C1267" t="inlineStr">
        <is>
          <t>S01</t>
        </is>
      </c>
      <c r="D1267" t="inlineStr">
        <is>
          <t>P303</t>
        </is>
      </c>
      <c r="E1267" t="n">
        <v>2</v>
      </c>
      <c r="F1267" t="n">
        <v>12</v>
      </c>
      <c r="G1267" t="n">
        <v>0.1</v>
      </c>
      <c r="H1267">
        <f>E1267*F1267*(1-G1267)</f>
        <v/>
      </c>
      <c r="I1267">
        <f>XLOOKUP(D1267,Products!$A$2:$A$15,Products!$B$2:$B$15,"Not found")</f>
        <v/>
      </c>
    </row>
    <row r="1268">
      <c r="A1268" t="n">
        <v>105587</v>
      </c>
      <c r="B1268" s="1" t="n">
        <v>45755</v>
      </c>
      <c r="C1268" t="inlineStr">
        <is>
          <t>S01</t>
        </is>
      </c>
      <c r="D1268" t="inlineStr">
        <is>
          <t>P202</t>
        </is>
      </c>
      <c r="E1268" t="n">
        <v>1</v>
      </c>
      <c r="F1268" t="n">
        <v>79</v>
      </c>
      <c r="G1268" t="n">
        <v>0.15</v>
      </c>
      <c r="H1268">
        <f>E1268*F1268*(1-G1268)</f>
        <v/>
      </c>
      <c r="I1268">
        <f>XLOOKUP(D1268,Products!$A$2:$A$15,Products!$B$2:$B$15,"Not found")</f>
        <v/>
      </c>
    </row>
    <row r="1269">
      <c r="A1269" t="n">
        <v>105588</v>
      </c>
      <c r="B1269" s="1" t="n">
        <v>45755</v>
      </c>
      <c r="C1269" t="inlineStr">
        <is>
          <t>S01</t>
        </is>
      </c>
      <c r="D1269" t="inlineStr">
        <is>
          <t>P101</t>
        </is>
      </c>
      <c r="E1269" t="n">
        <v>1</v>
      </c>
      <c r="F1269" t="n">
        <v>39</v>
      </c>
      <c r="G1269" t="n">
        <v>0.1</v>
      </c>
      <c r="H1269">
        <f>E1269*F1269*(1-G1269)</f>
        <v/>
      </c>
      <c r="I1269">
        <f>XLOOKUP(D1269,Products!$A$2:$A$15,Products!$B$2:$B$15,"Not found")</f>
        <v/>
      </c>
    </row>
    <row r="1270">
      <c r="A1270" t="n">
        <v>105589</v>
      </c>
      <c r="B1270" s="1" t="n">
        <v>45755</v>
      </c>
      <c r="C1270" t="inlineStr">
        <is>
          <t>S01</t>
        </is>
      </c>
      <c r="D1270" t="inlineStr">
        <is>
          <t>P104</t>
        </is>
      </c>
      <c r="E1270" t="n">
        <v>1</v>
      </c>
      <c r="F1270" t="n">
        <v>189</v>
      </c>
      <c r="G1270" t="n">
        <v>0.15</v>
      </c>
      <c r="H1270">
        <f>E1270*F1270*(1-G1270)</f>
        <v/>
      </c>
      <c r="I1270">
        <f>XLOOKUP(D1270,Products!$A$2:$A$15,Products!$B$2:$B$15,"Not found")</f>
        <v/>
      </c>
    </row>
    <row r="1271">
      <c r="A1271" t="n">
        <v>105590</v>
      </c>
      <c r="B1271" s="1" t="n">
        <v>45755</v>
      </c>
      <c r="C1271" t="inlineStr">
        <is>
          <t>S03</t>
        </is>
      </c>
      <c r="D1271" t="inlineStr">
        <is>
          <t>P201</t>
        </is>
      </c>
      <c r="E1271" t="n">
        <v>1</v>
      </c>
      <c r="F1271" t="n">
        <v>149</v>
      </c>
      <c r="G1271" t="n">
        <v>0</v>
      </c>
      <c r="H1271">
        <f>E1271*F1271*(1-G1271)</f>
        <v/>
      </c>
      <c r="I1271">
        <f>XLOOKUP(D1271,Products!$A$2:$A$15,Products!$B$2:$B$15,"Not found")</f>
        <v/>
      </c>
    </row>
    <row r="1272">
      <c r="A1272" t="n">
        <v>105591</v>
      </c>
      <c r="B1272" s="1" t="n">
        <v>45755</v>
      </c>
      <c r="C1272" t="inlineStr">
        <is>
          <t>S03</t>
        </is>
      </c>
      <c r="D1272" t="inlineStr">
        <is>
          <t>P203</t>
        </is>
      </c>
      <c r="E1272" t="n">
        <v>3</v>
      </c>
      <c r="F1272" t="n">
        <v>19.5</v>
      </c>
      <c r="G1272" t="n">
        <v>0</v>
      </c>
      <c r="H1272">
        <f>E1272*F1272*(1-G1272)</f>
        <v/>
      </c>
      <c r="I1272">
        <f>XLOOKUP(D1272,Products!$A$2:$A$15,Products!$B$2:$B$15,"Not found")</f>
        <v/>
      </c>
    </row>
    <row r="1273">
      <c r="A1273" t="n">
        <v>105592</v>
      </c>
      <c r="B1273" s="1" t="n">
        <v>45755</v>
      </c>
      <c r="C1273" t="inlineStr">
        <is>
          <t>S03</t>
        </is>
      </c>
      <c r="D1273" t="inlineStr">
        <is>
          <t>P103</t>
        </is>
      </c>
      <c r="E1273" t="n">
        <v>2</v>
      </c>
      <c r="F1273" t="n">
        <v>29</v>
      </c>
      <c r="G1273" t="n">
        <v>0</v>
      </c>
      <c r="H1273">
        <f>E1273*F1273*(1-G1273)</f>
        <v/>
      </c>
      <c r="I1273">
        <f>XLOOKUP(D1273,Products!$A$2:$A$15,Products!$B$2:$B$15,"Not found")</f>
        <v/>
      </c>
    </row>
    <row r="1274">
      <c r="A1274" t="n">
        <v>105593</v>
      </c>
      <c r="B1274" s="1" t="n">
        <v>45755</v>
      </c>
      <c r="C1274" t="inlineStr">
        <is>
          <t>S04</t>
        </is>
      </c>
      <c r="D1274" t="inlineStr">
        <is>
          <t>P403</t>
        </is>
      </c>
      <c r="E1274" t="n">
        <v>2</v>
      </c>
      <c r="F1274" t="n">
        <v>89</v>
      </c>
      <c r="G1274" t="n">
        <v>0</v>
      </c>
      <c r="H1274">
        <f>E1274*F1274*(1-G1274)</f>
        <v/>
      </c>
      <c r="I1274">
        <f>XLOOKUP(D1274,Products!$A$2:$A$15,Products!$B$2:$B$15,"Not found")</f>
        <v/>
      </c>
    </row>
    <row r="1275">
      <c r="A1275" t="n">
        <v>105594</v>
      </c>
      <c r="B1275" s="1" t="n">
        <v>45755</v>
      </c>
      <c r="C1275" t="inlineStr">
        <is>
          <t>S05</t>
        </is>
      </c>
      <c r="D1275" t="inlineStr">
        <is>
          <t>P101</t>
        </is>
      </c>
      <c r="E1275" t="n">
        <v>3</v>
      </c>
      <c r="F1275" t="n">
        <v>39</v>
      </c>
      <c r="G1275" t="n">
        <v>0.15</v>
      </c>
      <c r="H1275">
        <f>E1275*F1275*(1-G1275)</f>
        <v/>
      </c>
      <c r="I1275">
        <f>XLOOKUP(D1275,Products!$A$2:$A$15,Products!$B$2:$B$15,"Not found")</f>
        <v/>
      </c>
    </row>
    <row r="1276">
      <c r="A1276" t="n">
        <v>105595</v>
      </c>
      <c r="B1276" s="1" t="n">
        <v>45755</v>
      </c>
      <c r="C1276" t="inlineStr">
        <is>
          <t>S05</t>
        </is>
      </c>
      <c r="D1276" t="inlineStr">
        <is>
          <t>P302</t>
        </is>
      </c>
      <c r="E1276" t="n">
        <v>4</v>
      </c>
      <c r="F1276" t="n">
        <v>24</v>
      </c>
      <c r="G1276" t="n">
        <v>0</v>
      </c>
      <c r="H1276">
        <f>E1276*F1276*(1-G1276)</f>
        <v/>
      </c>
      <c r="I1276">
        <f>XLOOKUP(D1276,Products!$A$2:$A$15,Products!$B$2:$B$15,"Not found")</f>
        <v/>
      </c>
    </row>
    <row r="1277">
      <c r="A1277" t="n">
        <v>105596</v>
      </c>
      <c r="B1277" s="1" t="n">
        <v>45755</v>
      </c>
      <c r="C1277" t="inlineStr">
        <is>
          <t>S06</t>
        </is>
      </c>
      <c r="D1277" t="inlineStr">
        <is>
          <t>P104</t>
        </is>
      </c>
      <c r="E1277" t="n">
        <v>1</v>
      </c>
      <c r="F1277" t="n">
        <v>189</v>
      </c>
      <c r="G1277" t="n">
        <v>0.2</v>
      </c>
      <c r="H1277">
        <f>E1277*F1277*(1-G1277)</f>
        <v/>
      </c>
      <c r="I1277">
        <f>XLOOKUP(D1277,Products!$A$2:$A$15,Products!$B$2:$B$15,"Not found")</f>
        <v/>
      </c>
    </row>
    <row r="1278">
      <c r="A1278" t="n">
        <v>105597</v>
      </c>
      <c r="B1278" s="1" t="n">
        <v>45755</v>
      </c>
      <c r="C1278" t="inlineStr">
        <is>
          <t>S06</t>
        </is>
      </c>
      <c r="D1278" t="inlineStr">
        <is>
          <t>P203</t>
        </is>
      </c>
      <c r="E1278" t="n">
        <v>1</v>
      </c>
      <c r="F1278" t="n">
        <v>19.5</v>
      </c>
      <c r="G1278" t="n">
        <v>0.2</v>
      </c>
      <c r="H1278">
        <f>E1278*F1278*(1-G1278)</f>
        <v/>
      </c>
      <c r="I1278">
        <f>XLOOKUP(D1278,Products!$A$2:$A$15,Products!$B$2:$B$15,"Not found")</f>
        <v/>
      </c>
    </row>
    <row r="1279">
      <c r="A1279" t="n">
        <v>105598</v>
      </c>
      <c r="B1279" s="1" t="n">
        <v>45756</v>
      </c>
      <c r="C1279" t="inlineStr">
        <is>
          <t>S01</t>
        </is>
      </c>
      <c r="D1279" t="inlineStr">
        <is>
          <t>P303</t>
        </is>
      </c>
      <c r="E1279" t="n">
        <v>4</v>
      </c>
      <c r="F1279" t="n">
        <v>12</v>
      </c>
      <c r="G1279" t="n">
        <v>0</v>
      </c>
      <c r="H1279">
        <f>E1279*F1279*(1-G1279)</f>
        <v/>
      </c>
      <c r="I1279">
        <f>XLOOKUP(D1279,Products!$A$2:$A$15,Products!$B$2:$B$15,"Not found")</f>
        <v/>
      </c>
    </row>
    <row r="1280">
      <c r="A1280" t="n">
        <v>105599</v>
      </c>
      <c r="B1280" s="1" t="n">
        <v>45756</v>
      </c>
      <c r="C1280" t="inlineStr">
        <is>
          <t>S01</t>
        </is>
      </c>
      <c r="D1280" t="inlineStr">
        <is>
          <t>P101</t>
        </is>
      </c>
      <c r="E1280" t="n">
        <v>4</v>
      </c>
      <c r="F1280" t="n">
        <v>39</v>
      </c>
      <c r="G1280" t="n">
        <v>0</v>
      </c>
      <c r="H1280">
        <f>E1280*F1280*(1-G1280)</f>
        <v/>
      </c>
      <c r="I1280">
        <f>XLOOKUP(D1280,Products!$A$2:$A$15,Products!$B$2:$B$15,"Not found")</f>
        <v/>
      </c>
    </row>
    <row r="1281">
      <c r="A1281" t="n">
        <v>105600</v>
      </c>
      <c r="B1281" s="1" t="n">
        <v>45756</v>
      </c>
      <c r="C1281" t="inlineStr">
        <is>
          <t>S01</t>
        </is>
      </c>
      <c r="D1281" t="inlineStr">
        <is>
          <t>P201</t>
        </is>
      </c>
      <c r="E1281" t="n">
        <v>1</v>
      </c>
      <c r="F1281" t="n">
        <v>149</v>
      </c>
      <c r="G1281" t="n">
        <v>0</v>
      </c>
      <c r="H1281">
        <f>E1281*F1281*(1-G1281)</f>
        <v/>
      </c>
      <c r="I1281">
        <f>XLOOKUP(D1281,Products!$A$2:$A$15,Products!$B$2:$B$15,"Not found")</f>
        <v/>
      </c>
    </row>
    <row r="1282">
      <c r="A1282" t="n">
        <v>105601</v>
      </c>
      <c r="B1282" s="1" t="n">
        <v>45756</v>
      </c>
      <c r="C1282" t="inlineStr">
        <is>
          <t>S02</t>
        </is>
      </c>
      <c r="D1282" t="inlineStr">
        <is>
          <t>P204</t>
        </is>
      </c>
      <c r="E1282" t="n">
        <v>1</v>
      </c>
      <c r="F1282" t="n">
        <v>229</v>
      </c>
      <c r="G1282" t="n">
        <v>0</v>
      </c>
      <c r="H1282">
        <f>E1282*F1282*(1-G1282)</f>
        <v/>
      </c>
      <c r="I1282">
        <f>XLOOKUP(D1282,Products!$A$2:$A$15,Products!$B$2:$B$15,"Not found")</f>
        <v/>
      </c>
    </row>
    <row r="1283">
      <c r="A1283" t="n">
        <v>105602</v>
      </c>
      <c r="B1283" s="1" t="n">
        <v>45756</v>
      </c>
      <c r="C1283" t="inlineStr">
        <is>
          <t>S02</t>
        </is>
      </c>
      <c r="D1283" t="inlineStr">
        <is>
          <t>P101</t>
        </is>
      </c>
      <c r="E1283" t="n">
        <v>2</v>
      </c>
      <c r="F1283" t="n">
        <v>39</v>
      </c>
      <c r="G1283" t="n">
        <v>0</v>
      </c>
      <c r="H1283">
        <f>E1283*F1283*(1-G1283)</f>
        <v/>
      </c>
      <c r="I1283">
        <f>XLOOKUP(D1283,Products!$A$2:$A$15,Products!$B$2:$B$15,"Not found")</f>
        <v/>
      </c>
    </row>
    <row r="1284">
      <c r="A1284" t="n">
        <v>105603</v>
      </c>
      <c r="B1284" s="1" t="n">
        <v>45756</v>
      </c>
      <c r="C1284" t="inlineStr">
        <is>
          <t>S02</t>
        </is>
      </c>
      <c r="D1284" t="inlineStr">
        <is>
          <t>P201</t>
        </is>
      </c>
      <c r="E1284" t="n">
        <v>1</v>
      </c>
      <c r="F1284" t="n">
        <v>149</v>
      </c>
      <c r="G1284" t="n">
        <v>0</v>
      </c>
      <c r="H1284">
        <f>E1284*F1284*(1-G1284)</f>
        <v/>
      </c>
      <c r="I1284">
        <f>XLOOKUP(D1284,Products!$A$2:$A$15,Products!$B$2:$B$15,"Not found")</f>
        <v/>
      </c>
    </row>
    <row r="1285">
      <c r="A1285" t="n">
        <v>105604</v>
      </c>
      <c r="B1285" s="1" t="n">
        <v>45756</v>
      </c>
      <c r="C1285" t="inlineStr">
        <is>
          <t>S04</t>
        </is>
      </c>
      <c r="D1285" t="inlineStr">
        <is>
          <t>P302</t>
        </is>
      </c>
      <c r="E1285" t="n">
        <v>1</v>
      </c>
      <c r="F1285" t="n">
        <v>24</v>
      </c>
      <c r="G1285" t="n">
        <v>0.15</v>
      </c>
      <c r="H1285">
        <f>E1285*F1285*(1-G1285)</f>
        <v/>
      </c>
      <c r="I1285">
        <f>XLOOKUP(D1285,Products!$A$2:$A$15,Products!$B$2:$B$15,"Not found")</f>
        <v/>
      </c>
    </row>
    <row r="1286">
      <c r="A1286" t="n">
        <v>105605</v>
      </c>
      <c r="B1286" s="1" t="n">
        <v>45756</v>
      </c>
      <c r="C1286" t="inlineStr">
        <is>
          <t>S04</t>
        </is>
      </c>
      <c r="D1286" t="inlineStr">
        <is>
          <t>P203</t>
        </is>
      </c>
      <c r="E1286" t="n">
        <v>1</v>
      </c>
      <c r="F1286" t="n">
        <v>19.5</v>
      </c>
      <c r="G1286" t="n">
        <v>0.15</v>
      </c>
      <c r="H1286">
        <f>E1286*F1286*(1-G1286)</f>
        <v/>
      </c>
      <c r="I1286">
        <f>XLOOKUP(D1286,Products!$A$2:$A$15,Products!$B$2:$B$15,"Not found")</f>
        <v/>
      </c>
    </row>
    <row r="1287">
      <c r="A1287" t="n">
        <v>105606</v>
      </c>
      <c r="B1287" s="1" t="n">
        <v>45756</v>
      </c>
      <c r="C1287" t="inlineStr">
        <is>
          <t>S04</t>
        </is>
      </c>
      <c r="D1287" t="inlineStr">
        <is>
          <t>P303</t>
        </is>
      </c>
      <c r="E1287" t="n">
        <v>1</v>
      </c>
      <c r="F1287" t="n">
        <v>12</v>
      </c>
      <c r="G1287" t="n">
        <v>0</v>
      </c>
      <c r="H1287">
        <f>E1287*F1287*(1-G1287)</f>
        <v/>
      </c>
      <c r="I1287">
        <f>XLOOKUP(D1287,Products!$A$2:$A$15,Products!$B$2:$B$15,"Not found")</f>
        <v/>
      </c>
    </row>
    <row r="1288">
      <c r="A1288" t="n">
        <v>105607</v>
      </c>
      <c r="B1288" s="1" t="n">
        <v>45756</v>
      </c>
      <c r="C1288" t="inlineStr">
        <is>
          <t>S04</t>
        </is>
      </c>
      <c r="D1288" t="inlineStr">
        <is>
          <t>P202</t>
        </is>
      </c>
      <c r="E1288" t="n">
        <v>3</v>
      </c>
      <c r="F1288" t="n">
        <v>79</v>
      </c>
      <c r="G1288" t="n">
        <v>0</v>
      </c>
      <c r="H1288">
        <f>E1288*F1288*(1-G1288)</f>
        <v/>
      </c>
      <c r="I1288">
        <f>XLOOKUP(D1288,Products!$A$2:$A$15,Products!$B$2:$B$15,"Not found")</f>
        <v/>
      </c>
    </row>
    <row r="1289">
      <c r="A1289" t="n">
        <v>105608</v>
      </c>
      <c r="B1289" s="1" t="n">
        <v>45756</v>
      </c>
      <c r="C1289" t="inlineStr">
        <is>
          <t>S05</t>
        </is>
      </c>
      <c r="D1289" t="inlineStr">
        <is>
          <t>P101</t>
        </is>
      </c>
      <c r="E1289" t="n">
        <v>2</v>
      </c>
      <c r="F1289" t="n">
        <v>39</v>
      </c>
      <c r="G1289" t="n">
        <v>0.2</v>
      </c>
      <c r="H1289">
        <f>E1289*F1289*(1-G1289)</f>
        <v/>
      </c>
      <c r="I1289">
        <f>XLOOKUP(D1289,Products!$A$2:$A$15,Products!$B$2:$B$15,"Not found")</f>
        <v/>
      </c>
    </row>
    <row r="1290">
      <c r="A1290" t="n">
        <v>105609</v>
      </c>
      <c r="B1290" s="1" t="n">
        <v>45756</v>
      </c>
      <c r="C1290" t="inlineStr">
        <is>
          <t>S05</t>
        </is>
      </c>
      <c r="D1290" t="inlineStr">
        <is>
          <t>P103</t>
        </is>
      </c>
      <c r="E1290" t="n">
        <v>2</v>
      </c>
      <c r="F1290" t="n">
        <v>29</v>
      </c>
      <c r="G1290" t="n">
        <v>0.15</v>
      </c>
      <c r="H1290">
        <f>E1290*F1290*(1-G1290)</f>
        <v/>
      </c>
      <c r="I1290">
        <f>XLOOKUP(D1290,Products!$A$2:$A$15,Products!$B$2:$B$15,"Not found")</f>
        <v/>
      </c>
    </row>
    <row r="1291">
      <c r="A1291" t="n">
        <v>105610</v>
      </c>
      <c r="B1291" s="1" t="n">
        <v>45756</v>
      </c>
      <c r="C1291" t="inlineStr">
        <is>
          <t>S06</t>
        </is>
      </c>
      <c r="D1291" t="inlineStr">
        <is>
          <t>P201</t>
        </is>
      </c>
      <c r="E1291" t="n">
        <v>1</v>
      </c>
      <c r="F1291" t="n">
        <v>149</v>
      </c>
      <c r="G1291" t="n">
        <v>0.1</v>
      </c>
      <c r="H1291">
        <f>E1291*F1291*(1-G1291)</f>
        <v/>
      </c>
      <c r="I1291">
        <f>XLOOKUP(D1291,Products!$A$2:$A$15,Products!$B$2:$B$15,"Not found")</f>
        <v/>
      </c>
    </row>
    <row r="1292">
      <c r="A1292" t="n">
        <v>105611</v>
      </c>
      <c r="B1292" s="1" t="n">
        <v>45757</v>
      </c>
      <c r="C1292" t="inlineStr">
        <is>
          <t>S01</t>
        </is>
      </c>
      <c r="D1292" t="inlineStr">
        <is>
          <t>P302</t>
        </is>
      </c>
      <c r="E1292" t="n">
        <v>1</v>
      </c>
      <c r="F1292" t="n">
        <v>24</v>
      </c>
      <c r="G1292" t="n">
        <v>0</v>
      </c>
      <c r="H1292">
        <f>E1292*F1292*(1-G1292)</f>
        <v/>
      </c>
      <c r="I1292">
        <f>XLOOKUP(D1292,Products!$A$2:$A$15,Products!$B$2:$B$15,"Not found")</f>
        <v/>
      </c>
    </row>
    <row r="1293">
      <c r="A1293" t="n">
        <v>105612</v>
      </c>
      <c r="B1293" s="1" t="n">
        <v>45757</v>
      </c>
      <c r="C1293" t="inlineStr">
        <is>
          <t>S02</t>
        </is>
      </c>
      <c r="D1293" t="inlineStr">
        <is>
          <t>P103</t>
        </is>
      </c>
      <c r="E1293" t="n">
        <v>1</v>
      </c>
      <c r="F1293" t="n">
        <v>29</v>
      </c>
      <c r="G1293" t="n">
        <v>0.2</v>
      </c>
      <c r="H1293">
        <f>E1293*F1293*(1-G1293)</f>
        <v/>
      </c>
      <c r="I1293">
        <f>XLOOKUP(D1293,Products!$A$2:$A$15,Products!$B$2:$B$15,"Not found")</f>
        <v/>
      </c>
    </row>
    <row r="1294">
      <c r="A1294" t="n">
        <v>105613</v>
      </c>
      <c r="B1294" s="1" t="n">
        <v>45757</v>
      </c>
      <c r="C1294" t="inlineStr">
        <is>
          <t>S02</t>
        </is>
      </c>
      <c r="D1294" t="inlineStr">
        <is>
          <t>P101</t>
        </is>
      </c>
      <c r="E1294" t="n">
        <v>1</v>
      </c>
      <c r="F1294" t="n">
        <v>39</v>
      </c>
      <c r="G1294" t="n">
        <v>0</v>
      </c>
      <c r="H1294">
        <f>E1294*F1294*(1-G1294)</f>
        <v/>
      </c>
      <c r="I1294">
        <f>XLOOKUP(D1294,Products!$A$2:$A$15,Products!$B$2:$B$15,"Not found")</f>
        <v/>
      </c>
    </row>
    <row r="1295">
      <c r="A1295" t="n">
        <v>105614</v>
      </c>
      <c r="B1295" s="1" t="n">
        <v>45757</v>
      </c>
      <c r="C1295" t="inlineStr">
        <is>
          <t>S03</t>
        </is>
      </c>
      <c r="D1295" t="inlineStr">
        <is>
          <t>P104</t>
        </is>
      </c>
      <c r="E1295" t="n">
        <v>1</v>
      </c>
      <c r="F1295" t="n">
        <v>189</v>
      </c>
      <c r="G1295" t="n">
        <v>0.15</v>
      </c>
      <c r="H1295">
        <f>E1295*F1295*(1-G1295)</f>
        <v/>
      </c>
      <c r="I1295">
        <f>XLOOKUP(D1295,Products!$A$2:$A$15,Products!$B$2:$B$15,"Not found")</f>
        <v/>
      </c>
    </row>
    <row r="1296">
      <c r="A1296" t="n">
        <v>105615</v>
      </c>
      <c r="B1296" s="1" t="n">
        <v>45757</v>
      </c>
      <c r="C1296" t="inlineStr">
        <is>
          <t>S04</t>
        </is>
      </c>
      <c r="D1296" t="inlineStr">
        <is>
          <t>P302</t>
        </is>
      </c>
      <c r="E1296" t="n">
        <v>4</v>
      </c>
      <c r="F1296" t="n">
        <v>24</v>
      </c>
      <c r="G1296" t="n">
        <v>0</v>
      </c>
      <c r="H1296">
        <f>E1296*F1296*(1-G1296)</f>
        <v/>
      </c>
      <c r="I1296">
        <f>XLOOKUP(D1296,Products!$A$2:$A$15,Products!$B$2:$B$15,"Not found")</f>
        <v/>
      </c>
    </row>
    <row r="1297">
      <c r="A1297" t="n">
        <v>105616</v>
      </c>
      <c r="B1297" s="1" t="n">
        <v>45757</v>
      </c>
      <c r="C1297" t="inlineStr">
        <is>
          <t>S04</t>
        </is>
      </c>
      <c r="D1297" t="inlineStr">
        <is>
          <t>P401</t>
        </is>
      </c>
      <c r="E1297" t="n">
        <v>1</v>
      </c>
      <c r="F1297" t="n">
        <v>549</v>
      </c>
      <c r="G1297" t="n">
        <v>0</v>
      </c>
      <c r="H1297">
        <f>E1297*F1297*(1-G1297)</f>
        <v/>
      </c>
      <c r="I1297">
        <f>XLOOKUP(D1297,Products!$A$2:$A$15,Products!$B$2:$B$15,"Not found")</f>
        <v/>
      </c>
    </row>
    <row r="1298">
      <c r="A1298" t="n">
        <v>105617</v>
      </c>
      <c r="B1298" s="1" t="n">
        <v>45757</v>
      </c>
      <c r="C1298" t="inlineStr">
        <is>
          <t>S04</t>
        </is>
      </c>
      <c r="D1298" t="inlineStr">
        <is>
          <t>P201</t>
        </is>
      </c>
      <c r="E1298" t="n">
        <v>1</v>
      </c>
      <c r="F1298" t="n">
        <v>149</v>
      </c>
      <c r="G1298" t="n">
        <v>0.2</v>
      </c>
      <c r="H1298">
        <f>E1298*F1298*(1-G1298)</f>
        <v/>
      </c>
      <c r="I1298">
        <f>XLOOKUP(D1298,Products!$A$2:$A$15,Products!$B$2:$B$15,"Not found")</f>
        <v/>
      </c>
    </row>
    <row r="1299">
      <c r="A1299" t="n">
        <v>105618</v>
      </c>
      <c r="B1299" s="1" t="n">
        <v>45758</v>
      </c>
      <c r="C1299" t="inlineStr">
        <is>
          <t>S01</t>
        </is>
      </c>
      <c r="D1299" t="inlineStr">
        <is>
          <t>P403</t>
        </is>
      </c>
      <c r="E1299" t="n">
        <v>1</v>
      </c>
      <c r="F1299" t="n">
        <v>89</v>
      </c>
      <c r="G1299" t="n">
        <v>0.1</v>
      </c>
      <c r="H1299">
        <f>E1299*F1299*(1-G1299)</f>
        <v/>
      </c>
      <c r="I1299">
        <f>XLOOKUP(D1299,Products!$A$2:$A$15,Products!$B$2:$B$15,"Not found")</f>
        <v/>
      </c>
    </row>
    <row r="1300">
      <c r="A1300" t="n">
        <v>105619</v>
      </c>
      <c r="B1300" s="1" t="n">
        <v>45758</v>
      </c>
      <c r="C1300" t="inlineStr">
        <is>
          <t>S01</t>
        </is>
      </c>
      <c r="D1300" t="inlineStr">
        <is>
          <t>P303</t>
        </is>
      </c>
      <c r="E1300" t="n">
        <v>2</v>
      </c>
      <c r="F1300" t="n">
        <v>12</v>
      </c>
      <c r="G1300" t="n">
        <v>0.2</v>
      </c>
      <c r="H1300">
        <f>E1300*F1300*(1-G1300)</f>
        <v/>
      </c>
      <c r="I1300">
        <f>XLOOKUP(D1300,Products!$A$2:$A$15,Products!$B$2:$B$15,"Not found")</f>
        <v/>
      </c>
    </row>
    <row r="1301">
      <c r="A1301" t="n">
        <v>105620</v>
      </c>
      <c r="B1301" s="1" t="n">
        <v>45758</v>
      </c>
      <c r="C1301" t="inlineStr">
        <is>
          <t>S01</t>
        </is>
      </c>
      <c r="D1301" t="inlineStr">
        <is>
          <t>P101</t>
        </is>
      </c>
      <c r="E1301" t="n">
        <v>4</v>
      </c>
      <c r="F1301" t="n">
        <v>39</v>
      </c>
      <c r="G1301" t="n">
        <v>0.1</v>
      </c>
      <c r="H1301">
        <f>E1301*F1301*(1-G1301)</f>
        <v/>
      </c>
      <c r="I1301">
        <f>XLOOKUP(D1301,Products!$A$2:$A$15,Products!$B$2:$B$15,"Not found")</f>
        <v/>
      </c>
    </row>
    <row r="1302">
      <c r="A1302" t="n">
        <v>105621</v>
      </c>
      <c r="B1302" s="1" t="n">
        <v>45758</v>
      </c>
      <c r="C1302" t="inlineStr">
        <is>
          <t>S02</t>
        </is>
      </c>
      <c r="D1302" t="inlineStr">
        <is>
          <t>P103</t>
        </is>
      </c>
      <c r="E1302" t="n">
        <v>1</v>
      </c>
      <c r="F1302" t="n">
        <v>29</v>
      </c>
      <c r="G1302" t="n">
        <v>0</v>
      </c>
      <c r="H1302">
        <f>E1302*F1302*(1-G1302)</f>
        <v/>
      </c>
      <c r="I1302">
        <f>XLOOKUP(D1302,Products!$A$2:$A$15,Products!$B$2:$B$15,"Not found")</f>
        <v/>
      </c>
    </row>
    <row r="1303">
      <c r="A1303" t="n">
        <v>105622</v>
      </c>
      <c r="B1303" s="1" t="n">
        <v>45758</v>
      </c>
      <c r="C1303" t="inlineStr">
        <is>
          <t>S02</t>
        </is>
      </c>
      <c r="D1303" t="inlineStr">
        <is>
          <t>P302</t>
        </is>
      </c>
      <c r="E1303" t="n">
        <v>1</v>
      </c>
      <c r="F1303" t="n">
        <v>24</v>
      </c>
      <c r="G1303" t="n">
        <v>0</v>
      </c>
      <c r="H1303">
        <f>E1303*F1303*(1-G1303)</f>
        <v/>
      </c>
      <c r="I1303">
        <f>XLOOKUP(D1303,Products!$A$2:$A$15,Products!$B$2:$B$15,"Not found")</f>
        <v/>
      </c>
    </row>
    <row r="1304">
      <c r="A1304" t="n">
        <v>105623</v>
      </c>
      <c r="B1304" s="1" t="n">
        <v>45758</v>
      </c>
      <c r="C1304" t="inlineStr">
        <is>
          <t>S03</t>
        </is>
      </c>
      <c r="D1304" t="inlineStr">
        <is>
          <t>P303</t>
        </is>
      </c>
      <c r="E1304" t="n">
        <v>1</v>
      </c>
      <c r="F1304" t="n">
        <v>12</v>
      </c>
      <c r="G1304" t="n">
        <v>0</v>
      </c>
      <c r="H1304">
        <f>E1304*F1304*(1-G1304)</f>
        <v/>
      </c>
      <c r="I1304">
        <f>XLOOKUP(D1304,Products!$A$2:$A$15,Products!$B$2:$B$15,"Not found")</f>
        <v/>
      </c>
    </row>
    <row r="1305">
      <c r="A1305" t="n">
        <v>105624</v>
      </c>
      <c r="B1305" s="1" t="n">
        <v>45758</v>
      </c>
      <c r="C1305" t="inlineStr">
        <is>
          <t>S03</t>
        </is>
      </c>
      <c r="D1305" t="inlineStr">
        <is>
          <t>P101</t>
        </is>
      </c>
      <c r="E1305" t="n">
        <v>4</v>
      </c>
      <c r="F1305" t="n">
        <v>39</v>
      </c>
      <c r="G1305" t="n">
        <v>0</v>
      </c>
      <c r="H1305">
        <f>E1305*F1305*(1-G1305)</f>
        <v/>
      </c>
      <c r="I1305">
        <f>XLOOKUP(D1305,Products!$A$2:$A$15,Products!$B$2:$B$15,"Not found")</f>
        <v/>
      </c>
    </row>
    <row r="1306">
      <c r="A1306" t="n">
        <v>105625</v>
      </c>
      <c r="B1306" s="1" t="n">
        <v>45758</v>
      </c>
      <c r="C1306" t="inlineStr">
        <is>
          <t>S03</t>
        </is>
      </c>
      <c r="D1306" t="inlineStr">
        <is>
          <t>P101</t>
        </is>
      </c>
      <c r="E1306" t="n">
        <v>1</v>
      </c>
      <c r="F1306" t="n">
        <v>39</v>
      </c>
      <c r="G1306" t="n">
        <v>0.1</v>
      </c>
      <c r="H1306">
        <f>E1306*F1306*(1-G1306)</f>
        <v/>
      </c>
      <c r="I1306">
        <f>XLOOKUP(D1306,Products!$A$2:$A$15,Products!$B$2:$B$15,"Not found")</f>
        <v/>
      </c>
    </row>
    <row r="1307">
      <c r="A1307" t="n">
        <v>105626</v>
      </c>
      <c r="B1307" s="1" t="n">
        <v>45758</v>
      </c>
      <c r="C1307" t="inlineStr">
        <is>
          <t>S04</t>
        </is>
      </c>
      <c r="D1307" t="inlineStr">
        <is>
          <t>P303</t>
        </is>
      </c>
      <c r="E1307" t="n">
        <v>3</v>
      </c>
      <c r="F1307" t="n">
        <v>12</v>
      </c>
      <c r="G1307" t="n">
        <v>0</v>
      </c>
      <c r="H1307">
        <f>E1307*F1307*(1-G1307)</f>
        <v/>
      </c>
      <c r="I1307">
        <f>XLOOKUP(D1307,Products!$A$2:$A$15,Products!$B$2:$B$15,"Not found")</f>
        <v/>
      </c>
    </row>
    <row r="1308">
      <c r="A1308" t="n">
        <v>105627</v>
      </c>
      <c r="B1308" s="1" t="n">
        <v>45758</v>
      </c>
      <c r="C1308" t="inlineStr">
        <is>
          <t>S04</t>
        </is>
      </c>
      <c r="D1308" t="inlineStr">
        <is>
          <t>P303</t>
        </is>
      </c>
      <c r="E1308" t="n">
        <v>4</v>
      </c>
      <c r="F1308" t="n">
        <v>12</v>
      </c>
      <c r="G1308" t="n">
        <v>0</v>
      </c>
      <c r="H1308">
        <f>E1308*F1308*(1-G1308)</f>
        <v/>
      </c>
      <c r="I1308">
        <f>XLOOKUP(D1308,Products!$A$2:$A$15,Products!$B$2:$B$15,"Not found")</f>
        <v/>
      </c>
    </row>
    <row r="1309">
      <c r="A1309" t="n">
        <v>105628</v>
      </c>
      <c r="B1309" s="1" t="n">
        <v>45758</v>
      </c>
      <c r="C1309" t="inlineStr">
        <is>
          <t>S05</t>
        </is>
      </c>
      <c r="D1309" t="inlineStr">
        <is>
          <t>P303</t>
        </is>
      </c>
      <c r="E1309" t="n">
        <v>2</v>
      </c>
      <c r="F1309" t="n">
        <v>12</v>
      </c>
      <c r="G1309" t="n">
        <v>0</v>
      </c>
      <c r="H1309">
        <f>E1309*F1309*(1-G1309)</f>
        <v/>
      </c>
      <c r="I1309">
        <f>XLOOKUP(D1309,Products!$A$2:$A$15,Products!$B$2:$B$15,"Not found")</f>
        <v/>
      </c>
    </row>
    <row r="1310">
      <c r="A1310" t="n">
        <v>105629</v>
      </c>
      <c r="B1310" s="1" t="n">
        <v>45758</v>
      </c>
      <c r="C1310" t="inlineStr">
        <is>
          <t>S05</t>
        </is>
      </c>
      <c r="D1310" t="inlineStr">
        <is>
          <t>P203</t>
        </is>
      </c>
      <c r="E1310" t="n">
        <v>1</v>
      </c>
      <c r="F1310" t="n">
        <v>19.5</v>
      </c>
      <c r="G1310" t="n">
        <v>0.2</v>
      </c>
      <c r="H1310">
        <f>E1310*F1310*(1-G1310)</f>
        <v/>
      </c>
      <c r="I1310">
        <f>XLOOKUP(D1310,Products!$A$2:$A$15,Products!$B$2:$B$15,"Not found")</f>
        <v/>
      </c>
    </row>
    <row r="1311">
      <c r="A1311" t="n">
        <v>105630</v>
      </c>
      <c r="B1311" s="1" t="n">
        <v>45758</v>
      </c>
      <c r="C1311" t="inlineStr">
        <is>
          <t>S05</t>
        </is>
      </c>
      <c r="D1311" t="inlineStr">
        <is>
          <t>P301</t>
        </is>
      </c>
      <c r="E1311" t="n">
        <v>1</v>
      </c>
      <c r="F1311" t="n">
        <v>119</v>
      </c>
      <c r="G1311" t="n">
        <v>0</v>
      </c>
      <c r="H1311">
        <f>E1311*F1311*(1-G1311)</f>
        <v/>
      </c>
      <c r="I1311">
        <f>XLOOKUP(D1311,Products!$A$2:$A$15,Products!$B$2:$B$15,"Not found")</f>
        <v/>
      </c>
    </row>
    <row r="1312">
      <c r="A1312" t="n">
        <v>105631</v>
      </c>
      <c r="B1312" s="1" t="n">
        <v>45758</v>
      </c>
      <c r="C1312" t="inlineStr">
        <is>
          <t>S05</t>
        </is>
      </c>
      <c r="D1312" t="inlineStr">
        <is>
          <t>P102</t>
        </is>
      </c>
      <c r="E1312" t="n">
        <v>1</v>
      </c>
      <c r="F1312" t="n">
        <v>14.5</v>
      </c>
      <c r="G1312" t="n">
        <v>0.1</v>
      </c>
      <c r="H1312">
        <f>E1312*F1312*(1-G1312)</f>
        <v/>
      </c>
      <c r="I1312">
        <f>XLOOKUP(D1312,Products!$A$2:$A$15,Products!$B$2:$B$15,"Not found")</f>
        <v/>
      </c>
    </row>
    <row r="1313">
      <c r="A1313" t="n">
        <v>105632</v>
      </c>
      <c r="B1313" s="1" t="n">
        <v>45758</v>
      </c>
      <c r="C1313" t="inlineStr">
        <is>
          <t>S06</t>
        </is>
      </c>
      <c r="D1313" t="inlineStr">
        <is>
          <t>P202</t>
        </is>
      </c>
      <c r="E1313" t="n">
        <v>2</v>
      </c>
      <c r="F1313" t="n">
        <v>79</v>
      </c>
      <c r="G1313" t="n">
        <v>0.1</v>
      </c>
      <c r="H1313">
        <f>E1313*F1313*(1-G1313)</f>
        <v/>
      </c>
      <c r="I1313">
        <f>XLOOKUP(D1313,Products!$A$2:$A$15,Products!$B$2:$B$15,"Not found")</f>
        <v/>
      </c>
    </row>
    <row r="1314">
      <c r="A1314" t="n">
        <v>105633</v>
      </c>
      <c r="B1314" s="1" t="n">
        <v>45759</v>
      </c>
      <c r="C1314" t="inlineStr">
        <is>
          <t>S01</t>
        </is>
      </c>
      <c r="D1314" t="inlineStr">
        <is>
          <t>P302</t>
        </is>
      </c>
      <c r="E1314" t="n">
        <v>4</v>
      </c>
      <c r="F1314" t="n">
        <v>24</v>
      </c>
      <c r="G1314" t="n">
        <v>0</v>
      </c>
      <c r="H1314">
        <f>E1314*F1314*(1-G1314)</f>
        <v/>
      </c>
      <c r="I1314">
        <f>XLOOKUP(D1314,Products!$A$2:$A$15,Products!$B$2:$B$15,"Not found")</f>
        <v/>
      </c>
    </row>
    <row r="1315">
      <c r="A1315" t="n">
        <v>105634</v>
      </c>
      <c r="B1315" s="1" t="n">
        <v>45759</v>
      </c>
      <c r="C1315" t="inlineStr">
        <is>
          <t>S01</t>
        </is>
      </c>
      <c r="D1315" t="inlineStr">
        <is>
          <t>P302</t>
        </is>
      </c>
      <c r="E1315" t="n">
        <v>3</v>
      </c>
      <c r="F1315" t="n">
        <v>24</v>
      </c>
      <c r="G1315" t="n">
        <v>0</v>
      </c>
      <c r="H1315">
        <f>E1315*F1315*(1-G1315)</f>
        <v/>
      </c>
      <c r="I1315">
        <f>XLOOKUP(D1315,Products!$A$2:$A$15,Products!$B$2:$B$15,"Not found")</f>
        <v/>
      </c>
    </row>
    <row r="1316">
      <c r="A1316" t="n">
        <v>105635</v>
      </c>
      <c r="B1316" s="1" t="n">
        <v>45759</v>
      </c>
      <c r="C1316" t="inlineStr">
        <is>
          <t>S01</t>
        </is>
      </c>
      <c r="D1316" t="inlineStr">
        <is>
          <t>P104</t>
        </is>
      </c>
      <c r="E1316" t="n">
        <v>1</v>
      </c>
      <c r="F1316" t="n">
        <v>189</v>
      </c>
      <c r="G1316" t="n">
        <v>0</v>
      </c>
      <c r="H1316">
        <f>E1316*F1316*(1-G1316)</f>
        <v/>
      </c>
      <c r="I1316">
        <f>XLOOKUP(D1316,Products!$A$2:$A$15,Products!$B$2:$B$15,"Not found")</f>
        <v/>
      </c>
    </row>
    <row r="1317">
      <c r="A1317" t="n">
        <v>105636</v>
      </c>
      <c r="B1317" s="1" t="n">
        <v>45759</v>
      </c>
      <c r="C1317" t="inlineStr">
        <is>
          <t>S01</t>
        </is>
      </c>
      <c r="D1317" t="inlineStr">
        <is>
          <t>P203</t>
        </is>
      </c>
      <c r="E1317" t="n">
        <v>2</v>
      </c>
      <c r="F1317" t="n">
        <v>19.5</v>
      </c>
      <c r="G1317" t="n">
        <v>0</v>
      </c>
      <c r="H1317">
        <f>E1317*F1317*(1-G1317)</f>
        <v/>
      </c>
      <c r="I1317">
        <f>XLOOKUP(D1317,Products!$A$2:$A$15,Products!$B$2:$B$15,"Not found")</f>
        <v/>
      </c>
    </row>
    <row r="1318">
      <c r="A1318" t="n">
        <v>105637</v>
      </c>
      <c r="B1318" s="1" t="n">
        <v>45759</v>
      </c>
      <c r="C1318" t="inlineStr">
        <is>
          <t>S02</t>
        </is>
      </c>
      <c r="D1318" t="inlineStr">
        <is>
          <t>P103</t>
        </is>
      </c>
      <c r="E1318" t="n">
        <v>1</v>
      </c>
      <c r="F1318" t="n">
        <v>29</v>
      </c>
      <c r="G1318" t="n">
        <v>0</v>
      </c>
      <c r="H1318">
        <f>E1318*F1318*(1-G1318)</f>
        <v/>
      </c>
      <c r="I1318">
        <f>XLOOKUP(D1318,Products!$A$2:$A$15,Products!$B$2:$B$15,"Not found")</f>
        <v/>
      </c>
    </row>
    <row r="1319">
      <c r="A1319" t="n">
        <v>105638</v>
      </c>
      <c r="B1319" s="1" t="n">
        <v>45759</v>
      </c>
      <c r="C1319" t="inlineStr">
        <is>
          <t>S02</t>
        </is>
      </c>
      <c r="D1319" t="inlineStr">
        <is>
          <t>P303</t>
        </is>
      </c>
      <c r="E1319" t="n">
        <v>2</v>
      </c>
      <c r="F1319" t="n">
        <v>12</v>
      </c>
      <c r="G1319" t="n">
        <v>0</v>
      </c>
      <c r="H1319">
        <f>E1319*F1319*(1-G1319)</f>
        <v/>
      </c>
      <c r="I1319">
        <f>XLOOKUP(D1319,Products!$A$2:$A$15,Products!$B$2:$B$15,"Not found")</f>
        <v/>
      </c>
    </row>
    <row r="1320">
      <c r="A1320" t="n">
        <v>105639</v>
      </c>
      <c r="B1320" s="1" t="n">
        <v>45759</v>
      </c>
      <c r="C1320" t="inlineStr">
        <is>
          <t>S02</t>
        </is>
      </c>
      <c r="D1320" t="inlineStr">
        <is>
          <t>P101</t>
        </is>
      </c>
      <c r="E1320" t="n">
        <v>1</v>
      </c>
      <c r="F1320" t="n">
        <v>39</v>
      </c>
      <c r="G1320" t="n">
        <v>0</v>
      </c>
      <c r="H1320">
        <f>E1320*F1320*(1-G1320)</f>
        <v/>
      </c>
      <c r="I1320">
        <f>XLOOKUP(D1320,Products!$A$2:$A$15,Products!$B$2:$B$15,"Not found")</f>
        <v/>
      </c>
    </row>
    <row r="1321">
      <c r="A1321" t="n">
        <v>105640</v>
      </c>
      <c r="B1321" s="1" t="n">
        <v>45759</v>
      </c>
      <c r="C1321" t="inlineStr">
        <is>
          <t>S03</t>
        </is>
      </c>
      <c r="D1321" t="inlineStr">
        <is>
          <t>P204</t>
        </is>
      </c>
      <c r="E1321" t="n">
        <v>1</v>
      </c>
      <c r="F1321" t="n">
        <v>229</v>
      </c>
      <c r="G1321" t="n">
        <v>0.15</v>
      </c>
      <c r="H1321">
        <f>E1321*F1321*(1-G1321)</f>
        <v/>
      </c>
      <c r="I1321">
        <f>XLOOKUP(D1321,Products!$A$2:$A$15,Products!$B$2:$B$15,"Not found")</f>
        <v/>
      </c>
    </row>
    <row r="1322">
      <c r="A1322" t="n">
        <v>105641</v>
      </c>
      <c r="B1322" s="1" t="n">
        <v>45759</v>
      </c>
      <c r="C1322" t="inlineStr">
        <is>
          <t>S03</t>
        </is>
      </c>
      <c r="D1322" t="inlineStr">
        <is>
          <t>P102</t>
        </is>
      </c>
      <c r="E1322" t="n">
        <v>4</v>
      </c>
      <c r="F1322" t="n">
        <v>14.5</v>
      </c>
      <c r="G1322" t="n">
        <v>0</v>
      </c>
      <c r="H1322">
        <f>E1322*F1322*(1-G1322)</f>
        <v/>
      </c>
      <c r="I1322">
        <f>XLOOKUP(D1322,Products!$A$2:$A$15,Products!$B$2:$B$15,"Not found")</f>
        <v/>
      </c>
    </row>
    <row r="1323">
      <c r="A1323" t="n">
        <v>105642</v>
      </c>
      <c r="B1323" s="1" t="n">
        <v>45759</v>
      </c>
      <c r="C1323" t="inlineStr">
        <is>
          <t>S04</t>
        </is>
      </c>
      <c r="D1323" t="inlineStr">
        <is>
          <t>P303</t>
        </is>
      </c>
      <c r="E1323" t="n">
        <v>2</v>
      </c>
      <c r="F1323" t="n">
        <v>12</v>
      </c>
      <c r="G1323" t="n">
        <v>0</v>
      </c>
      <c r="H1323">
        <f>E1323*F1323*(1-G1323)</f>
        <v/>
      </c>
      <c r="I1323">
        <f>XLOOKUP(D1323,Products!$A$2:$A$15,Products!$B$2:$B$15,"Not found")</f>
        <v/>
      </c>
    </row>
    <row r="1324">
      <c r="A1324" t="n">
        <v>105643</v>
      </c>
      <c r="B1324" s="1" t="n">
        <v>45759</v>
      </c>
      <c r="C1324" t="inlineStr">
        <is>
          <t>S04</t>
        </is>
      </c>
      <c r="D1324" t="inlineStr">
        <is>
          <t>P303</t>
        </is>
      </c>
      <c r="E1324" t="n">
        <v>1</v>
      </c>
      <c r="F1324" t="n">
        <v>12</v>
      </c>
      <c r="G1324" t="n">
        <v>0.15</v>
      </c>
      <c r="H1324">
        <f>E1324*F1324*(1-G1324)</f>
        <v/>
      </c>
      <c r="I1324">
        <f>XLOOKUP(D1324,Products!$A$2:$A$15,Products!$B$2:$B$15,"Not found")</f>
        <v/>
      </c>
    </row>
    <row r="1325">
      <c r="A1325" t="n">
        <v>105644</v>
      </c>
      <c r="B1325" s="1" t="n">
        <v>45759</v>
      </c>
      <c r="C1325" t="inlineStr">
        <is>
          <t>S05</t>
        </is>
      </c>
      <c r="D1325" t="inlineStr">
        <is>
          <t>P101</t>
        </is>
      </c>
      <c r="E1325" t="n">
        <v>2</v>
      </c>
      <c r="F1325" t="n">
        <v>39</v>
      </c>
      <c r="G1325" t="n">
        <v>0</v>
      </c>
      <c r="H1325">
        <f>E1325*F1325*(1-G1325)</f>
        <v/>
      </c>
      <c r="I1325">
        <f>XLOOKUP(D1325,Products!$A$2:$A$15,Products!$B$2:$B$15,"Not found")</f>
        <v/>
      </c>
    </row>
    <row r="1326">
      <c r="A1326" t="n">
        <v>105645</v>
      </c>
      <c r="B1326" s="1" t="n">
        <v>45759</v>
      </c>
      <c r="C1326" t="inlineStr">
        <is>
          <t>S05</t>
        </is>
      </c>
      <c r="D1326" t="inlineStr">
        <is>
          <t>P303</t>
        </is>
      </c>
      <c r="E1326" t="n">
        <v>1</v>
      </c>
      <c r="F1326" t="n">
        <v>12</v>
      </c>
      <c r="G1326" t="n">
        <v>0</v>
      </c>
      <c r="H1326">
        <f>E1326*F1326*(1-G1326)</f>
        <v/>
      </c>
      <c r="I1326">
        <f>XLOOKUP(D1326,Products!$A$2:$A$15,Products!$B$2:$B$15,"Not found")</f>
        <v/>
      </c>
    </row>
    <row r="1327">
      <c r="A1327" t="n">
        <v>105646</v>
      </c>
      <c r="B1327" s="1" t="n">
        <v>45759</v>
      </c>
      <c r="C1327" t="inlineStr">
        <is>
          <t>S06</t>
        </is>
      </c>
      <c r="D1327" t="inlineStr">
        <is>
          <t>P101</t>
        </is>
      </c>
      <c r="E1327" t="n">
        <v>4</v>
      </c>
      <c r="F1327" t="n">
        <v>39</v>
      </c>
      <c r="G1327" t="n">
        <v>0</v>
      </c>
      <c r="H1327">
        <f>E1327*F1327*(1-G1327)</f>
        <v/>
      </c>
      <c r="I1327">
        <f>XLOOKUP(D1327,Products!$A$2:$A$15,Products!$B$2:$B$15,"Not found")</f>
        <v/>
      </c>
    </row>
    <row r="1328">
      <c r="A1328" t="n">
        <v>105647</v>
      </c>
      <c r="B1328" s="1" t="n">
        <v>45759</v>
      </c>
      <c r="C1328" t="inlineStr">
        <is>
          <t>S06</t>
        </is>
      </c>
      <c r="D1328" t="inlineStr">
        <is>
          <t>P102</t>
        </is>
      </c>
      <c r="E1328" t="n">
        <v>2</v>
      </c>
      <c r="F1328" t="n">
        <v>14.5</v>
      </c>
      <c r="G1328" t="n">
        <v>0.1</v>
      </c>
      <c r="H1328">
        <f>E1328*F1328*(1-G1328)</f>
        <v/>
      </c>
      <c r="I1328">
        <f>XLOOKUP(D1328,Products!$A$2:$A$15,Products!$B$2:$B$15,"Not found")</f>
        <v/>
      </c>
    </row>
    <row r="1329">
      <c r="A1329" t="n">
        <v>105648</v>
      </c>
      <c r="B1329" s="1" t="n">
        <v>45759</v>
      </c>
      <c r="C1329" t="inlineStr">
        <is>
          <t>S06</t>
        </is>
      </c>
      <c r="D1329" t="inlineStr">
        <is>
          <t>P203</t>
        </is>
      </c>
      <c r="E1329" t="n">
        <v>4</v>
      </c>
      <c r="F1329" t="n">
        <v>19.5</v>
      </c>
      <c r="G1329" t="n">
        <v>0.15</v>
      </c>
      <c r="H1329">
        <f>E1329*F1329*(1-G1329)</f>
        <v/>
      </c>
      <c r="I1329">
        <f>XLOOKUP(D1329,Products!$A$2:$A$15,Products!$B$2:$B$15,"Not found")</f>
        <v/>
      </c>
    </row>
    <row r="1330">
      <c r="A1330" t="n">
        <v>105649</v>
      </c>
      <c r="B1330" s="1" t="n">
        <v>45760</v>
      </c>
      <c r="C1330" t="inlineStr">
        <is>
          <t>S01</t>
        </is>
      </c>
      <c r="D1330" t="inlineStr">
        <is>
          <t>P303</t>
        </is>
      </c>
      <c r="E1330" t="n">
        <v>1</v>
      </c>
      <c r="F1330" t="n">
        <v>12</v>
      </c>
      <c r="G1330" t="n">
        <v>0.15</v>
      </c>
      <c r="H1330">
        <f>E1330*F1330*(1-G1330)</f>
        <v/>
      </c>
      <c r="I1330">
        <f>XLOOKUP(D1330,Products!$A$2:$A$15,Products!$B$2:$B$15,"Not found")</f>
        <v/>
      </c>
    </row>
    <row r="1331">
      <c r="A1331" t="n">
        <v>105650</v>
      </c>
      <c r="B1331" s="1" t="n">
        <v>45760</v>
      </c>
      <c r="C1331" t="inlineStr">
        <is>
          <t>S01</t>
        </is>
      </c>
      <c r="D1331" t="inlineStr">
        <is>
          <t>P201</t>
        </is>
      </c>
      <c r="E1331" t="n">
        <v>1</v>
      </c>
      <c r="F1331" t="n">
        <v>149</v>
      </c>
      <c r="G1331" t="n">
        <v>0.1</v>
      </c>
      <c r="H1331">
        <f>E1331*F1331*(1-G1331)</f>
        <v/>
      </c>
      <c r="I1331">
        <f>XLOOKUP(D1331,Products!$A$2:$A$15,Products!$B$2:$B$15,"Not found")</f>
        <v/>
      </c>
    </row>
    <row r="1332">
      <c r="A1332" t="n">
        <v>105651</v>
      </c>
      <c r="B1332" s="1" t="n">
        <v>45760</v>
      </c>
      <c r="C1332" t="inlineStr">
        <is>
          <t>S01</t>
        </is>
      </c>
      <c r="D1332" t="inlineStr">
        <is>
          <t>P303</t>
        </is>
      </c>
      <c r="E1332" t="n">
        <v>3</v>
      </c>
      <c r="F1332" t="n">
        <v>12</v>
      </c>
      <c r="G1332" t="n">
        <v>0</v>
      </c>
      <c r="H1332">
        <f>E1332*F1332*(1-G1332)</f>
        <v/>
      </c>
      <c r="I1332">
        <f>XLOOKUP(D1332,Products!$A$2:$A$15,Products!$B$2:$B$15,"Not found")</f>
        <v/>
      </c>
    </row>
    <row r="1333">
      <c r="A1333" t="n">
        <v>105652</v>
      </c>
      <c r="B1333" s="1" t="n">
        <v>45760</v>
      </c>
      <c r="C1333" t="inlineStr">
        <is>
          <t>S02</t>
        </is>
      </c>
      <c r="D1333" t="inlineStr">
        <is>
          <t>P203</t>
        </is>
      </c>
      <c r="E1333" t="n">
        <v>4</v>
      </c>
      <c r="F1333" t="n">
        <v>19.5</v>
      </c>
      <c r="G1333" t="n">
        <v>0</v>
      </c>
      <c r="H1333">
        <f>E1333*F1333*(1-G1333)</f>
        <v/>
      </c>
      <c r="I1333">
        <f>XLOOKUP(D1333,Products!$A$2:$A$15,Products!$B$2:$B$15,"Not found")</f>
        <v/>
      </c>
    </row>
    <row r="1334">
      <c r="A1334" t="n">
        <v>105653</v>
      </c>
      <c r="B1334" s="1" t="n">
        <v>45760</v>
      </c>
      <c r="C1334" t="inlineStr">
        <is>
          <t>S02</t>
        </is>
      </c>
      <c r="D1334" t="inlineStr">
        <is>
          <t>P401</t>
        </is>
      </c>
      <c r="E1334" t="n">
        <v>1</v>
      </c>
      <c r="F1334" t="n">
        <v>549</v>
      </c>
      <c r="G1334" t="n">
        <v>0.1</v>
      </c>
      <c r="H1334">
        <f>E1334*F1334*(1-G1334)</f>
        <v/>
      </c>
      <c r="I1334">
        <f>XLOOKUP(D1334,Products!$A$2:$A$15,Products!$B$2:$B$15,"Not found")</f>
        <v/>
      </c>
    </row>
    <row r="1335">
      <c r="A1335" t="n">
        <v>105654</v>
      </c>
      <c r="B1335" s="1" t="n">
        <v>45760</v>
      </c>
      <c r="C1335" t="inlineStr">
        <is>
          <t>S02</t>
        </is>
      </c>
      <c r="D1335" t="inlineStr">
        <is>
          <t>P102</t>
        </is>
      </c>
      <c r="E1335" t="n">
        <v>3</v>
      </c>
      <c r="F1335" t="n">
        <v>14.5</v>
      </c>
      <c r="G1335" t="n">
        <v>0</v>
      </c>
      <c r="H1335">
        <f>E1335*F1335*(1-G1335)</f>
        <v/>
      </c>
      <c r="I1335">
        <f>XLOOKUP(D1335,Products!$A$2:$A$15,Products!$B$2:$B$15,"Not found")</f>
        <v/>
      </c>
    </row>
    <row r="1336">
      <c r="A1336" t="n">
        <v>105655</v>
      </c>
      <c r="B1336" s="1" t="n">
        <v>45760</v>
      </c>
      <c r="C1336" t="inlineStr">
        <is>
          <t>S02</t>
        </is>
      </c>
      <c r="D1336" t="inlineStr">
        <is>
          <t>P203</t>
        </is>
      </c>
      <c r="E1336" t="n">
        <v>3</v>
      </c>
      <c r="F1336" t="n">
        <v>19.5</v>
      </c>
      <c r="G1336" t="n">
        <v>0.1</v>
      </c>
      <c r="H1336">
        <f>E1336*F1336*(1-G1336)</f>
        <v/>
      </c>
      <c r="I1336">
        <f>XLOOKUP(D1336,Products!$A$2:$A$15,Products!$B$2:$B$15,"Not found")</f>
        <v/>
      </c>
    </row>
    <row r="1337">
      <c r="A1337" t="n">
        <v>105656</v>
      </c>
      <c r="B1337" s="1" t="n">
        <v>45760</v>
      </c>
      <c r="C1337" t="inlineStr">
        <is>
          <t>S03</t>
        </is>
      </c>
      <c r="D1337" t="inlineStr">
        <is>
          <t>P101</t>
        </is>
      </c>
      <c r="E1337" t="n">
        <v>1</v>
      </c>
      <c r="F1337" t="n">
        <v>39</v>
      </c>
      <c r="G1337" t="n">
        <v>0</v>
      </c>
      <c r="H1337">
        <f>E1337*F1337*(1-G1337)</f>
        <v/>
      </c>
      <c r="I1337">
        <f>XLOOKUP(D1337,Products!$A$2:$A$15,Products!$B$2:$B$15,"Not found")</f>
        <v/>
      </c>
    </row>
    <row r="1338">
      <c r="A1338" t="n">
        <v>105657</v>
      </c>
      <c r="B1338" s="1" t="n">
        <v>45760</v>
      </c>
      <c r="C1338" t="inlineStr">
        <is>
          <t>S04</t>
        </is>
      </c>
      <c r="D1338" t="inlineStr">
        <is>
          <t>P103</t>
        </is>
      </c>
      <c r="E1338" t="n">
        <v>1</v>
      </c>
      <c r="F1338" t="n">
        <v>29</v>
      </c>
      <c r="G1338" t="n">
        <v>0</v>
      </c>
      <c r="H1338">
        <f>E1338*F1338*(1-G1338)</f>
        <v/>
      </c>
      <c r="I1338">
        <f>XLOOKUP(D1338,Products!$A$2:$A$15,Products!$B$2:$B$15,"Not found")</f>
        <v/>
      </c>
    </row>
    <row r="1339">
      <c r="A1339" t="n">
        <v>105658</v>
      </c>
      <c r="B1339" s="1" t="n">
        <v>45760</v>
      </c>
      <c r="C1339" t="inlineStr">
        <is>
          <t>S04</t>
        </is>
      </c>
      <c r="D1339" t="inlineStr">
        <is>
          <t>P103</t>
        </is>
      </c>
      <c r="E1339" t="n">
        <v>1</v>
      </c>
      <c r="F1339" t="n">
        <v>29</v>
      </c>
      <c r="G1339" t="n">
        <v>0.2</v>
      </c>
      <c r="H1339">
        <f>E1339*F1339*(1-G1339)</f>
        <v/>
      </c>
      <c r="I1339">
        <f>XLOOKUP(D1339,Products!$A$2:$A$15,Products!$B$2:$B$15,"Not found")</f>
        <v/>
      </c>
    </row>
    <row r="1340">
      <c r="A1340" t="n">
        <v>105659</v>
      </c>
      <c r="B1340" s="1" t="n">
        <v>45760</v>
      </c>
      <c r="C1340" t="inlineStr">
        <is>
          <t>S06</t>
        </is>
      </c>
      <c r="D1340" t="inlineStr">
        <is>
          <t>P202</t>
        </is>
      </c>
      <c r="E1340" t="n">
        <v>1</v>
      </c>
      <c r="F1340" t="n">
        <v>79</v>
      </c>
      <c r="G1340" t="n">
        <v>0</v>
      </c>
      <c r="H1340">
        <f>E1340*F1340*(1-G1340)</f>
        <v/>
      </c>
      <c r="I1340">
        <f>XLOOKUP(D1340,Products!$A$2:$A$15,Products!$B$2:$B$15,"Not found")</f>
        <v/>
      </c>
    </row>
    <row r="1341">
      <c r="A1341" t="n">
        <v>105660</v>
      </c>
      <c r="B1341" s="1" t="n">
        <v>45760</v>
      </c>
      <c r="C1341" t="inlineStr">
        <is>
          <t>S06</t>
        </is>
      </c>
      <c r="D1341" t="inlineStr">
        <is>
          <t>P301</t>
        </is>
      </c>
      <c r="E1341" t="n">
        <v>1</v>
      </c>
      <c r="F1341" t="n">
        <v>119</v>
      </c>
      <c r="G1341" t="n">
        <v>0</v>
      </c>
      <c r="H1341">
        <f>E1341*F1341*(1-G1341)</f>
        <v/>
      </c>
      <c r="I1341">
        <f>XLOOKUP(D1341,Products!$A$2:$A$15,Products!$B$2:$B$15,"Not found")</f>
        <v/>
      </c>
    </row>
    <row r="1342">
      <c r="A1342" t="n">
        <v>105661</v>
      </c>
      <c r="B1342" s="1" t="n">
        <v>45761</v>
      </c>
      <c r="C1342" t="inlineStr">
        <is>
          <t>S01</t>
        </is>
      </c>
      <c r="D1342" t="inlineStr">
        <is>
          <t>P104</t>
        </is>
      </c>
      <c r="E1342" t="n">
        <v>1</v>
      </c>
      <c r="F1342" t="n">
        <v>189</v>
      </c>
      <c r="G1342" t="n">
        <v>0.1</v>
      </c>
      <c r="H1342">
        <f>E1342*F1342*(1-G1342)</f>
        <v/>
      </c>
      <c r="I1342">
        <f>XLOOKUP(D1342,Products!$A$2:$A$15,Products!$B$2:$B$15,"Not found")</f>
        <v/>
      </c>
    </row>
    <row r="1343">
      <c r="A1343" t="n">
        <v>105662</v>
      </c>
      <c r="B1343" s="1" t="n">
        <v>45761</v>
      </c>
      <c r="C1343" t="inlineStr">
        <is>
          <t>S01</t>
        </is>
      </c>
      <c r="D1343" t="inlineStr">
        <is>
          <t>P101</t>
        </is>
      </c>
      <c r="E1343" t="n">
        <v>2</v>
      </c>
      <c r="F1343" t="n">
        <v>39</v>
      </c>
      <c r="G1343" t="n">
        <v>0</v>
      </c>
      <c r="H1343">
        <f>E1343*F1343*(1-G1343)</f>
        <v/>
      </c>
      <c r="I1343">
        <f>XLOOKUP(D1343,Products!$A$2:$A$15,Products!$B$2:$B$15,"Not found")</f>
        <v/>
      </c>
    </row>
    <row r="1344">
      <c r="A1344" t="n">
        <v>105663</v>
      </c>
      <c r="B1344" s="1" t="n">
        <v>45761</v>
      </c>
      <c r="C1344" t="inlineStr">
        <is>
          <t>S01</t>
        </is>
      </c>
      <c r="D1344" t="inlineStr">
        <is>
          <t>P101</t>
        </is>
      </c>
      <c r="E1344" t="n">
        <v>3</v>
      </c>
      <c r="F1344" t="n">
        <v>39</v>
      </c>
      <c r="G1344" t="n">
        <v>0</v>
      </c>
      <c r="H1344">
        <f>E1344*F1344*(1-G1344)</f>
        <v/>
      </c>
      <c r="I1344">
        <f>XLOOKUP(D1344,Products!$A$2:$A$15,Products!$B$2:$B$15,"Not found")</f>
        <v/>
      </c>
    </row>
    <row r="1345">
      <c r="A1345" t="n">
        <v>105664</v>
      </c>
      <c r="B1345" s="1" t="n">
        <v>45761</v>
      </c>
      <c r="C1345" t="inlineStr">
        <is>
          <t>S01</t>
        </is>
      </c>
      <c r="D1345" t="inlineStr">
        <is>
          <t>P302</t>
        </is>
      </c>
      <c r="E1345" t="n">
        <v>1</v>
      </c>
      <c r="F1345" t="n">
        <v>24</v>
      </c>
      <c r="G1345" t="n">
        <v>0</v>
      </c>
      <c r="H1345">
        <f>E1345*F1345*(1-G1345)</f>
        <v/>
      </c>
      <c r="I1345">
        <f>XLOOKUP(D1345,Products!$A$2:$A$15,Products!$B$2:$B$15,"Not found")</f>
        <v/>
      </c>
    </row>
    <row r="1346">
      <c r="A1346" t="n">
        <v>105665</v>
      </c>
      <c r="B1346" s="1" t="n">
        <v>45761</v>
      </c>
      <c r="C1346" t="inlineStr">
        <is>
          <t>S01</t>
        </is>
      </c>
      <c r="D1346" t="inlineStr">
        <is>
          <t>P203</t>
        </is>
      </c>
      <c r="E1346" t="n">
        <v>4</v>
      </c>
      <c r="F1346" t="n">
        <v>19.5</v>
      </c>
      <c r="G1346" t="n">
        <v>0.1</v>
      </c>
      <c r="H1346">
        <f>E1346*F1346*(1-G1346)</f>
        <v/>
      </c>
      <c r="I1346">
        <f>XLOOKUP(D1346,Products!$A$2:$A$15,Products!$B$2:$B$15,"Not found")</f>
        <v/>
      </c>
    </row>
    <row r="1347">
      <c r="A1347" t="n">
        <v>105666</v>
      </c>
      <c r="B1347" s="1" t="n">
        <v>45761</v>
      </c>
      <c r="C1347" t="inlineStr">
        <is>
          <t>S01</t>
        </is>
      </c>
      <c r="D1347" t="inlineStr">
        <is>
          <t>P101</t>
        </is>
      </c>
      <c r="E1347" t="n">
        <v>2</v>
      </c>
      <c r="F1347" t="n">
        <v>39</v>
      </c>
      <c r="G1347" t="n">
        <v>0</v>
      </c>
      <c r="H1347">
        <f>E1347*F1347*(1-G1347)</f>
        <v/>
      </c>
      <c r="I1347">
        <f>XLOOKUP(D1347,Products!$A$2:$A$15,Products!$B$2:$B$15,"Not found")</f>
        <v/>
      </c>
    </row>
    <row r="1348">
      <c r="A1348" t="n">
        <v>105667</v>
      </c>
      <c r="B1348" s="1" t="n">
        <v>45761</v>
      </c>
      <c r="C1348" t="inlineStr">
        <is>
          <t>S02</t>
        </is>
      </c>
      <c r="D1348" t="inlineStr">
        <is>
          <t>P101</t>
        </is>
      </c>
      <c r="E1348" t="n">
        <v>2</v>
      </c>
      <c r="F1348" t="n">
        <v>39</v>
      </c>
      <c r="G1348" t="n">
        <v>0.1</v>
      </c>
      <c r="H1348">
        <f>E1348*F1348*(1-G1348)</f>
        <v/>
      </c>
      <c r="I1348">
        <f>XLOOKUP(D1348,Products!$A$2:$A$15,Products!$B$2:$B$15,"Not found")</f>
        <v/>
      </c>
    </row>
    <row r="1349">
      <c r="A1349" t="n">
        <v>105668</v>
      </c>
      <c r="B1349" s="1" t="n">
        <v>45761</v>
      </c>
      <c r="C1349" t="inlineStr">
        <is>
          <t>S03</t>
        </is>
      </c>
      <c r="D1349" t="inlineStr">
        <is>
          <t>P101</t>
        </is>
      </c>
      <c r="E1349" t="n">
        <v>2</v>
      </c>
      <c r="F1349" t="n">
        <v>39</v>
      </c>
      <c r="G1349" t="n">
        <v>0</v>
      </c>
      <c r="H1349">
        <f>E1349*F1349*(1-G1349)</f>
        <v/>
      </c>
      <c r="I1349">
        <f>XLOOKUP(D1349,Products!$A$2:$A$15,Products!$B$2:$B$15,"Not found")</f>
        <v/>
      </c>
    </row>
    <row r="1350">
      <c r="A1350" t="n">
        <v>105669</v>
      </c>
      <c r="B1350" s="1" t="n">
        <v>45761</v>
      </c>
      <c r="C1350" t="inlineStr">
        <is>
          <t>S03</t>
        </is>
      </c>
      <c r="D1350" t="inlineStr">
        <is>
          <t>P102</t>
        </is>
      </c>
      <c r="E1350" t="n">
        <v>1</v>
      </c>
      <c r="F1350" t="n">
        <v>14.5</v>
      </c>
      <c r="G1350" t="n">
        <v>0.1</v>
      </c>
      <c r="H1350">
        <f>E1350*F1350*(1-G1350)</f>
        <v/>
      </c>
      <c r="I1350">
        <f>XLOOKUP(D1350,Products!$A$2:$A$15,Products!$B$2:$B$15,"Not found")</f>
        <v/>
      </c>
    </row>
    <row r="1351">
      <c r="A1351" t="n">
        <v>105670</v>
      </c>
      <c r="B1351" s="1" t="n">
        <v>45761</v>
      </c>
      <c r="C1351" t="inlineStr">
        <is>
          <t>S03</t>
        </is>
      </c>
      <c r="D1351" t="inlineStr">
        <is>
          <t>P103</t>
        </is>
      </c>
      <c r="E1351" t="n">
        <v>2</v>
      </c>
      <c r="F1351" t="n">
        <v>29</v>
      </c>
      <c r="G1351" t="n">
        <v>0.1</v>
      </c>
      <c r="H1351">
        <f>E1351*F1351*(1-G1351)</f>
        <v/>
      </c>
      <c r="I1351">
        <f>XLOOKUP(D1351,Products!$A$2:$A$15,Products!$B$2:$B$15,"Not found")</f>
        <v/>
      </c>
    </row>
    <row r="1352">
      <c r="A1352" t="n">
        <v>105671</v>
      </c>
      <c r="B1352" s="1" t="n">
        <v>45762</v>
      </c>
      <c r="C1352" t="inlineStr">
        <is>
          <t>S01</t>
        </is>
      </c>
      <c r="D1352" t="inlineStr">
        <is>
          <t>P303</t>
        </is>
      </c>
      <c r="E1352" t="n">
        <v>2</v>
      </c>
      <c r="F1352" t="n">
        <v>12</v>
      </c>
      <c r="G1352" t="n">
        <v>0.15</v>
      </c>
      <c r="H1352">
        <f>E1352*F1352*(1-G1352)</f>
        <v/>
      </c>
      <c r="I1352">
        <f>XLOOKUP(D1352,Products!$A$2:$A$15,Products!$B$2:$B$15,"Not found")</f>
        <v/>
      </c>
    </row>
    <row r="1353">
      <c r="A1353" t="n">
        <v>105672</v>
      </c>
      <c r="B1353" s="1" t="n">
        <v>45762</v>
      </c>
      <c r="C1353" t="inlineStr">
        <is>
          <t>S01</t>
        </is>
      </c>
      <c r="D1353" t="inlineStr">
        <is>
          <t>P303</t>
        </is>
      </c>
      <c r="E1353" t="n">
        <v>2</v>
      </c>
      <c r="F1353" t="n">
        <v>12</v>
      </c>
      <c r="G1353" t="n">
        <v>0</v>
      </c>
      <c r="H1353">
        <f>E1353*F1353*(1-G1353)</f>
        <v/>
      </c>
      <c r="I1353">
        <f>XLOOKUP(D1353,Products!$A$2:$A$15,Products!$B$2:$B$15,"Not found")</f>
        <v/>
      </c>
    </row>
    <row r="1354">
      <c r="A1354" t="n">
        <v>105673</v>
      </c>
      <c r="B1354" s="1" t="n">
        <v>45762</v>
      </c>
      <c r="C1354" t="inlineStr">
        <is>
          <t>S01</t>
        </is>
      </c>
      <c r="D1354" t="inlineStr">
        <is>
          <t>P303</t>
        </is>
      </c>
      <c r="E1354" t="n">
        <v>2</v>
      </c>
      <c r="F1354" t="n">
        <v>12</v>
      </c>
      <c r="G1354" t="n">
        <v>0.2</v>
      </c>
      <c r="H1354">
        <f>E1354*F1354*(1-G1354)</f>
        <v/>
      </c>
      <c r="I1354">
        <f>XLOOKUP(D1354,Products!$A$2:$A$15,Products!$B$2:$B$15,"Not found")</f>
        <v/>
      </c>
    </row>
    <row r="1355">
      <c r="A1355" t="n">
        <v>105674</v>
      </c>
      <c r="B1355" s="1" t="n">
        <v>45762</v>
      </c>
      <c r="C1355" t="inlineStr">
        <is>
          <t>S01</t>
        </is>
      </c>
      <c r="D1355" t="inlineStr">
        <is>
          <t>P301</t>
        </is>
      </c>
      <c r="E1355" t="n">
        <v>1</v>
      </c>
      <c r="F1355" t="n">
        <v>119</v>
      </c>
      <c r="G1355" t="n">
        <v>0.15</v>
      </c>
      <c r="H1355">
        <f>E1355*F1355*(1-G1355)</f>
        <v/>
      </c>
      <c r="I1355">
        <f>XLOOKUP(D1355,Products!$A$2:$A$15,Products!$B$2:$B$15,"Not found")</f>
        <v/>
      </c>
    </row>
    <row r="1356">
      <c r="A1356" t="n">
        <v>105675</v>
      </c>
      <c r="B1356" s="1" t="n">
        <v>45762</v>
      </c>
      <c r="C1356" t="inlineStr">
        <is>
          <t>S01</t>
        </is>
      </c>
      <c r="D1356" t="inlineStr">
        <is>
          <t>P302</t>
        </is>
      </c>
      <c r="E1356" t="n">
        <v>1</v>
      </c>
      <c r="F1356" t="n">
        <v>24</v>
      </c>
      <c r="G1356" t="n">
        <v>0.15</v>
      </c>
      <c r="H1356">
        <f>E1356*F1356*(1-G1356)</f>
        <v/>
      </c>
      <c r="I1356">
        <f>XLOOKUP(D1356,Products!$A$2:$A$15,Products!$B$2:$B$15,"Not found")</f>
        <v/>
      </c>
    </row>
    <row r="1357">
      <c r="A1357" t="n">
        <v>105676</v>
      </c>
      <c r="B1357" s="1" t="n">
        <v>45762</v>
      </c>
      <c r="C1357" t="inlineStr">
        <is>
          <t>S01</t>
        </is>
      </c>
      <c r="D1357" t="inlineStr">
        <is>
          <t>P201</t>
        </is>
      </c>
      <c r="E1357" t="n">
        <v>1</v>
      </c>
      <c r="F1357" t="n">
        <v>149</v>
      </c>
      <c r="G1357" t="n">
        <v>0</v>
      </c>
      <c r="H1357">
        <f>E1357*F1357*(1-G1357)</f>
        <v/>
      </c>
      <c r="I1357">
        <f>XLOOKUP(D1357,Products!$A$2:$A$15,Products!$B$2:$B$15,"Not found")</f>
        <v/>
      </c>
    </row>
    <row r="1358">
      <c r="A1358" t="n">
        <v>105677</v>
      </c>
      <c r="B1358" s="1" t="n">
        <v>45762</v>
      </c>
      <c r="C1358" t="inlineStr">
        <is>
          <t>S02</t>
        </is>
      </c>
      <c r="D1358" t="inlineStr">
        <is>
          <t>P202</t>
        </is>
      </c>
      <c r="E1358" t="n">
        <v>1</v>
      </c>
      <c r="F1358" t="n">
        <v>79</v>
      </c>
      <c r="G1358" t="n">
        <v>0.2</v>
      </c>
      <c r="H1358">
        <f>E1358*F1358*(1-G1358)</f>
        <v/>
      </c>
      <c r="I1358">
        <f>XLOOKUP(D1358,Products!$A$2:$A$15,Products!$B$2:$B$15,"Not found")</f>
        <v/>
      </c>
    </row>
    <row r="1359">
      <c r="A1359" t="n">
        <v>105678</v>
      </c>
      <c r="B1359" s="1" t="n">
        <v>45762</v>
      </c>
      <c r="C1359" t="inlineStr">
        <is>
          <t>S03</t>
        </is>
      </c>
      <c r="D1359" t="inlineStr">
        <is>
          <t>P203</t>
        </is>
      </c>
      <c r="E1359" t="n">
        <v>2</v>
      </c>
      <c r="F1359" t="n">
        <v>19.5</v>
      </c>
      <c r="G1359" t="n">
        <v>0</v>
      </c>
      <c r="H1359">
        <f>E1359*F1359*(1-G1359)</f>
        <v/>
      </c>
      <c r="I1359">
        <f>XLOOKUP(D1359,Products!$A$2:$A$15,Products!$B$2:$B$15,"Not found")</f>
        <v/>
      </c>
    </row>
    <row r="1360">
      <c r="A1360" t="n">
        <v>105679</v>
      </c>
      <c r="B1360" s="1" t="n">
        <v>45763</v>
      </c>
      <c r="C1360" t="inlineStr">
        <is>
          <t>S01</t>
        </is>
      </c>
      <c r="D1360" t="inlineStr">
        <is>
          <t>P202</t>
        </is>
      </c>
      <c r="E1360" t="n">
        <v>4</v>
      </c>
      <c r="F1360" t="n">
        <v>79</v>
      </c>
      <c r="G1360" t="n">
        <v>0.2</v>
      </c>
      <c r="H1360">
        <f>E1360*F1360*(1-G1360)</f>
        <v/>
      </c>
      <c r="I1360">
        <f>XLOOKUP(D1360,Products!$A$2:$A$15,Products!$B$2:$B$15,"Not found")</f>
        <v/>
      </c>
    </row>
    <row r="1361">
      <c r="A1361" t="n">
        <v>105680</v>
      </c>
      <c r="B1361" s="1" t="n">
        <v>45763</v>
      </c>
      <c r="C1361" t="inlineStr">
        <is>
          <t>S01</t>
        </is>
      </c>
      <c r="D1361" t="inlineStr">
        <is>
          <t>P102</t>
        </is>
      </c>
      <c r="E1361" t="n">
        <v>4</v>
      </c>
      <c r="F1361" t="n">
        <v>14.5</v>
      </c>
      <c r="G1361" t="n">
        <v>0.1</v>
      </c>
      <c r="H1361">
        <f>E1361*F1361*(1-G1361)</f>
        <v/>
      </c>
      <c r="I1361">
        <f>XLOOKUP(D1361,Products!$A$2:$A$15,Products!$B$2:$B$15,"Not found")</f>
        <v/>
      </c>
    </row>
    <row r="1362">
      <c r="A1362" t="n">
        <v>105681</v>
      </c>
      <c r="B1362" s="1" t="n">
        <v>45763</v>
      </c>
      <c r="C1362" t="inlineStr">
        <is>
          <t>S01</t>
        </is>
      </c>
      <c r="D1362" t="inlineStr">
        <is>
          <t>P301</t>
        </is>
      </c>
      <c r="E1362" t="n">
        <v>1</v>
      </c>
      <c r="F1362" t="n">
        <v>119</v>
      </c>
      <c r="G1362" t="n">
        <v>0.15</v>
      </c>
      <c r="H1362">
        <f>E1362*F1362*(1-G1362)</f>
        <v/>
      </c>
      <c r="I1362">
        <f>XLOOKUP(D1362,Products!$A$2:$A$15,Products!$B$2:$B$15,"Not found")</f>
        <v/>
      </c>
    </row>
    <row r="1363">
      <c r="A1363" t="n">
        <v>105682</v>
      </c>
      <c r="B1363" s="1" t="n">
        <v>45763</v>
      </c>
      <c r="C1363" t="inlineStr">
        <is>
          <t>S02</t>
        </is>
      </c>
      <c r="D1363" t="inlineStr">
        <is>
          <t>P301</t>
        </is>
      </c>
      <c r="E1363" t="n">
        <v>1</v>
      </c>
      <c r="F1363" t="n">
        <v>119</v>
      </c>
      <c r="G1363" t="n">
        <v>0.2</v>
      </c>
      <c r="H1363">
        <f>E1363*F1363*(1-G1363)</f>
        <v/>
      </c>
      <c r="I1363">
        <f>XLOOKUP(D1363,Products!$A$2:$A$15,Products!$B$2:$B$15,"Not found")</f>
        <v/>
      </c>
    </row>
    <row r="1364">
      <c r="A1364" t="n">
        <v>105683</v>
      </c>
      <c r="B1364" s="1" t="n">
        <v>45763</v>
      </c>
      <c r="C1364" t="inlineStr">
        <is>
          <t>S02</t>
        </is>
      </c>
      <c r="D1364" t="inlineStr">
        <is>
          <t>P103</t>
        </is>
      </c>
      <c r="E1364" t="n">
        <v>3</v>
      </c>
      <c r="F1364" t="n">
        <v>29</v>
      </c>
      <c r="G1364" t="n">
        <v>0.1</v>
      </c>
      <c r="H1364">
        <f>E1364*F1364*(1-G1364)</f>
        <v/>
      </c>
      <c r="I1364">
        <f>XLOOKUP(D1364,Products!$A$2:$A$15,Products!$B$2:$B$15,"Not found")</f>
        <v/>
      </c>
    </row>
    <row r="1365">
      <c r="A1365" t="n">
        <v>105684</v>
      </c>
      <c r="B1365" s="1" t="n">
        <v>45763</v>
      </c>
      <c r="C1365" t="inlineStr">
        <is>
          <t>S03</t>
        </is>
      </c>
      <c r="D1365" t="inlineStr">
        <is>
          <t>P303</t>
        </is>
      </c>
      <c r="E1365" t="n">
        <v>2</v>
      </c>
      <c r="F1365" t="n">
        <v>12</v>
      </c>
      <c r="G1365" t="n">
        <v>0</v>
      </c>
      <c r="H1365">
        <f>E1365*F1365*(1-G1365)</f>
        <v/>
      </c>
      <c r="I1365">
        <f>XLOOKUP(D1365,Products!$A$2:$A$15,Products!$B$2:$B$15,"Not found")</f>
        <v/>
      </c>
    </row>
    <row r="1366">
      <c r="A1366" t="n">
        <v>105685</v>
      </c>
      <c r="B1366" s="1" t="n">
        <v>45763</v>
      </c>
      <c r="C1366" t="inlineStr">
        <is>
          <t>S05</t>
        </is>
      </c>
      <c r="D1366" t="inlineStr">
        <is>
          <t>P103</t>
        </is>
      </c>
      <c r="E1366" t="n">
        <v>2</v>
      </c>
      <c r="F1366" t="n">
        <v>29</v>
      </c>
      <c r="G1366" t="n">
        <v>0</v>
      </c>
      <c r="H1366">
        <f>E1366*F1366*(1-G1366)</f>
        <v/>
      </c>
      <c r="I1366">
        <f>XLOOKUP(D1366,Products!$A$2:$A$15,Products!$B$2:$B$15,"Not found")</f>
        <v/>
      </c>
    </row>
    <row r="1367">
      <c r="A1367" t="n">
        <v>105686</v>
      </c>
      <c r="B1367" s="1" t="n">
        <v>45763</v>
      </c>
      <c r="C1367" t="inlineStr">
        <is>
          <t>S05</t>
        </is>
      </c>
      <c r="D1367" t="inlineStr">
        <is>
          <t>P101</t>
        </is>
      </c>
      <c r="E1367" t="n">
        <v>1</v>
      </c>
      <c r="F1367" t="n">
        <v>39</v>
      </c>
      <c r="G1367" t="n">
        <v>0.15</v>
      </c>
      <c r="H1367">
        <f>E1367*F1367*(1-G1367)</f>
        <v/>
      </c>
      <c r="I1367">
        <f>XLOOKUP(D1367,Products!$A$2:$A$15,Products!$B$2:$B$15,"Not found")</f>
        <v/>
      </c>
    </row>
    <row r="1368">
      <c r="A1368" t="n">
        <v>105687</v>
      </c>
      <c r="B1368" s="1" t="n">
        <v>45764</v>
      </c>
      <c r="C1368" t="inlineStr">
        <is>
          <t>S01</t>
        </is>
      </c>
      <c r="D1368" t="inlineStr">
        <is>
          <t>P201</t>
        </is>
      </c>
      <c r="E1368" t="n">
        <v>1</v>
      </c>
      <c r="F1368" t="n">
        <v>149</v>
      </c>
      <c r="G1368" t="n">
        <v>0.1</v>
      </c>
      <c r="H1368">
        <f>E1368*F1368*(1-G1368)</f>
        <v/>
      </c>
      <c r="I1368">
        <f>XLOOKUP(D1368,Products!$A$2:$A$15,Products!$B$2:$B$15,"Not found")</f>
        <v/>
      </c>
    </row>
    <row r="1369">
      <c r="A1369" t="n">
        <v>105688</v>
      </c>
      <c r="B1369" s="1" t="n">
        <v>45764</v>
      </c>
      <c r="C1369" t="inlineStr">
        <is>
          <t>S01</t>
        </is>
      </c>
      <c r="D1369" t="inlineStr">
        <is>
          <t>P303</t>
        </is>
      </c>
      <c r="E1369" t="n">
        <v>1</v>
      </c>
      <c r="F1369" t="n">
        <v>12</v>
      </c>
      <c r="G1369" t="n">
        <v>0</v>
      </c>
      <c r="H1369">
        <f>E1369*F1369*(1-G1369)</f>
        <v/>
      </c>
      <c r="I1369">
        <f>XLOOKUP(D1369,Products!$A$2:$A$15,Products!$B$2:$B$15,"Not found")</f>
        <v/>
      </c>
    </row>
    <row r="1370">
      <c r="A1370" t="n">
        <v>105689</v>
      </c>
      <c r="B1370" s="1" t="n">
        <v>45764</v>
      </c>
      <c r="C1370" t="inlineStr">
        <is>
          <t>S02</t>
        </is>
      </c>
      <c r="D1370" t="inlineStr">
        <is>
          <t>P302</t>
        </is>
      </c>
      <c r="E1370" t="n">
        <v>4</v>
      </c>
      <c r="F1370" t="n">
        <v>24</v>
      </c>
      <c r="G1370" t="n">
        <v>0</v>
      </c>
      <c r="H1370">
        <f>E1370*F1370*(1-G1370)</f>
        <v/>
      </c>
      <c r="I1370">
        <f>XLOOKUP(D1370,Products!$A$2:$A$15,Products!$B$2:$B$15,"Not found")</f>
        <v/>
      </c>
    </row>
    <row r="1371">
      <c r="A1371" t="n">
        <v>105690</v>
      </c>
      <c r="B1371" s="1" t="n">
        <v>45764</v>
      </c>
      <c r="C1371" t="inlineStr">
        <is>
          <t>S03</t>
        </is>
      </c>
      <c r="D1371" t="inlineStr">
        <is>
          <t>P401</t>
        </is>
      </c>
      <c r="E1371" t="n">
        <v>1</v>
      </c>
      <c r="F1371" t="n">
        <v>549</v>
      </c>
      <c r="G1371" t="n">
        <v>0</v>
      </c>
      <c r="H1371">
        <f>E1371*F1371*(1-G1371)</f>
        <v/>
      </c>
      <c r="I1371">
        <f>XLOOKUP(D1371,Products!$A$2:$A$15,Products!$B$2:$B$15,"Not found")</f>
        <v/>
      </c>
    </row>
    <row r="1372">
      <c r="A1372" t="n">
        <v>105691</v>
      </c>
      <c r="B1372" s="1" t="n">
        <v>45764</v>
      </c>
      <c r="C1372" t="inlineStr">
        <is>
          <t>S03</t>
        </is>
      </c>
      <c r="D1372" t="inlineStr">
        <is>
          <t>P302</t>
        </is>
      </c>
      <c r="E1372" t="n">
        <v>1</v>
      </c>
      <c r="F1372" t="n">
        <v>24</v>
      </c>
      <c r="G1372" t="n">
        <v>0</v>
      </c>
      <c r="H1372">
        <f>E1372*F1372*(1-G1372)</f>
        <v/>
      </c>
      <c r="I1372">
        <f>XLOOKUP(D1372,Products!$A$2:$A$15,Products!$B$2:$B$15,"Not found")</f>
        <v/>
      </c>
    </row>
    <row r="1373">
      <c r="A1373" t="n">
        <v>105692</v>
      </c>
      <c r="B1373" s="1" t="n">
        <v>45764</v>
      </c>
      <c r="C1373" t="inlineStr">
        <is>
          <t>S05</t>
        </is>
      </c>
      <c r="D1373" t="inlineStr">
        <is>
          <t>P101</t>
        </is>
      </c>
      <c r="E1373" t="n">
        <v>3</v>
      </c>
      <c r="F1373" t="n">
        <v>39</v>
      </c>
      <c r="G1373" t="n">
        <v>0</v>
      </c>
      <c r="H1373">
        <f>E1373*F1373*(1-G1373)</f>
        <v/>
      </c>
      <c r="I1373">
        <f>XLOOKUP(D1373,Products!$A$2:$A$15,Products!$B$2:$B$15,"Not found")</f>
        <v/>
      </c>
    </row>
    <row r="1374">
      <c r="A1374" t="n">
        <v>105693</v>
      </c>
      <c r="B1374" s="1" t="n">
        <v>45764</v>
      </c>
      <c r="C1374" t="inlineStr">
        <is>
          <t>S05</t>
        </is>
      </c>
      <c r="D1374" t="inlineStr">
        <is>
          <t>P302</t>
        </is>
      </c>
      <c r="E1374" t="n">
        <v>1</v>
      </c>
      <c r="F1374" t="n">
        <v>24</v>
      </c>
      <c r="G1374" t="n">
        <v>0</v>
      </c>
      <c r="H1374">
        <f>E1374*F1374*(1-G1374)</f>
        <v/>
      </c>
      <c r="I1374">
        <f>XLOOKUP(D1374,Products!$A$2:$A$15,Products!$B$2:$B$15,"Not found")</f>
        <v/>
      </c>
    </row>
    <row r="1375">
      <c r="A1375" t="n">
        <v>105694</v>
      </c>
      <c r="B1375" s="1" t="n">
        <v>45765</v>
      </c>
      <c r="C1375" t="inlineStr">
        <is>
          <t>S01</t>
        </is>
      </c>
      <c r="D1375" t="inlineStr">
        <is>
          <t>P102</t>
        </is>
      </c>
      <c r="E1375" t="n">
        <v>2</v>
      </c>
      <c r="F1375" t="n">
        <v>14.5</v>
      </c>
      <c r="G1375" t="n">
        <v>0</v>
      </c>
      <c r="H1375">
        <f>E1375*F1375*(1-G1375)</f>
        <v/>
      </c>
      <c r="I1375">
        <f>XLOOKUP(D1375,Products!$A$2:$A$15,Products!$B$2:$B$15,"Not found")</f>
        <v/>
      </c>
    </row>
    <row r="1376">
      <c r="A1376" t="n">
        <v>105695</v>
      </c>
      <c r="B1376" s="1" t="n">
        <v>45765</v>
      </c>
      <c r="C1376" t="inlineStr">
        <is>
          <t>S01</t>
        </is>
      </c>
      <c r="D1376" t="inlineStr">
        <is>
          <t>P201</t>
        </is>
      </c>
      <c r="E1376" t="n">
        <v>1</v>
      </c>
      <c r="F1376" t="n">
        <v>149</v>
      </c>
      <c r="G1376" t="n">
        <v>0</v>
      </c>
      <c r="H1376">
        <f>E1376*F1376*(1-G1376)</f>
        <v/>
      </c>
      <c r="I1376">
        <f>XLOOKUP(D1376,Products!$A$2:$A$15,Products!$B$2:$B$15,"Not found")</f>
        <v/>
      </c>
    </row>
    <row r="1377">
      <c r="A1377" t="n">
        <v>105696</v>
      </c>
      <c r="B1377" s="1" t="n">
        <v>45765</v>
      </c>
      <c r="C1377" t="inlineStr">
        <is>
          <t>S01</t>
        </is>
      </c>
      <c r="D1377" t="inlineStr">
        <is>
          <t>P403</t>
        </is>
      </c>
      <c r="E1377" t="n">
        <v>3</v>
      </c>
      <c r="F1377" t="n">
        <v>89</v>
      </c>
      <c r="G1377" t="n">
        <v>0.15</v>
      </c>
      <c r="H1377">
        <f>E1377*F1377*(1-G1377)</f>
        <v/>
      </c>
      <c r="I1377">
        <f>XLOOKUP(D1377,Products!$A$2:$A$15,Products!$B$2:$B$15,"Not found")</f>
        <v/>
      </c>
    </row>
    <row r="1378">
      <c r="A1378" t="n">
        <v>105697</v>
      </c>
      <c r="B1378" s="1" t="n">
        <v>45765</v>
      </c>
      <c r="C1378" t="inlineStr">
        <is>
          <t>S02</t>
        </is>
      </c>
      <c r="D1378" t="inlineStr">
        <is>
          <t>P303</t>
        </is>
      </c>
      <c r="E1378" t="n">
        <v>1</v>
      </c>
      <c r="F1378" t="n">
        <v>12</v>
      </c>
      <c r="G1378" t="n">
        <v>0</v>
      </c>
      <c r="H1378">
        <f>E1378*F1378*(1-G1378)</f>
        <v/>
      </c>
      <c r="I1378">
        <f>XLOOKUP(D1378,Products!$A$2:$A$15,Products!$B$2:$B$15,"Not found")</f>
        <v/>
      </c>
    </row>
    <row r="1379">
      <c r="A1379" t="n">
        <v>105698</v>
      </c>
      <c r="B1379" s="1" t="n">
        <v>45765</v>
      </c>
      <c r="C1379" t="inlineStr">
        <is>
          <t>S04</t>
        </is>
      </c>
      <c r="D1379" t="inlineStr">
        <is>
          <t>P303</t>
        </is>
      </c>
      <c r="E1379" t="n">
        <v>2</v>
      </c>
      <c r="F1379" t="n">
        <v>12</v>
      </c>
      <c r="G1379" t="n">
        <v>0.2</v>
      </c>
      <c r="H1379">
        <f>E1379*F1379*(1-G1379)</f>
        <v/>
      </c>
      <c r="I1379">
        <f>XLOOKUP(D1379,Products!$A$2:$A$15,Products!$B$2:$B$15,"Not found")</f>
        <v/>
      </c>
    </row>
    <row r="1380">
      <c r="A1380" t="n">
        <v>105699</v>
      </c>
      <c r="B1380" s="1" t="n">
        <v>45765</v>
      </c>
      <c r="C1380" t="inlineStr">
        <is>
          <t>S04</t>
        </is>
      </c>
      <c r="D1380" t="inlineStr">
        <is>
          <t>P101</t>
        </is>
      </c>
      <c r="E1380" t="n">
        <v>1</v>
      </c>
      <c r="F1380" t="n">
        <v>39</v>
      </c>
      <c r="G1380" t="n">
        <v>0</v>
      </c>
      <c r="H1380">
        <f>E1380*F1380*(1-G1380)</f>
        <v/>
      </c>
      <c r="I1380">
        <f>XLOOKUP(D1380,Products!$A$2:$A$15,Products!$B$2:$B$15,"Not found")</f>
        <v/>
      </c>
    </row>
    <row r="1381">
      <c r="A1381" t="n">
        <v>105700</v>
      </c>
      <c r="B1381" s="1" t="n">
        <v>45765</v>
      </c>
      <c r="C1381" t="inlineStr">
        <is>
          <t>S05</t>
        </is>
      </c>
      <c r="D1381" t="inlineStr">
        <is>
          <t>P101</t>
        </is>
      </c>
      <c r="E1381" t="n">
        <v>3</v>
      </c>
      <c r="F1381" t="n">
        <v>39</v>
      </c>
      <c r="G1381" t="n">
        <v>0.1</v>
      </c>
      <c r="H1381">
        <f>E1381*F1381*(1-G1381)</f>
        <v/>
      </c>
      <c r="I1381">
        <f>XLOOKUP(D1381,Products!$A$2:$A$15,Products!$B$2:$B$15,"Not found")</f>
        <v/>
      </c>
    </row>
    <row r="1382">
      <c r="A1382" t="n">
        <v>105701</v>
      </c>
      <c r="B1382" s="1" t="n">
        <v>45765</v>
      </c>
      <c r="C1382" t="inlineStr">
        <is>
          <t>S05</t>
        </is>
      </c>
      <c r="D1382" t="inlineStr">
        <is>
          <t>P102</t>
        </is>
      </c>
      <c r="E1382" t="n">
        <v>1</v>
      </c>
      <c r="F1382" t="n">
        <v>14.5</v>
      </c>
      <c r="G1382" t="n">
        <v>0.1</v>
      </c>
      <c r="H1382">
        <f>E1382*F1382*(1-G1382)</f>
        <v/>
      </c>
      <c r="I1382">
        <f>XLOOKUP(D1382,Products!$A$2:$A$15,Products!$B$2:$B$15,"Not found")</f>
        <v/>
      </c>
    </row>
    <row r="1383">
      <c r="A1383" t="n">
        <v>105702</v>
      </c>
      <c r="B1383" s="1" t="n">
        <v>45765</v>
      </c>
      <c r="C1383" t="inlineStr">
        <is>
          <t>S05</t>
        </is>
      </c>
      <c r="D1383" t="inlineStr">
        <is>
          <t>P102</t>
        </is>
      </c>
      <c r="E1383" t="n">
        <v>2</v>
      </c>
      <c r="F1383" t="n">
        <v>14.5</v>
      </c>
      <c r="G1383" t="n">
        <v>0.2</v>
      </c>
      <c r="H1383">
        <f>E1383*F1383*(1-G1383)</f>
        <v/>
      </c>
      <c r="I1383">
        <f>XLOOKUP(D1383,Products!$A$2:$A$15,Products!$B$2:$B$15,"Not found")</f>
        <v/>
      </c>
    </row>
    <row r="1384">
      <c r="A1384" t="n">
        <v>105703</v>
      </c>
      <c r="B1384" s="1" t="n">
        <v>45766</v>
      </c>
      <c r="C1384" t="inlineStr">
        <is>
          <t>S01</t>
        </is>
      </c>
      <c r="D1384" t="inlineStr">
        <is>
          <t>P101</t>
        </is>
      </c>
      <c r="E1384" t="n">
        <v>3</v>
      </c>
      <c r="F1384" t="n">
        <v>39</v>
      </c>
      <c r="G1384" t="n">
        <v>0.1</v>
      </c>
      <c r="H1384">
        <f>E1384*F1384*(1-G1384)</f>
        <v/>
      </c>
      <c r="I1384">
        <f>XLOOKUP(D1384,Products!$A$2:$A$15,Products!$B$2:$B$15,"Not found")</f>
        <v/>
      </c>
    </row>
    <row r="1385">
      <c r="A1385" t="n">
        <v>105704</v>
      </c>
      <c r="B1385" s="1" t="n">
        <v>45766</v>
      </c>
      <c r="C1385" t="inlineStr">
        <is>
          <t>S01</t>
        </is>
      </c>
      <c r="D1385" t="inlineStr">
        <is>
          <t>P203</t>
        </is>
      </c>
      <c r="E1385" t="n">
        <v>2</v>
      </c>
      <c r="F1385" t="n">
        <v>19.5</v>
      </c>
      <c r="G1385" t="n">
        <v>0.15</v>
      </c>
      <c r="H1385">
        <f>E1385*F1385*(1-G1385)</f>
        <v/>
      </c>
      <c r="I1385">
        <f>XLOOKUP(D1385,Products!$A$2:$A$15,Products!$B$2:$B$15,"Not found")</f>
        <v/>
      </c>
    </row>
    <row r="1386">
      <c r="A1386" t="n">
        <v>105705</v>
      </c>
      <c r="B1386" s="1" t="n">
        <v>45766</v>
      </c>
      <c r="C1386" t="inlineStr">
        <is>
          <t>S01</t>
        </is>
      </c>
      <c r="D1386" t="inlineStr">
        <is>
          <t>P201</t>
        </is>
      </c>
      <c r="E1386" t="n">
        <v>1</v>
      </c>
      <c r="F1386" t="n">
        <v>149</v>
      </c>
      <c r="G1386" t="n">
        <v>0.1</v>
      </c>
      <c r="H1386">
        <f>E1386*F1386*(1-G1386)</f>
        <v/>
      </c>
      <c r="I1386">
        <f>XLOOKUP(D1386,Products!$A$2:$A$15,Products!$B$2:$B$15,"Not found")</f>
        <v/>
      </c>
    </row>
    <row r="1387">
      <c r="A1387" t="n">
        <v>105706</v>
      </c>
      <c r="B1387" s="1" t="n">
        <v>45766</v>
      </c>
      <c r="C1387" t="inlineStr">
        <is>
          <t>S01</t>
        </is>
      </c>
      <c r="D1387" t="inlineStr">
        <is>
          <t>P201</t>
        </is>
      </c>
      <c r="E1387" t="n">
        <v>1</v>
      </c>
      <c r="F1387" t="n">
        <v>149</v>
      </c>
      <c r="G1387" t="n">
        <v>0</v>
      </c>
      <c r="H1387">
        <f>E1387*F1387*(1-G1387)</f>
        <v/>
      </c>
      <c r="I1387">
        <f>XLOOKUP(D1387,Products!$A$2:$A$15,Products!$B$2:$B$15,"Not found")</f>
        <v/>
      </c>
    </row>
    <row r="1388">
      <c r="A1388" t="n">
        <v>105707</v>
      </c>
      <c r="B1388" s="1" t="n">
        <v>45766</v>
      </c>
      <c r="C1388" t="inlineStr">
        <is>
          <t>S02</t>
        </is>
      </c>
      <c r="D1388" t="inlineStr">
        <is>
          <t>P203</t>
        </is>
      </c>
      <c r="E1388" t="n">
        <v>1</v>
      </c>
      <c r="F1388" t="n">
        <v>19.5</v>
      </c>
      <c r="G1388" t="n">
        <v>0.15</v>
      </c>
      <c r="H1388">
        <f>E1388*F1388*(1-G1388)</f>
        <v/>
      </c>
      <c r="I1388">
        <f>XLOOKUP(D1388,Products!$A$2:$A$15,Products!$B$2:$B$15,"Not found")</f>
        <v/>
      </c>
    </row>
    <row r="1389">
      <c r="A1389" t="n">
        <v>105708</v>
      </c>
      <c r="B1389" s="1" t="n">
        <v>45766</v>
      </c>
      <c r="C1389" t="inlineStr">
        <is>
          <t>S02</t>
        </is>
      </c>
      <c r="D1389" t="inlineStr">
        <is>
          <t>P301</t>
        </is>
      </c>
      <c r="E1389" t="n">
        <v>1</v>
      </c>
      <c r="F1389" t="n">
        <v>119</v>
      </c>
      <c r="G1389" t="n">
        <v>0.15</v>
      </c>
      <c r="H1389">
        <f>E1389*F1389*(1-G1389)</f>
        <v/>
      </c>
      <c r="I1389">
        <f>XLOOKUP(D1389,Products!$A$2:$A$15,Products!$B$2:$B$15,"Not found")</f>
        <v/>
      </c>
    </row>
    <row r="1390">
      <c r="A1390" t="n">
        <v>105709</v>
      </c>
      <c r="B1390" s="1" t="n">
        <v>45766</v>
      </c>
      <c r="C1390" t="inlineStr">
        <is>
          <t>S03</t>
        </is>
      </c>
      <c r="D1390" t="inlineStr">
        <is>
          <t>P201</t>
        </is>
      </c>
      <c r="E1390" t="n">
        <v>1</v>
      </c>
      <c r="F1390" t="n">
        <v>149</v>
      </c>
      <c r="G1390" t="n">
        <v>0.1</v>
      </c>
      <c r="H1390">
        <f>E1390*F1390*(1-G1390)</f>
        <v/>
      </c>
      <c r="I1390">
        <f>XLOOKUP(D1390,Products!$A$2:$A$15,Products!$B$2:$B$15,"Not found")</f>
        <v/>
      </c>
    </row>
    <row r="1391">
      <c r="A1391" t="n">
        <v>105710</v>
      </c>
      <c r="B1391" s="1" t="n">
        <v>45766</v>
      </c>
      <c r="C1391" t="inlineStr">
        <is>
          <t>S03</t>
        </is>
      </c>
      <c r="D1391" t="inlineStr">
        <is>
          <t>P302</t>
        </is>
      </c>
      <c r="E1391" t="n">
        <v>1</v>
      </c>
      <c r="F1391" t="n">
        <v>24</v>
      </c>
      <c r="G1391" t="n">
        <v>0</v>
      </c>
      <c r="H1391">
        <f>E1391*F1391*(1-G1391)</f>
        <v/>
      </c>
      <c r="I1391">
        <f>XLOOKUP(D1391,Products!$A$2:$A$15,Products!$B$2:$B$15,"Not found")</f>
        <v/>
      </c>
    </row>
    <row r="1392">
      <c r="A1392" t="n">
        <v>105711</v>
      </c>
      <c r="B1392" s="1" t="n">
        <v>45766</v>
      </c>
      <c r="C1392" t="inlineStr">
        <is>
          <t>S03</t>
        </is>
      </c>
      <c r="D1392" t="inlineStr">
        <is>
          <t>P101</t>
        </is>
      </c>
      <c r="E1392" t="n">
        <v>1</v>
      </c>
      <c r="F1392" t="n">
        <v>39</v>
      </c>
      <c r="G1392" t="n">
        <v>0.15</v>
      </c>
      <c r="H1392">
        <f>E1392*F1392*(1-G1392)</f>
        <v/>
      </c>
      <c r="I1392">
        <f>XLOOKUP(D1392,Products!$A$2:$A$15,Products!$B$2:$B$15,"Not found")</f>
        <v/>
      </c>
    </row>
    <row r="1393">
      <c r="A1393" t="n">
        <v>105712</v>
      </c>
      <c r="B1393" s="1" t="n">
        <v>45766</v>
      </c>
      <c r="C1393" t="inlineStr">
        <is>
          <t>S04</t>
        </is>
      </c>
      <c r="D1393" t="inlineStr">
        <is>
          <t>P203</t>
        </is>
      </c>
      <c r="E1393" t="n">
        <v>1</v>
      </c>
      <c r="F1393" t="n">
        <v>19.5</v>
      </c>
      <c r="G1393" t="n">
        <v>0.15</v>
      </c>
      <c r="H1393">
        <f>E1393*F1393*(1-G1393)</f>
        <v/>
      </c>
      <c r="I1393">
        <f>XLOOKUP(D1393,Products!$A$2:$A$15,Products!$B$2:$B$15,"Not found")</f>
        <v/>
      </c>
    </row>
    <row r="1394">
      <c r="A1394" t="n">
        <v>105713</v>
      </c>
      <c r="B1394" s="1" t="n">
        <v>45767</v>
      </c>
      <c r="C1394" t="inlineStr">
        <is>
          <t>S01</t>
        </is>
      </c>
      <c r="D1394" t="inlineStr">
        <is>
          <t>P201</t>
        </is>
      </c>
      <c r="E1394" t="n">
        <v>1</v>
      </c>
      <c r="F1394" t="n">
        <v>149</v>
      </c>
      <c r="G1394" t="n">
        <v>0.1</v>
      </c>
      <c r="H1394">
        <f>E1394*F1394*(1-G1394)</f>
        <v/>
      </c>
      <c r="I1394">
        <f>XLOOKUP(D1394,Products!$A$2:$A$15,Products!$B$2:$B$15,"Not found")</f>
        <v/>
      </c>
    </row>
    <row r="1395">
      <c r="A1395" t="n">
        <v>105714</v>
      </c>
      <c r="B1395" s="1" t="n">
        <v>45767</v>
      </c>
      <c r="C1395" t="inlineStr">
        <is>
          <t>S01</t>
        </is>
      </c>
      <c r="D1395" t="inlineStr">
        <is>
          <t>P303</t>
        </is>
      </c>
      <c r="E1395" t="n">
        <v>3</v>
      </c>
      <c r="F1395" t="n">
        <v>12</v>
      </c>
      <c r="G1395" t="n">
        <v>0</v>
      </c>
      <c r="H1395">
        <f>E1395*F1395*(1-G1395)</f>
        <v/>
      </c>
      <c r="I1395">
        <f>XLOOKUP(D1395,Products!$A$2:$A$15,Products!$B$2:$B$15,"Not found")</f>
        <v/>
      </c>
    </row>
    <row r="1396">
      <c r="A1396" t="n">
        <v>105715</v>
      </c>
      <c r="B1396" s="1" t="n">
        <v>45767</v>
      </c>
      <c r="C1396" t="inlineStr">
        <is>
          <t>S02</t>
        </is>
      </c>
      <c r="D1396" t="inlineStr">
        <is>
          <t>P201</t>
        </is>
      </c>
      <c r="E1396" t="n">
        <v>1</v>
      </c>
      <c r="F1396" t="n">
        <v>149</v>
      </c>
      <c r="G1396" t="n">
        <v>0</v>
      </c>
      <c r="H1396">
        <f>E1396*F1396*(1-G1396)</f>
        <v/>
      </c>
      <c r="I1396">
        <f>XLOOKUP(D1396,Products!$A$2:$A$15,Products!$B$2:$B$15,"Not found")</f>
        <v/>
      </c>
    </row>
    <row r="1397">
      <c r="A1397" t="n">
        <v>105716</v>
      </c>
      <c r="B1397" s="1" t="n">
        <v>45767</v>
      </c>
      <c r="C1397" t="inlineStr">
        <is>
          <t>S04</t>
        </is>
      </c>
      <c r="D1397" t="inlineStr">
        <is>
          <t>P301</t>
        </is>
      </c>
      <c r="E1397" t="n">
        <v>1</v>
      </c>
      <c r="F1397" t="n">
        <v>119</v>
      </c>
      <c r="G1397" t="n">
        <v>0.15</v>
      </c>
      <c r="H1397">
        <f>E1397*F1397*(1-G1397)</f>
        <v/>
      </c>
      <c r="I1397">
        <f>XLOOKUP(D1397,Products!$A$2:$A$15,Products!$B$2:$B$15,"Not found")</f>
        <v/>
      </c>
    </row>
    <row r="1398">
      <c r="A1398" t="n">
        <v>105717</v>
      </c>
      <c r="B1398" s="1" t="n">
        <v>45767</v>
      </c>
      <c r="C1398" t="inlineStr">
        <is>
          <t>S04</t>
        </is>
      </c>
      <c r="D1398" t="inlineStr">
        <is>
          <t>P203</t>
        </is>
      </c>
      <c r="E1398" t="n">
        <v>2</v>
      </c>
      <c r="F1398" t="n">
        <v>19.5</v>
      </c>
      <c r="G1398" t="n">
        <v>0</v>
      </c>
      <c r="H1398">
        <f>E1398*F1398*(1-G1398)</f>
        <v/>
      </c>
      <c r="I1398">
        <f>XLOOKUP(D1398,Products!$A$2:$A$15,Products!$B$2:$B$15,"Not found")</f>
        <v/>
      </c>
    </row>
    <row r="1399">
      <c r="A1399" t="n">
        <v>105718</v>
      </c>
      <c r="B1399" s="1" t="n">
        <v>45767</v>
      </c>
      <c r="C1399" t="inlineStr">
        <is>
          <t>S06</t>
        </is>
      </c>
      <c r="D1399" t="inlineStr">
        <is>
          <t>P301</t>
        </is>
      </c>
      <c r="E1399" t="n">
        <v>1</v>
      </c>
      <c r="F1399" t="n">
        <v>119</v>
      </c>
      <c r="G1399" t="n">
        <v>0.1</v>
      </c>
      <c r="H1399">
        <f>E1399*F1399*(1-G1399)</f>
        <v/>
      </c>
      <c r="I1399">
        <f>XLOOKUP(D1399,Products!$A$2:$A$15,Products!$B$2:$B$15,"Not found")</f>
        <v/>
      </c>
    </row>
    <row r="1400">
      <c r="A1400" t="n">
        <v>105719</v>
      </c>
      <c r="B1400" s="1" t="n">
        <v>45768</v>
      </c>
      <c r="C1400" t="inlineStr">
        <is>
          <t>S01</t>
        </is>
      </c>
      <c r="D1400" t="inlineStr">
        <is>
          <t>P103</t>
        </is>
      </c>
      <c r="E1400" t="n">
        <v>4</v>
      </c>
      <c r="F1400" t="n">
        <v>29</v>
      </c>
      <c r="G1400" t="n">
        <v>0.2</v>
      </c>
      <c r="H1400">
        <f>E1400*F1400*(1-G1400)</f>
        <v/>
      </c>
      <c r="I1400">
        <f>XLOOKUP(D1400,Products!$A$2:$A$15,Products!$B$2:$B$15,"Not found")</f>
        <v/>
      </c>
    </row>
    <row r="1401">
      <c r="A1401" t="n">
        <v>105720</v>
      </c>
      <c r="B1401" s="1" t="n">
        <v>45768</v>
      </c>
      <c r="C1401" t="inlineStr">
        <is>
          <t>S01</t>
        </is>
      </c>
      <c r="D1401" t="inlineStr">
        <is>
          <t>P303</t>
        </is>
      </c>
      <c r="E1401" t="n">
        <v>2</v>
      </c>
      <c r="F1401" t="n">
        <v>12</v>
      </c>
      <c r="G1401" t="n">
        <v>0</v>
      </c>
      <c r="H1401">
        <f>E1401*F1401*(1-G1401)</f>
        <v/>
      </c>
      <c r="I1401">
        <f>XLOOKUP(D1401,Products!$A$2:$A$15,Products!$B$2:$B$15,"Not found")</f>
        <v/>
      </c>
    </row>
    <row r="1402">
      <c r="A1402" t="n">
        <v>105721</v>
      </c>
      <c r="B1402" s="1" t="n">
        <v>45768</v>
      </c>
      <c r="C1402" t="inlineStr">
        <is>
          <t>S01</t>
        </is>
      </c>
      <c r="D1402" t="inlineStr">
        <is>
          <t>P203</t>
        </is>
      </c>
      <c r="E1402" t="n">
        <v>3</v>
      </c>
      <c r="F1402" t="n">
        <v>19.5</v>
      </c>
      <c r="G1402" t="n">
        <v>0</v>
      </c>
      <c r="H1402">
        <f>E1402*F1402*(1-G1402)</f>
        <v/>
      </c>
      <c r="I1402">
        <f>XLOOKUP(D1402,Products!$A$2:$A$15,Products!$B$2:$B$15,"Not found")</f>
        <v/>
      </c>
    </row>
    <row r="1403">
      <c r="A1403" t="n">
        <v>105722</v>
      </c>
      <c r="B1403" s="1" t="n">
        <v>45768</v>
      </c>
      <c r="C1403" t="inlineStr">
        <is>
          <t>S01</t>
        </is>
      </c>
      <c r="D1403" t="inlineStr">
        <is>
          <t>P102</t>
        </is>
      </c>
      <c r="E1403" t="n">
        <v>1</v>
      </c>
      <c r="F1403" t="n">
        <v>14.5</v>
      </c>
      <c r="G1403" t="n">
        <v>0</v>
      </c>
      <c r="H1403">
        <f>E1403*F1403*(1-G1403)</f>
        <v/>
      </c>
      <c r="I1403">
        <f>XLOOKUP(D1403,Products!$A$2:$A$15,Products!$B$2:$B$15,"Not found")</f>
        <v/>
      </c>
    </row>
    <row r="1404">
      <c r="A1404" t="n">
        <v>105723</v>
      </c>
      <c r="B1404" s="1" t="n">
        <v>45768</v>
      </c>
      <c r="C1404" t="inlineStr">
        <is>
          <t>S02</t>
        </is>
      </c>
      <c r="D1404" t="inlineStr">
        <is>
          <t>P101</t>
        </is>
      </c>
      <c r="E1404" t="n">
        <v>4</v>
      </c>
      <c r="F1404" t="n">
        <v>39</v>
      </c>
      <c r="G1404" t="n">
        <v>0.1</v>
      </c>
      <c r="H1404">
        <f>E1404*F1404*(1-G1404)</f>
        <v/>
      </c>
      <c r="I1404">
        <f>XLOOKUP(D1404,Products!$A$2:$A$15,Products!$B$2:$B$15,"Not found")</f>
        <v/>
      </c>
    </row>
    <row r="1405">
      <c r="A1405" t="n">
        <v>105724</v>
      </c>
      <c r="B1405" s="1" t="n">
        <v>45768</v>
      </c>
      <c r="C1405" t="inlineStr">
        <is>
          <t>S03</t>
        </is>
      </c>
      <c r="D1405" t="inlineStr">
        <is>
          <t>P202</t>
        </is>
      </c>
      <c r="E1405" t="n">
        <v>1</v>
      </c>
      <c r="F1405" t="n">
        <v>79</v>
      </c>
      <c r="G1405" t="n">
        <v>0</v>
      </c>
      <c r="H1405">
        <f>E1405*F1405*(1-G1405)</f>
        <v/>
      </c>
      <c r="I1405">
        <f>XLOOKUP(D1405,Products!$A$2:$A$15,Products!$B$2:$B$15,"Not found")</f>
        <v/>
      </c>
    </row>
    <row r="1406">
      <c r="A1406" t="n">
        <v>105725</v>
      </c>
      <c r="B1406" s="1" t="n">
        <v>45768</v>
      </c>
      <c r="C1406" t="inlineStr">
        <is>
          <t>S04</t>
        </is>
      </c>
      <c r="D1406" t="inlineStr">
        <is>
          <t>P101</t>
        </is>
      </c>
      <c r="E1406" t="n">
        <v>3</v>
      </c>
      <c r="F1406" t="n">
        <v>39</v>
      </c>
      <c r="G1406" t="n">
        <v>0</v>
      </c>
      <c r="H1406">
        <f>E1406*F1406*(1-G1406)</f>
        <v/>
      </c>
      <c r="I1406">
        <f>XLOOKUP(D1406,Products!$A$2:$A$15,Products!$B$2:$B$15,"Not found")</f>
        <v/>
      </c>
    </row>
    <row r="1407">
      <c r="A1407" t="n">
        <v>105726</v>
      </c>
      <c r="B1407" s="1" t="n">
        <v>45768</v>
      </c>
      <c r="C1407" t="inlineStr">
        <is>
          <t>S04</t>
        </is>
      </c>
      <c r="D1407" t="inlineStr">
        <is>
          <t>P104</t>
        </is>
      </c>
      <c r="E1407" t="n">
        <v>1</v>
      </c>
      <c r="F1407" t="n">
        <v>189</v>
      </c>
      <c r="G1407" t="n">
        <v>0</v>
      </c>
      <c r="H1407">
        <f>E1407*F1407*(1-G1407)</f>
        <v/>
      </c>
      <c r="I1407">
        <f>XLOOKUP(D1407,Products!$A$2:$A$15,Products!$B$2:$B$15,"Not found")</f>
        <v/>
      </c>
    </row>
    <row r="1408">
      <c r="A1408" t="n">
        <v>105727</v>
      </c>
      <c r="B1408" s="1" t="n">
        <v>45768</v>
      </c>
      <c r="C1408" t="inlineStr">
        <is>
          <t>S05</t>
        </is>
      </c>
      <c r="D1408" t="inlineStr">
        <is>
          <t>P203</t>
        </is>
      </c>
      <c r="E1408" t="n">
        <v>1</v>
      </c>
      <c r="F1408" t="n">
        <v>19.5</v>
      </c>
      <c r="G1408" t="n">
        <v>0</v>
      </c>
      <c r="H1408">
        <f>E1408*F1408*(1-G1408)</f>
        <v/>
      </c>
      <c r="I1408">
        <f>XLOOKUP(D1408,Products!$A$2:$A$15,Products!$B$2:$B$15,"Not found")</f>
        <v/>
      </c>
    </row>
    <row r="1409">
      <c r="A1409" t="n">
        <v>105728</v>
      </c>
      <c r="B1409" s="1" t="n">
        <v>45768</v>
      </c>
      <c r="C1409" t="inlineStr">
        <is>
          <t>S05</t>
        </is>
      </c>
      <c r="D1409" t="inlineStr">
        <is>
          <t>P201</t>
        </is>
      </c>
      <c r="E1409" t="n">
        <v>1</v>
      </c>
      <c r="F1409" t="n">
        <v>149</v>
      </c>
      <c r="G1409" t="n">
        <v>0</v>
      </c>
      <c r="H1409">
        <f>E1409*F1409*(1-G1409)</f>
        <v/>
      </c>
      <c r="I1409">
        <f>XLOOKUP(D1409,Products!$A$2:$A$15,Products!$B$2:$B$15,"Not found")</f>
        <v/>
      </c>
    </row>
    <row r="1410">
      <c r="A1410" t="n">
        <v>105729</v>
      </c>
      <c r="B1410" s="1" t="n">
        <v>45768</v>
      </c>
      <c r="C1410" t="inlineStr">
        <is>
          <t>S05</t>
        </is>
      </c>
      <c r="D1410" t="inlineStr">
        <is>
          <t>P301</t>
        </is>
      </c>
      <c r="E1410" t="n">
        <v>1</v>
      </c>
      <c r="F1410" t="n">
        <v>119</v>
      </c>
      <c r="G1410" t="n">
        <v>0</v>
      </c>
      <c r="H1410">
        <f>E1410*F1410*(1-G1410)</f>
        <v/>
      </c>
      <c r="I1410">
        <f>XLOOKUP(D1410,Products!$A$2:$A$15,Products!$B$2:$B$15,"Not found")</f>
        <v/>
      </c>
    </row>
    <row r="1411">
      <c r="A1411" t="n">
        <v>105730</v>
      </c>
      <c r="B1411" s="1" t="n">
        <v>45769</v>
      </c>
      <c r="C1411" t="inlineStr">
        <is>
          <t>S01</t>
        </is>
      </c>
      <c r="D1411" t="inlineStr">
        <is>
          <t>P301</t>
        </is>
      </c>
      <c r="E1411" t="n">
        <v>1</v>
      </c>
      <c r="F1411" t="n">
        <v>119</v>
      </c>
      <c r="G1411" t="n">
        <v>0</v>
      </c>
      <c r="H1411">
        <f>E1411*F1411*(1-G1411)</f>
        <v/>
      </c>
      <c r="I1411">
        <f>XLOOKUP(D1411,Products!$A$2:$A$15,Products!$B$2:$B$15,"Not found")</f>
        <v/>
      </c>
    </row>
    <row r="1412">
      <c r="A1412" t="n">
        <v>105731</v>
      </c>
      <c r="B1412" s="1" t="n">
        <v>45769</v>
      </c>
      <c r="C1412" t="inlineStr">
        <is>
          <t>S01</t>
        </is>
      </c>
      <c r="D1412" t="inlineStr">
        <is>
          <t>P202</t>
        </is>
      </c>
      <c r="E1412" t="n">
        <v>1</v>
      </c>
      <c r="F1412" t="n">
        <v>79</v>
      </c>
      <c r="G1412" t="n">
        <v>0</v>
      </c>
      <c r="H1412">
        <f>E1412*F1412*(1-G1412)</f>
        <v/>
      </c>
      <c r="I1412">
        <f>XLOOKUP(D1412,Products!$A$2:$A$15,Products!$B$2:$B$15,"Not found")</f>
        <v/>
      </c>
    </row>
    <row r="1413">
      <c r="A1413" t="n">
        <v>105732</v>
      </c>
      <c r="B1413" s="1" t="n">
        <v>45769</v>
      </c>
      <c r="C1413" t="inlineStr">
        <is>
          <t>S01</t>
        </is>
      </c>
      <c r="D1413" t="inlineStr">
        <is>
          <t>P301</t>
        </is>
      </c>
      <c r="E1413" t="n">
        <v>1</v>
      </c>
      <c r="F1413" t="n">
        <v>119</v>
      </c>
      <c r="G1413" t="n">
        <v>0.1</v>
      </c>
      <c r="H1413">
        <f>E1413*F1413*(1-G1413)</f>
        <v/>
      </c>
      <c r="I1413">
        <f>XLOOKUP(D1413,Products!$A$2:$A$15,Products!$B$2:$B$15,"Not found")</f>
        <v/>
      </c>
    </row>
    <row r="1414">
      <c r="A1414" t="n">
        <v>105733</v>
      </c>
      <c r="B1414" s="1" t="n">
        <v>45769</v>
      </c>
      <c r="C1414" t="inlineStr">
        <is>
          <t>S01</t>
        </is>
      </c>
      <c r="D1414" t="inlineStr">
        <is>
          <t>P102</t>
        </is>
      </c>
      <c r="E1414" t="n">
        <v>3</v>
      </c>
      <c r="F1414" t="n">
        <v>14.5</v>
      </c>
      <c r="G1414" t="n">
        <v>0</v>
      </c>
      <c r="H1414">
        <f>E1414*F1414*(1-G1414)</f>
        <v/>
      </c>
      <c r="I1414">
        <f>XLOOKUP(D1414,Products!$A$2:$A$15,Products!$B$2:$B$15,"Not found")</f>
        <v/>
      </c>
    </row>
    <row r="1415">
      <c r="A1415" t="n">
        <v>105734</v>
      </c>
      <c r="B1415" s="1" t="n">
        <v>45769</v>
      </c>
      <c r="C1415" t="inlineStr">
        <is>
          <t>S02</t>
        </is>
      </c>
      <c r="D1415" t="inlineStr">
        <is>
          <t>P303</t>
        </is>
      </c>
      <c r="E1415" t="n">
        <v>2</v>
      </c>
      <c r="F1415" t="n">
        <v>12</v>
      </c>
      <c r="G1415" t="n">
        <v>0</v>
      </c>
      <c r="H1415">
        <f>E1415*F1415*(1-G1415)</f>
        <v/>
      </c>
      <c r="I1415">
        <f>XLOOKUP(D1415,Products!$A$2:$A$15,Products!$B$2:$B$15,"Not found")</f>
        <v/>
      </c>
    </row>
    <row r="1416">
      <c r="A1416" t="n">
        <v>105735</v>
      </c>
      <c r="B1416" s="1" t="n">
        <v>45769</v>
      </c>
      <c r="C1416" t="inlineStr">
        <is>
          <t>S05</t>
        </is>
      </c>
      <c r="D1416" t="inlineStr">
        <is>
          <t>P104</t>
        </is>
      </c>
      <c r="E1416" t="n">
        <v>1</v>
      </c>
      <c r="F1416" t="n">
        <v>189</v>
      </c>
      <c r="G1416" t="n">
        <v>0.2</v>
      </c>
      <c r="H1416">
        <f>E1416*F1416*(1-G1416)</f>
        <v/>
      </c>
      <c r="I1416">
        <f>XLOOKUP(D1416,Products!$A$2:$A$15,Products!$B$2:$B$15,"Not found")</f>
        <v/>
      </c>
    </row>
    <row r="1417">
      <c r="A1417" t="n">
        <v>105736</v>
      </c>
      <c r="B1417" s="1" t="n">
        <v>45769</v>
      </c>
      <c r="C1417" t="inlineStr">
        <is>
          <t>S05</t>
        </is>
      </c>
      <c r="D1417" t="inlineStr">
        <is>
          <t>P103</t>
        </is>
      </c>
      <c r="E1417" t="n">
        <v>1</v>
      </c>
      <c r="F1417" t="n">
        <v>29</v>
      </c>
      <c r="G1417" t="n">
        <v>0</v>
      </c>
      <c r="H1417">
        <f>E1417*F1417*(1-G1417)</f>
        <v/>
      </c>
      <c r="I1417">
        <f>XLOOKUP(D1417,Products!$A$2:$A$15,Products!$B$2:$B$15,"Not found")</f>
        <v/>
      </c>
    </row>
    <row r="1418">
      <c r="A1418" t="n">
        <v>105737</v>
      </c>
      <c r="B1418" s="1" t="n">
        <v>45770</v>
      </c>
      <c r="C1418" t="inlineStr">
        <is>
          <t>S01</t>
        </is>
      </c>
      <c r="D1418" t="inlineStr">
        <is>
          <t>P403</t>
        </is>
      </c>
      <c r="E1418" t="n">
        <v>1</v>
      </c>
      <c r="F1418" t="n">
        <v>89</v>
      </c>
      <c r="G1418" t="n">
        <v>0</v>
      </c>
      <c r="H1418">
        <f>E1418*F1418*(1-G1418)</f>
        <v/>
      </c>
      <c r="I1418">
        <f>XLOOKUP(D1418,Products!$A$2:$A$15,Products!$B$2:$B$15,"Not found")</f>
        <v/>
      </c>
    </row>
    <row r="1419">
      <c r="A1419" t="n">
        <v>105738</v>
      </c>
      <c r="B1419" s="1" t="n">
        <v>45770</v>
      </c>
      <c r="C1419" t="inlineStr">
        <is>
          <t>S01</t>
        </is>
      </c>
      <c r="D1419" t="inlineStr">
        <is>
          <t>P101</t>
        </is>
      </c>
      <c r="E1419" t="n">
        <v>1</v>
      </c>
      <c r="F1419" t="n">
        <v>39</v>
      </c>
      <c r="G1419" t="n">
        <v>0.1</v>
      </c>
      <c r="H1419">
        <f>E1419*F1419*(1-G1419)</f>
        <v/>
      </c>
      <c r="I1419">
        <f>XLOOKUP(D1419,Products!$A$2:$A$15,Products!$B$2:$B$15,"Not found")</f>
        <v/>
      </c>
    </row>
    <row r="1420">
      <c r="A1420" t="n">
        <v>105739</v>
      </c>
      <c r="B1420" s="1" t="n">
        <v>45770</v>
      </c>
      <c r="C1420" t="inlineStr">
        <is>
          <t>S03</t>
        </is>
      </c>
      <c r="D1420" t="inlineStr">
        <is>
          <t>P103</t>
        </is>
      </c>
      <c r="E1420" t="n">
        <v>2</v>
      </c>
      <c r="F1420" t="n">
        <v>29</v>
      </c>
      <c r="G1420" t="n">
        <v>0.15</v>
      </c>
      <c r="H1420">
        <f>E1420*F1420*(1-G1420)</f>
        <v/>
      </c>
      <c r="I1420">
        <f>XLOOKUP(D1420,Products!$A$2:$A$15,Products!$B$2:$B$15,"Not found")</f>
        <v/>
      </c>
    </row>
    <row r="1421">
      <c r="A1421" t="n">
        <v>105740</v>
      </c>
      <c r="B1421" s="1" t="n">
        <v>45770</v>
      </c>
      <c r="C1421" t="inlineStr">
        <is>
          <t>S04</t>
        </is>
      </c>
      <c r="D1421" t="inlineStr">
        <is>
          <t>P103</t>
        </is>
      </c>
      <c r="E1421" t="n">
        <v>3</v>
      </c>
      <c r="F1421" t="n">
        <v>29</v>
      </c>
      <c r="G1421" t="n">
        <v>0.1</v>
      </c>
      <c r="H1421">
        <f>E1421*F1421*(1-G1421)</f>
        <v/>
      </c>
      <c r="I1421">
        <f>XLOOKUP(D1421,Products!$A$2:$A$15,Products!$B$2:$B$15,"Not found")</f>
        <v/>
      </c>
    </row>
    <row r="1422">
      <c r="A1422" t="n">
        <v>105741</v>
      </c>
      <c r="B1422" s="1" t="n">
        <v>45771</v>
      </c>
      <c r="C1422" t="inlineStr">
        <is>
          <t>S02</t>
        </is>
      </c>
      <c r="D1422" t="inlineStr">
        <is>
          <t>P103</t>
        </is>
      </c>
      <c r="E1422" t="n">
        <v>1</v>
      </c>
      <c r="F1422" t="n">
        <v>29</v>
      </c>
      <c r="G1422" t="n">
        <v>0</v>
      </c>
      <c r="H1422">
        <f>E1422*F1422*(1-G1422)</f>
        <v/>
      </c>
      <c r="I1422">
        <f>XLOOKUP(D1422,Products!$A$2:$A$15,Products!$B$2:$B$15,"Not found")</f>
        <v/>
      </c>
    </row>
    <row r="1423">
      <c r="A1423" t="n">
        <v>105742</v>
      </c>
      <c r="B1423" s="1" t="n">
        <v>45771</v>
      </c>
      <c r="C1423" t="inlineStr">
        <is>
          <t>S02</t>
        </is>
      </c>
      <c r="D1423" t="inlineStr">
        <is>
          <t>P303</t>
        </is>
      </c>
      <c r="E1423" t="n">
        <v>2</v>
      </c>
      <c r="F1423" t="n">
        <v>12</v>
      </c>
      <c r="G1423" t="n">
        <v>0.15</v>
      </c>
      <c r="H1423">
        <f>E1423*F1423*(1-G1423)</f>
        <v/>
      </c>
      <c r="I1423">
        <f>XLOOKUP(D1423,Products!$A$2:$A$15,Products!$B$2:$B$15,"Not found")</f>
        <v/>
      </c>
    </row>
    <row r="1424">
      <c r="A1424" t="n">
        <v>105743</v>
      </c>
      <c r="B1424" s="1" t="n">
        <v>45771</v>
      </c>
      <c r="C1424" t="inlineStr">
        <is>
          <t>S02</t>
        </is>
      </c>
      <c r="D1424" t="inlineStr">
        <is>
          <t>P102</t>
        </is>
      </c>
      <c r="E1424" t="n">
        <v>1</v>
      </c>
      <c r="F1424" t="n">
        <v>14.5</v>
      </c>
      <c r="G1424" t="n">
        <v>0.15</v>
      </c>
      <c r="H1424">
        <f>E1424*F1424*(1-G1424)</f>
        <v/>
      </c>
      <c r="I1424">
        <f>XLOOKUP(D1424,Products!$A$2:$A$15,Products!$B$2:$B$15,"Not found")</f>
        <v/>
      </c>
    </row>
    <row r="1425">
      <c r="A1425" t="n">
        <v>105744</v>
      </c>
      <c r="B1425" s="1" t="n">
        <v>45771</v>
      </c>
      <c r="C1425" t="inlineStr">
        <is>
          <t>S06</t>
        </is>
      </c>
      <c r="D1425" t="inlineStr">
        <is>
          <t>P104</t>
        </is>
      </c>
      <c r="E1425" t="n">
        <v>1</v>
      </c>
      <c r="F1425" t="n">
        <v>189</v>
      </c>
      <c r="G1425" t="n">
        <v>0</v>
      </c>
      <c r="H1425">
        <f>E1425*F1425*(1-G1425)</f>
        <v/>
      </c>
      <c r="I1425">
        <f>XLOOKUP(D1425,Products!$A$2:$A$15,Products!$B$2:$B$15,"Not found")</f>
        <v/>
      </c>
    </row>
    <row r="1426">
      <c r="A1426" t="n">
        <v>105745</v>
      </c>
      <c r="B1426" s="1" t="n">
        <v>45771</v>
      </c>
      <c r="C1426" t="inlineStr">
        <is>
          <t>S06</t>
        </is>
      </c>
      <c r="D1426" t="inlineStr">
        <is>
          <t>P303</t>
        </is>
      </c>
      <c r="E1426" t="n">
        <v>1</v>
      </c>
      <c r="F1426" t="n">
        <v>12</v>
      </c>
      <c r="G1426" t="n">
        <v>0.2</v>
      </c>
      <c r="H1426">
        <f>E1426*F1426*(1-G1426)</f>
        <v/>
      </c>
      <c r="I1426">
        <f>XLOOKUP(D1426,Products!$A$2:$A$15,Products!$B$2:$B$15,"Not found")</f>
        <v/>
      </c>
    </row>
    <row r="1427">
      <c r="A1427" t="n">
        <v>105746</v>
      </c>
      <c r="B1427" s="1" t="n">
        <v>45772</v>
      </c>
      <c r="C1427" t="inlineStr">
        <is>
          <t>S01</t>
        </is>
      </c>
      <c r="D1427" t="inlineStr">
        <is>
          <t>P203</t>
        </is>
      </c>
      <c r="E1427" t="n">
        <v>4</v>
      </c>
      <c r="F1427" t="n">
        <v>19.5</v>
      </c>
      <c r="G1427" t="n">
        <v>0.2</v>
      </c>
      <c r="H1427">
        <f>E1427*F1427*(1-G1427)</f>
        <v/>
      </c>
      <c r="I1427">
        <f>XLOOKUP(D1427,Products!$A$2:$A$15,Products!$B$2:$B$15,"Not found")</f>
        <v/>
      </c>
    </row>
    <row r="1428">
      <c r="A1428" t="n">
        <v>105747</v>
      </c>
      <c r="B1428" s="1" t="n">
        <v>45772</v>
      </c>
      <c r="C1428" t="inlineStr">
        <is>
          <t>S01</t>
        </is>
      </c>
      <c r="D1428" t="inlineStr">
        <is>
          <t>P102</t>
        </is>
      </c>
      <c r="E1428" t="n">
        <v>1</v>
      </c>
      <c r="F1428" t="n">
        <v>14.5</v>
      </c>
      <c r="G1428" t="n">
        <v>0</v>
      </c>
      <c r="H1428">
        <f>E1428*F1428*(1-G1428)</f>
        <v/>
      </c>
      <c r="I1428">
        <f>XLOOKUP(D1428,Products!$A$2:$A$15,Products!$B$2:$B$15,"Not found")</f>
        <v/>
      </c>
    </row>
    <row r="1429">
      <c r="A1429" t="n">
        <v>105748</v>
      </c>
      <c r="B1429" s="1" t="n">
        <v>45772</v>
      </c>
      <c r="C1429" t="inlineStr">
        <is>
          <t>S01</t>
        </is>
      </c>
      <c r="D1429" t="inlineStr">
        <is>
          <t>P101</t>
        </is>
      </c>
      <c r="E1429" t="n">
        <v>2</v>
      </c>
      <c r="F1429" t="n">
        <v>39</v>
      </c>
      <c r="G1429" t="n">
        <v>0.1</v>
      </c>
      <c r="H1429">
        <f>E1429*F1429*(1-G1429)</f>
        <v/>
      </c>
      <c r="I1429">
        <f>XLOOKUP(D1429,Products!$A$2:$A$15,Products!$B$2:$B$15,"Not found")</f>
        <v/>
      </c>
    </row>
    <row r="1430">
      <c r="A1430" t="n">
        <v>105749</v>
      </c>
      <c r="B1430" s="1" t="n">
        <v>45772</v>
      </c>
      <c r="C1430" t="inlineStr">
        <is>
          <t>S02</t>
        </is>
      </c>
      <c r="D1430" t="inlineStr">
        <is>
          <t>P203</t>
        </is>
      </c>
      <c r="E1430" t="n">
        <v>1</v>
      </c>
      <c r="F1430" t="n">
        <v>19.5</v>
      </c>
      <c r="G1430" t="n">
        <v>0.2</v>
      </c>
      <c r="H1430">
        <f>E1430*F1430*(1-G1430)</f>
        <v/>
      </c>
      <c r="I1430">
        <f>XLOOKUP(D1430,Products!$A$2:$A$15,Products!$B$2:$B$15,"Not found")</f>
        <v/>
      </c>
    </row>
    <row r="1431">
      <c r="A1431" t="n">
        <v>105750</v>
      </c>
      <c r="B1431" s="1" t="n">
        <v>45772</v>
      </c>
      <c r="C1431" t="inlineStr">
        <is>
          <t>S02</t>
        </is>
      </c>
      <c r="D1431" t="inlineStr">
        <is>
          <t>P103</t>
        </is>
      </c>
      <c r="E1431" t="n">
        <v>1</v>
      </c>
      <c r="F1431" t="n">
        <v>29</v>
      </c>
      <c r="G1431" t="n">
        <v>0</v>
      </c>
      <c r="H1431">
        <f>E1431*F1431*(1-G1431)</f>
        <v/>
      </c>
      <c r="I1431">
        <f>XLOOKUP(D1431,Products!$A$2:$A$15,Products!$B$2:$B$15,"Not found")</f>
        <v/>
      </c>
    </row>
    <row r="1432">
      <c r="A1432" t="n">
        <v>105751</v>
      </c>
      <c r="B1432" s="1" t="n">
        <v>45772</v>
      </c>
      <c r="C1432" t="inlineStr">
        <is>
          <t>S03</t>
        </is>
      </c>
      <c r="D1432" t="inlineStr">
        <is>
          <t>P102</t>
        </is>
      </c>
      <c r="E1432" t="n">
        <v>2</v>
      </c>
      <c r="F1432" t="n">
        <v>14.5</v>
      </c>
      <c r="G1432" t="n">
        <v>0</v>
      </c>
      <c r="H1432">
        <f>E1432*F1432*(1-G1432)</f>
        <v/>
      </c>
      <c r="I1432">
        <f>XLOOKUP(D1432,Products!$A$2:$A$15,Products!$B$2:$B$15,"Not found")</f>
        <v/>
      </c>
    </row>
    <row r="1433">
      <c r="A1433" t="n">
        <v>105752</v>
      </c>
      <c r="B1433" s="1" t="n">
        <v>45772</v>
      </c>
      <c r="C1433" t="inlineStr">
        <is>
          <t>S04</t>
        </is>
      </c>
      <c r="D1433" t="inlineStr">
        <is>
          <t>P202</t>
        </is>
      </c>
      <c r="E1433" t="n">
        <v>1</v>
      </c>
      <c r="F1433" t="n">
        <v>79</v>
      </c>
      <c r="G1433" t="n">
        <v>0.1</v>
      </c>
      <c r="H1433">
        <f>E1433*F1433*(1-G1433)</f>
        <v/>
      </c>
      <c r="I1433">
        <f>XLOOKUP(D1433,Products!$A$2:$A$15,Products!$B$2:$B$15,"Not found")</f>
        <v/>
      </c>
    </row>
    <row r="1434">
      <c r="A1434" t="n">
        <v>105753</v>
      </c>
      <c r="B1434" s="1" t="n">
        <v>45772</v>
      </c>
      <c r="C1434" t="inlineStr">
        <is>
          <t>S06</t>
        </is>
      </c>
      <c r="D1434" t="inlineStr">
        <is>
          <t>P301</t>
        </is>
      </c>
      <c r="E1434" t="n">
        <v>1</v>
      </c>
      <c r="F1434" t="n">
        <v>119</v>
      </c>
      <c r="G1434" t="n">
        <v>0</v>
      </c>
      <c r="H1434">
        <f>E1434*F1434*(1-G1434)</f>
        <v/>
      </c>
      <c r="I1434">
        <f>XLOOKUP(D1434,Products!$A$2:$A$15,Products!$B$2:$B$15,"Not found")</f>
        <v/>
      </c>
    </row>
    <row r="1435">
      <c r="A1435" t="n">
        <v>105754</v>
      </c>
      <c r="B1435" s="1" t="n">
        <v>45773</v>
      </c>
      <c r="C1435" t="inlineStr">
        <is>
          <t>S01</t>
        </is>
      </c>
      <c r="D1435" t="inlineStr">
        <is>
          <t>P102</t>
        </is>
      </c>
      <c r="E1435" t="n">
        <v>1</v>
      </c>
      <c r="F1435" t="n">
        <v>14.5</v>
      </c>
      <c r="G1435" t="n">
        <v>0.15</v>
      </c>
      <c r="H1435">
        <f>E1435*F1435*(1-G1435)</f>
        <v/>
      </c>
      <c r="I1435">
        <f>XLOOKUP(D1435,Products!$A$2:$A$15,Products!$B$2:$B$15,"Not found")</f>
        <v/>
      </c>
    </row>
    <row r="1436">
      <c r="A1436" t="n">
        <v>105755</v>
      </c>
      <c r="B1436" s="1" t="n">
        <v>45773</v>
      </c>
      <c r="C1436" t="inlineStr">
        <is>
          <t>S01</t>
        </is>
      </c>
      <c r="D1436" t="inlineStr">
        <is>
          <t>P101</t>
        </is>
      </c>
      <c r="E1436" t="n">
        <v>4</v>
      </c>
      <c r="F1436" t="n">
        <v>39</v>
      </c>
      <c r="G1436" t="n">
        <v>0</v>
      </c>
      <c r="H1436">
        <f>E1436*F1436*(1-G1436)</f>
        <v/>
      </c>
      <c r="I1436">
        <f>XLOOKUP(D1436,Products!$A$2:$A$15,Products!$B$2:$B$15,"Not found")</f>
        <v/>
      </c>
    </row>
    <row r="1437">
      <c r="A1437" t="n">
        <v>105756</v>
      </c>
      <c r="B1437" s="1" t="n">
        <v>45773</v>
      </c>
      <c r="C1437" t="inlineStr">
        <is>
          <t>S01</t>
        </is>
      </c>
      <c r="D1437" t="inlineStr">
        <is>
          <t>P201</t>
        </is>
      </c>
      <c r="E1437" t="n">
        <v>1</v>
      </c>
      <c r="F1437" t="n">
        <v>149</v>
      </c>
      <c r="G1437" t="n">
        <v>0</v>
      </c>
      <c r="H1437">
        <f>E1437*F1437*(1-G1437)</f>
        <v/>
      </c>
      <c r="I1437">
        <f>XLOOKUP(D1437,Products!$A$2:$A$15,Products!$B$2:$B$15,"Not found")</f>
        <v/>
      </c>
    </row>
    <row r="1438">
      <c r="A1438" t="n">
        <v>105757</v>
      </c>
      <c r="B1438" s="1" t="n">
        <v>45773</v>
      </c>
      <c r="C1438" t="inlineStr">
        <is>
          <t>S01</t>
        </is>
      </c>
      <c r="D1438" t="inlineStr">
        <is>
          <t>P102</t>
        </is>
      </c>
      <c r="E1438" t="n">
        <v>1</v>
      </c>
      <c r="F1438" t="n">
        <v>14.5</v>
      </c>
      <c r="G1438" t="n">
        <v>0</v>
      </c>
      <c r="H1438">
        <f>E1438*F1438*(1-G1438)</f>
        <v/>
      </c>
      <c r="I1438">
        <f>XLOOKUP(D1438,Products!$A$2:$A$15,Products!$B$2:$B$15,"Not found")</f>
        <v/>
      </c>
    </row>
    <row r="1439">
      <c r="A1439" t="n">
        <v>105758</v>
      </c>
      <c r="B1439" s="1" t="n">
        <v>45773</v>
      </c>
      <c r="C1439" t="inlineStr">
        <is>
          <t>S03</t>
        </is>
      </c>
      <c r="D1439" t="inlineStr">
        <is>
          <t>P302</t>
        </is>
      </c>
      <c r="E1439" t="n">
        <v>2</v>
      </c>
      <c r="F1439" t="n">
        <v>24</v>
      </c>
      <c r="G1439" t="n">
        <v>0.1</v>
      </c>
      <c r="H1439">
        <f>E1439*F1439*(1-G1439)</f>
        <v/>
      </c>
      <c r="I1439">
        <f>XLOOKUP(D1439,Products!$A$2:$A$15,Products!$B$2:$B$15,"Not found")</f>
        <v/>
      </c>
    </row>
    <row r="1440">
      <c r="A1440" t="n">
        <v>105759</v>
      </c>
      <c r="B1440" s="1" t="n">
        <v>45773</v>
      </c>
      <c r="C1440" t="inlineStr">
        <is>
          <t>S04</t>
        </is>
      </c>
      <c r="D1440" t="inlineStr">
        <is>
          <t>P201</t>
        </is>
      </c>
      <c r="E1440" t="n">
        <v>1</v>
      </c>
      <c r="F1440" t="n">
        <v>149</v>
      </c>
      <c r="G1440" t="n">
        <v>0.1</v>
      </c>
      <c r="H1440">
        <f>E1440*F1440*(1-G1440)</f>
        <v/>
      </c>
      <c r="I1440">
        <f>XLOOKUP(D1440,Products!$A$2:$A$15,Products!$B$2:$B$15,"Not found")</f>
        <v/>
      </c>
    </row>
    <row r="1441">
      <c r="A1441" t="n">
        <v>105760</v>
      </c>
      <c r="B1441" s="1" t="n">
        <v>45773</v>
      </c>
      <c r="C1441" t="inlineStr">
        <is>
          <t>S04</t>
        </is>
      </c>
      <c r="D1441" t="inlineStr">
        <is>
          <t>P202</t>
        </is>
      </c>
      <c r="E1441" t="n">
        <v>3</v>
      </c>
      <c r="F1441" t="n">
        <v>79</v>
      </c>
      <c r="G1441" t="n">
        <v>0</v>
      </c>
      <c r="H1441">
        <f>E1441*F1441*(1-G1441)</f>
        <v/>
      </c>
      <c r="I1441">
        <f>XLOOKUP(D1441,Products!$A$2:$A$15,Products!$B$2:$B$15,"Not found")</f>
        <v/>
      </c>
    </row>
    <row r="1442">
      <c r="A1442" t="n">
        <v>105761</v>
      </c>
      <c r="B1442" s="1" t="n">
        <v>45773</v>
      </c>
      <c r="C1442" t="inlineStr">
        <is>
          <t>S04</t>
        </is>
      </c>
      <c r="D1442" t="inlineStr">
        <is>
          <t>P101</t>
        </is>
      </c>
      <c r="E1442" t="n">
        <v>2</v>
      </c>
      <c r="F1442" t="n">
        <v>39</v>
      </c>
      <c r="G1442" t="n">
        <v>0</v>
      </c>
      <c r="H1442">
        <f>E1442*F1442*(1-G1442)</f>
        <v/>
      </c>
      <c r="I1442">
        <f>XLOOKUP(D1442,Products!$A$2:$A$15,Products!$B$2:$B$15,"Not found")</f>
        <v/>
      </c>
    </row>
    <row r="1443">
      <c r="A1443" t="n">
        <v>105762</v>
      </c>
      <c r="B1443" s="1" t="n">
        <v>45773</v>
      </c>
      <c r="C1443" t="inlineStr">
        <is>
          <t>S04</t>
        </is>
      </c>
      <c r="D1443" t="inlineStr">
        <is>
          <t>P302</t>
        </is>
      </c>
      <c r="E1443" t="n">
        <v>4</v>
      </c>
      <c r="F1443" t="n">
        <v>24</v>
      </c>
      <c r="G1443" t="n">
        <v>0</v>
      </c>
      <c r="H1443">
        <f>E1443*F1443*(1-G1443)</f>
        <v/>
      </c>
      <c r="I1443">
        <f>XLOOKUP(D1443,Products!$A$2:$A$15,Products!$B$2:$B$15,"Not found")</f>
        <v/>
      </c>
    </row>
    <row r="1444">
      <c r="A1444" t="n">
        <v>105763</v>
      </c>
      <c r="B1444" s="1" t="n">
        <v>45773</v>
      </c>
      <c r="C1444" t="inlineStr">
        <is>
          <t>S05</t>
        </is>
      </c>
      <c r="D1444" t="inlineStr">
        <is>
          <t>P301</t>
        </is>
      </c>
      <c r="E1444" t="n">
        <v>1</v>
      </c>
      <c r="F1444" t="n">
        <v>119</v>
      </c>
      <c r="G1444" t="n">
        <v>0.15</v>
      </c>
      <c r="H1444">
        <f>E1444*F1444*(1-G1444)</f>
        <v/>
      </c>
      <c r="I1444">
        <f>XLOOKUP(D1444,Products!$A$2:$A$15,Products!$B$2:$B$15,"Not found")</f>
        <v/>
      </c>
    </row>
    <row r="1445">
      <c r="A1445" t="n">
        <v>105764</v>
      </c>
      <c r="B1445" s="1" t="n">
        <v>45773</v>
      </c>
      <c r="C1445" t="inlineStr">
        <is>
          <t>S05</t>
        </is>
      </c>
      <c r="D1445" t="inlineStr">
        <is>
          <t>P303</t>
        </is>
      </c>
      <c r="E1445" t="n">
        <v>1</v>
      </c>
      <c r="F1445" t="n">
        <v>12</v>
      </c>
      <c r="G1445" t="n">
        <v>0</v>
      </c>
      <c r="H1445">
        <f>E1445*F1445*(1-G1445)</f>
        <v/>
      </c>
      <c r="I1445">
        <f>XLOOKUP(D1445,Products!$A$2:$A$15,Products!$B$2:$B$15,"Not found")</f>
        <v/>
      </c>
    </row>
    <row r="1446">
      <c r="A1446" t="n">
        <v>105765</v>
      </c>
      <c r="B1446" s="1" t="n">
        <v>45774</v>
      </c>
      <c r="C1446" t="inlineStr">
        <is>
          <t>S01</t>
        </is>
      </c>
      <c r="D1446" t="inlineStr">
        <is>
          <t>P201</t>
        </is>
      </c>
      <c r="E1446" t="n">
        <v>1</v>
      </c>
      <c r="F1446" t="n">
        <v>149</v>
      </c>
      <c r="G1446" t="n">
        <v>0</v>
      </c>
      <c r="H1446">
        <f>E1446*F1446*(1-G1446)</f>
        <v/>
      </c>
      <c r="I1446">
        <f>XLOOKUP(D1446,Products!$A$2:$A$15,Products!$B$2:$B$15,"Not found")</f>
        <v/>
      </c>
    </row>
    <row r="1447">
      <c r="A1447" t="n">
        <v>105766</v>
      </c>
      <c r="B1447" s="1" t="n">
        <v>45774</v>
      </c>
      <c r="C1447" t="inlineStr">
        <is>
          <t>S01</t>
        </is>
      </c>
      <c r="D1447" t="inlineStr">
        <is>
          <t>P303</t>
        </is>
      </c>
      <c r="E1447" t="n">
        <v>1</v>
      </c>
      <c r="F1447" t="n">
        <v>12</v>
      </c>
      <c r="G1447" t="n">
        <v>0.2</v>
      </c>
      <c r="H1447">
        <f>E1447*F1447*(1-G1447)</f>
        <v/>
      </c>
      <c r="I1447">
        <f>XLOOKUP(D1447,Products!$A$2:$A$15,Products!$B$2:$B$15,"Not found")</f>
        <v/>
      </c>
    </row>
    <row r="1448">
      <c r="A1448" t="n">
        <v>105767</v>
      </c>
      <c r="B1448" s="1" t="n">
        <v>45774</v>
      </c>
      <c r="C1448" t="inlineStr">
        <is>
          <t>S01</t>
        </is>
      </c>
      <c r="D1448" t="inlineStr">
        <is>
          <t>P102</t>
        </is>
      </c>
      <c r="E1448" t="n">
        <v>1</v>
      </c>
      <c r="F1448" t="n">
        <v>14.5</v>
      </c>
      <c r="G1448" t="n">
        <v>0</v>
      </c>
      <c r="H1448">
        <f>E1448*F1448*(1-G1448)</f>
        <v/>
      </c>
      <c r="I1448">
        <f>XLOOKUP(D1448,Products!$A$2:$A$15,Products!$B$2:$B$15,"Not found")</f>
        <v/>
      </c>
    </row>
    <row r="1449">
      <c r="A1449" t="n">
        <v>105768</v>
      </c>
      <c r="B1449" s="1" t="n">
        <v>45774</v>
      </c>
      <c r="C1449" t="inlineStr">
        <is>
          <t>S01</t>
        </is>
      </c>
      <c r="D1449" t="inlineStr">
        <is>
          <t>P201</t>
        </is>
      </c>
      <c r="E1449" t="n">
        <v>1</v>
      </c>
      <c r="F1449" t="n">
        <v>149</v>
      </c>
      <c r="G1449" t="n">
        <v>0.2</v>
      </c>
      <c r="H1449">
        <f>E1449*F1449*(1-G1449)</f>
        <v/>
      </c>
      <c r="I1449">
        <f>XLOOKUP(D1449,Products!$A$2:$A$15,Products!$B$2:$B$15,"Not found")</f>
        <v/>
      </c>
    </row>
    <row r="1450">
      <c r="A1450" t="n">
        <v>105769</v>
      </c>
      <c r="B1450" s="1" t="n">
        <v>45774</v>
      </c>
      <c r="C1450" t="inlineStr">
        <is>
          <t>S01</t>
        </is>
      </c>
      <c r="D1450" t="inlineStr">
        <is>
          <t>P204</t>
        </is>
      </c>
      <c r="E1450" t="n">
        <v>1</v>
      </c>
      <c r="F1450" t="n">
        <v>229</v>
      </c>
      <c r="G1450" t="n">
        <v>0</v>
      </c>
      <c r="H1450">
        <f>E1450*F1450*(1-G1450)</f>
        <v/>
      </c>
      <c r="I1450">
        <f>XLOOKUP(D1450,Products!$A$2:$A$15,Products!$B$2:$B$15,"Not found")</f>
        <v/>
      </c>
    </row>
    <row r="1451">
      <c r="A1451" t="n">
        <v>105770</v>
      </c>
      <c r="B1451" s="1" t="n">
        <v>45774</v>
      </c>
      <c r="C1451" t="inlineStr">
        <is>
          <t>S02</t>
        </is>
      </c>
      <c r="D1451" t="inlineStr">
        <is>
          <t>P203</t>
        </is>
      </c>
      <c r="E1451" t="n">
        <v>1</v>
      </c>
      <c r="F1451" t="n">
        <v>19.5</v>
      </c>
      <c r="G1451" t="n">
        <v>0.15</v>
      </c>
      <c r="H1451">
        <f>E1451*F1451*(1-G1451)</f>
        <v/>
      </c>
      <c r="I1451">
        <f>XLOOKUP(D1451,Products!$A$2:$A$15,Products!$B$2:$B$15,"Not found")</f>
        <v/>
      </c>
    </row>
    <row r="1452">
      <c r="A1452" t="n">
        <v>105771</v>
      </c>
      <c r="B1452" s="1" t="n">
        <v>45774</v>
      </c>
      <c r="C1452" t="inlineStr">
        <is>
          <t>S02</t>
        </is>
      </c>
      <c r="D1452" t="inlineStr">
        <is>
          <t>P103</t>
        </is>
      </c>
      <c r="E1452" t="n">
        <v>3</v>
      </c>
      <c r="F1452" t="n">
        <v>29</v>
      </c>
      <c r="G1452" t="n">
        <v>0.2</v>
      </c>
      <c r="H1452">
        <f>E1452*F1452*(1-G1452)</f>
        <v/>
      </c>
      <c r="I1452">
        <f>XLOOKUP(D1452,Products!$A$2:$A$15,Products!$B$2:$B$15,"Not found")</f>
        <v/>
      </c>
    </row>
    <row r="1453">
      <c r="A1453" t="n">
        <v>105772</v>
      </c>
      <c r="B1453" s="1" t="n">
        <v>45774</v>
      </c>
      <c r="C1453" t="inlineStr">
        <is>
          <t>S02</t>
        </is>
      </c>
      <c r="D1453" t="inlineStr">
        <is>
          <t>P202</t>
        </is>
      </c>
      <c r="E1453" t="n">
        <v>1</v>
      </c>
      <c r="F1453" t="n">
        <v>79</v>
      </c>
      <c r="G1453" t="n">
        <v>0</v>
      </c>
      <c r="H1453">
        <f>E1453*F1453*(1-G1453)</f>
        <v/>
      </c>
      <c r="I1453">
        <f>XLOOKUP(D1453,Products!$A$2:$A$15,Products!$B$2:$B$15,"Not found")</f>
        <v/>
      </c>
    </row>
    <row r="1454">
      <c r="A1454" t="n">
        <v>105773</v>
      </c>
      <c r="B1454" s="1" t="n">
        <v>45774</v>
      </c>
      <c r="C1454" t="inlineStr">
        <is>
          <t>S03</t>
        </is>
      </c>
      <c r="D1454" t="inlineStr">
        <is>
          <t>P103</t>
        </is>
      </c>
      <c r="E1454" t="n">
        <v>1</v>
      </c>
      <c r="F1454" t="n">
        <v>29</v>
      </c>
      <c r="G1454" t="n">
        <v>0</v>
      </c>
      <c r="H1454">
        <f>E1454*F1454*(1-G1454)</f>
        <v/>
      </c>
      <c r="I1454">
        <f>XLOOKUP(D1454,Products!$A$2:$A$15,Products!$B$2:$B$15,"Not found")</f>
        <v/>
      </c>
    </row>
    <row r="1455">
      <c r="A1455" t="n">
        <v>105774</v>
      </c>
      <c r="B1455" s="1" t="n">
        <v>45774</v>
      </c>
      <c r="C1455" t="inlineStr">
        <is>
          <t>S03</t>
        </is>
      </c>
      <c r="D1455" t="inlineStr">
        <is>
          <t>P403</t>
        </is>
      </c>
      <c r="E1455" t="n">
        <v>2</v>
      </c>
      <c r="F1455" t="n">
        <v>89</v>
      </c>
      <c r="G1455" t="n">
        <v>0</v>
      </c>
      <c r="H1455">
        <f>E1455*F1455*(1-G1455)</f>
        <v/>
      </c>
      <c r="I1455">
        <f>XLOOKUP(D1455,Products!$A$2:$A$15,Products!$B$2:$B$15,"Not found")</f>
        <v/>
      </c>
    </row>
    <row r="1456">
      <c r="A1456" t="n">
        <v>105775</v>
      </c>
      <c r="B1456" s="1" t="n">
        <v>45774</v>
      </c>
      <c r="C1456" t="inlineStr">
        <is>
          <t>S03</t>
        </is>
      </c>
      <c r="D1456" t="inlineStr">
        <is>
          <t>P201</t>
        </is>
      </c>
      <c r="E1456" t="n">
        <v>1</v>
      </c>
      <c r="F1456" t="n">
        <v>149</v>
      </c>
      <c r="G1456" t="n">
        <v>0</v>
      </c>
      <c r="H1456">
        <f>E1456*F1456*(1-G1456)</f>
        <v/>
      </c>
      <c r="I1456">
        <f>XLOOKUP(D1456,Products!$A$2:$A$15,Products!$B$2:$B$15,"Not found")</f>
        <v/>
      </c>
    </row>
    <row r="1457">
      <c r="A1457" t="n">
        <v>105776</v>
      </c>
      <c r="B1457" s="1" t="n">
        <v>45774</v>
      </c>
      <c r="C1457" t="inlineStr">
        <is>
          <t>S04</t>
        </is>
      </c>
      <c r="D1457" t="inlineStr">
        <is>
          <t>P301</t>
        </is>
      </c>
      <c r="E1457" t="n">
        <v>1</v>
      </c>
      <c r="F1457" t="n">
        <v>119</v>
      </c>
      <c r="G1457" t="n">
        <v>0</v>
      </c>
      <c r="H1457">
        <f>E1457*F1457*(1-G1457)</f>
        <v/>
      </c>
      <c r="I1457">
        <f>XLOOKUP(D1457,Products!$A$2:$A$15,Products!$B$2:$B$15,"Not found")</f>
        <v/>
      </c>
    </row>
    <row r="1458">
      <c r="A1458" t="n">
        <v>105777</v>
      </c>
      <c r="B1458" s="1" t="n">
        <v>45774</v>
      </c>
      <c r="C1458" t="inlineStr">
        <is>
          <t>S04</t>
        </is>
      </c>
      <c r="D1458" t="inlineStr">
        <is>
          <t>P102</t>
        </is>
      </c>
      <c r="E1458" t="n">
        <v>2</v>
      </c>
      <c r="F1458" t="n">
        <v>14.5</v>
      </c>
      <c r="G1458" t="n">
        <v>0</v>
      </c>
      <c r="H1458">
        <f>E1458*F1458*(1-G1458)</f>
        <v/>
      </c>
      <c r="I1458">
        <f>XLOOKUP(D1458,Products!$A$2:$A$15,Products!$B$2:$B$15,"Not found")</f>
        <v/>
      </c>
    </row>
    <row r="1459">
      <c r="A1459" t="n">
        <v>105778</v>
      </c>
      <c r="B1459" s="1" t="n">
        <v>45774</v>
      </c>
      <c r="C1459" t="inlineStr">
        <is>
          <t>S04</t>
        </is>
      </c>
      <c r="D1459" t="inlineStr">
        <is>
          <t>P103</t>
        </is>
      </c>
      <c r="E1459" t="n">
        <v>1</v>
      </c>
      <c r="F1459" t="n">
        <v>29</v>
      </c>
      <c r="G1459" t="n">
        <v>0</v>
      </c>
      <c r="H1459">
        <f>E1459*F1459*(1-G1459)</f>
        <v/>
      </c>
      <c r="I1459">
        <f>XLOOKUP(D1459,Products!$A$2:$A$15,Products!$B$2:$B$15,"Not found")</f>
        <v/>
      </c>
    </row>
    <row r="1460">
      <c r="A1460" t="n">
        <v>105779</v>
      </c>
      <c r="B1460" s="1" t="n">
        <v>45774</v>
      </c>
      <c r="C1460" t="inlineStr">
        <is>
          <t>S06</t>
        </is>
      </c>
      <c r="D1460" t="inlineStr">
        <is>
          <t>P301</t>
        </is>
      </c>
      <c r="E1460" t="n">
        <v>1</v>
      </c>
      <c r="F1460" t="n">
        <v>119</v>
      </c>
      <c r="G1460" t="n">
        <v>0</v>
      </c>
      <c r="H1460">
        <f>E1460*F1460*(1-G1460)</f>
        <v/>
      </c>
      <c r="I1460">
        <f>XLOOKUP(D1460,Products!$A$2:$A$15,Products!$B$2:$B$15,"Not found")</f>
        <v/>
      </c>
    </row>
    <row r="1461">
      <c r="A1461" t="n">
        <v>105780</v>
      </c>
      <c r="B1461" s="1" t="n">
        <v>45775</v>
      </c>
      <c r="C1461" t="inlineStr">
        <is>
          <t>S01</t>
        </is>
      </c>
      <c r="D1461" t="inlineStr">
        <is>
          <t>P402</t>
        </is>
      </c>
      <c r="E1461" t="n">
        <v>1</v>
      </c>
      <c r="F1461" t="n">
        <v>699</v>
      </c>
      <c r="G1461" t="n">
        <v>0.15</v>
      </c>
      <c r="H1461">
        <f>E1461*F1461*(1-G1461)</f>
        <v/>
      </c>
      <c r="I1461">
        <f>XLOOKUP(D1461,Products!$A$2:$A$15,Products!$B$2:$B$15,"Not found")</f>
        <v/>
      </c>
    </row>
    <row r="1462">
      <c r="A1462" t="n">
        <v>105781</v>
      </c>
      <c r="B1462" s="1" t="n">
        <v>45775</v>
      </c>
      <c r="C1462" t="inlineStr">
        <is>
          <t>S02</t>
        </is>
      </c>
      <c r="D1462" t="inlineStr">
        <is>
          <t>P103</t>
        </is>
      </c>
      <c r="E1462" t="n">
        <v>4</v>
      </c>
      <c r="F1462" t="n">
        <v>29</v>
      </c>
      <c r="G1462" t="n">
        <v>0</v>
      </c>
      <c r="H1462">
        <f>E1462*F1462*(1-G1462)</f>
        <v/>
      </c>
      <c r="I1462">
        <f>XLOOKUP(D1462,Products!$A$2:$A$15,Products!$B$2:$B$15,"Not found")</f>
        <v/>
      </c>
    </row>
    <row r="1463">
      <c r="A1463" t="n">
        <v>105782</v>
      </c>
      <c r="B1463" s="1" t="n">
        <v>45775</v>
      </c>
      <c r="C1463" t="inlineStr">
        <is>
          <t>S03</t>
        </is>
      </c>
      <c r="D1463" t="inlineStr">
        <is>
          <t>P202</t>
        </is>
      </c>
      <c r="E1463" t="n">
        <v>1</v>
      </c>
      <c r="F1463" t="n">
        <v>79</v>
      </c>
      <c r="G1463" t="n">
        <v>0.15</v>
      </c>
      <c r="H1463">
        <f>E1463*F1463*(1-G1463)</f>
        <v/>
      </c>
      <c r="I1463">
        <f>XLOOKUP(D1463,Products!$A$2:$A$15,Products!$B$2:$B$15,"Not found")</f>
        <v/>
      </c>
    </row>
    <row r="1464">
      <c r="A1464" t="n">
        <v>105783</v>
      </c>
      <c r="B1464" s="1" t="n">
        <v>45775</v>
      </c>
      <c r="C1464" t="inlineStr">
        <is>
          <t>S04</t>
        </is>
      </c>
      <c r="D1464" t="inlineStr">
        <is>
          <t>P204</t>
        </is>
      </c>
      <c r="E1464" t="n">
        <v>1</v>
      </c>
      <c r="F1464" t="n">
        <v>229</v>
      </c>
      <c r="G1464" t="n">
        <v>0.1</v>
      </c>
      <c r="H1464">
        <f>E1464*F1464*(1-G1464)</f>
        <v/>
      </c>
      <c r="I1464">
        <f>XLOOKUP(D1464,Products!$A$2:$A$15,Products!$B$2:$B$15,"Not found")</f>
        <v/>
      </c>
    </row>
    <row r="1465">
      <c r="A1465" t="n">
        <v>105784</v>
      </c>
      <c r="B1465" s="1" t="n">
        <v>45775</v>
      </c>
      <c r="C1465" t="inlineStr">
        <is>
          <t>S04</t>
        </is>
      </c>
      <c r="D1465" t="inlineStr">
        <is>
          <t>P102</t>
        </is>
      </c>
      <c r="E1465" t="n">
        <v>1</v>
      </c>
      <c r="F1465" t="n">
        <v>14.5</v>
      </c>
      <c r="G1465" t="n">
        <v>0.2</v>
      </c>
      <c r="H1465">
        <f>E1465*F1465*(1-G1465)</f>
        <v/>
      </c>
      <c r="I1465">
        <f>XLOOKUP(D1465,Products!$A$2:$A$15,Products!$B$2:$B$15,"Not found")</f>
        <v/>
      </c>
    </row>
    <row r="1466">
      <c r="A1466" t="n">
        <v>105785</v>
      </c>
      <c r="B1466" s="1" t="n">
        <v>45775</v>
      </c>
      <c r="C1466" t="inlineStr">
        <is>
          <t>S05</t>
        </is>
      </c>
      <c r="D1466" t="inlineStr">
        <is>
          <t>P103</t>
        </is>
      </c>
      <c r="E1466" t="n">
        <v>1</v>
      </c>
      <c r="F1466" t="n">
        <v>29</v>
      </c>
      <c r="G1466" t="n">
        <v>0.15</v>
      </c>
      <c r="H1466">
        <f>E1466*F1466*(1-G1466)</f>
        <v/>
      </c>
      <c r="I1466">
        <f>XLOOKUP(D1466,Products!$A$2:$A$15,Products!$B$2:$B$15,"Not found")</f>
        <v/>
      </c>
    </row>
    <row r="1467">
      <c r="A1467" t="n">
        <v>105786</v>
      </c>
      <c r="B1467" s="1" t="n">
        <v>45776</v>
      </c>
      <c r="C1467" t="inlineStr">
        <is>
          <t>S01</t>
        </is>
      </c>
      <c r="D1467" t="inlineStr">
        <is>
          <t>P303</t>
        </is>
      </c>
      <c r="E1467" t="n">
        <v>2</v>
      </c>
      <c r="F1467" t="n">
        <v>12</v>
      </c>
      <c r="G1467" t="n">
        <v>0.1</v>
      </c>
      <c r="H1467">
        <f>E1467*F1467*(1-G1467)</f>
        <v/>
      </c>
      <c r="I1467">
        <f>XLOOKUP(D1467,Products!$A$2:$A$15,Products!$B$2:$B$15,"Not found")</f>
        <v/>
      </c>
    </row>
    <row r="1468">
      <c r="A1468" t="n">
        <v>105787</v>
      </c>
      <c r="B1468" s="1" t="n">
        <v>45776</v>
      </c>
      <c r="C1468" t="inlineStr">
        <is>
          <t>S01</t>
        </is>
      </c>
      <c r="D1468" t="inlineStr">
        <is>
          <t>P403</t>
        </is>
      </c>
      <c r="E1468" t="n">
        <v>2</v>
      </c>
      <c r="F1468" t="n">
        <v>89</v>
      </c>
      <c r="G1468" t="n">
        <v>0.2</v>
      </c>
      <c r="H1468">
        <f>E1468*F1468*(1-G1468)</f>
        <v/>
      </c>
      <c r="I1468">
        <f>XLOOKUP(D1468,Products!$A$2:$A$15,Products!$B$2:$B$15,"Not found")</f>
        <v/>
      </c>
    </row>
    <row r="1469">
      <c r="A1469" t="n">
        <v>105788</v>
      </c>
      <c r="B1469" s="1" t="n">
        <v>45776</v>
      </c>
      <c r="C1469" t="inlineStr">
        <is>
          <t>S02</t>
        </is>
      </c>
      <c r="D1469" t="inlineStr">
        <is>
          <t>P102</t>
        </is>
      </c>
      <c r="E1469" t="n">
        <v>1</v>
      </c>
      <c r="F1469" t="n">
        <v>14.5</v>
      </c>
      <c r="G1469" t="n">
        <v>0</v>
      </c>
      <c r="H1469">
        <f>E1469*F1469*(1-G1469)</f>
        <v/>
      </c>
      <c r="I1469">
        <f>XLOOKUP(D1469,Products!$A$2:$A$15,Products!$B$2:$B$15,"Not found")</f>
        <v/>
      </c>
    </row>
    <row r="1470">
      <c r="A1470" t="n">
        <v>105789</v>
      </c>
      <c r="B1470" s="1" t="n">
        <v>45776</v>
      </c>
      <c r="C1470" t="inlineStr">
        <is>
          <t>S02</t>
        </is>
      </c>
      <c r="D1470" t="inlineStr">
        <is>
          <t>P203</t>
        </is>
      </c>
      <c r="E1470" t="n">
        <v>1</v>
      </c>
      <c r="F1470" t="n">
        <v>19.5</v>
      </c>
      <c r="G1470" t="n">
        <v>0</v>
      </c>
      <c r="H1470">
        <f>E1470*F1470*(1-G1470)</f>
        <v/>
      </c>
      <c r="I1470">
        <f>XLOOKUP(D1470,Products!$A$2:$A$15,Products!$B$2:$B$15,"Not found")</f>
        <v/>
      </c>
    </row>
    <row r="1471">
      <c r="A1471" t="n">
        <v>105790</v>
      </c>
      <c r="B1471" s="1" t="n">
        <v>45776</v>
      </c>
      <c r="C1471" t="inlineStr">
        <is>
          <t>S03</t>
        </is>
      </c>
      <c r="D1471" t="inlineStr">
        <is>
          <t>P102</t>
        </is>
      </c>
      <c r="E1471" t="n">
        <v>1</v>
      </c>
      <c r="F1471" t="n">
        <v>14.5</v>
      </c>
      <c r="G1471" t="n">
        <v>0.1</v>
      </c>
      <c r="H1471">
        <f>E1471*F1471*(1-G1471)</f>
        <v/>
      </c>
      <c r="I1471">
        <f>XLOOKUP(D1471,Products!$A$2:$A$15,Products!$B$2:$B$15,"Not found")</f>
        <v/>
      </c>
    </row>
    <row r="1472">
      <c r="A1472" t="n">
        <v>105791</v>
      </c>
      <c r="B1472" s="1" t="n">
        <v>45776</v>
      </c>
      <c r="C1472" t="inlineStr">
        <is>
          <t>S03</t>
        </is>
      </c>
      <c r="D1472" t="inlineStr">
        <is>
          <t>P204</t>
        </is>
      </c>
      <c r="E1472" t="n">
        <v>1</v>
      </c>
      <c r="F1472" t="n">
        <v>229</v>
      </c>
      <c r="G1472" t="n">
        <v>0</v>
      </c>
      <c r="H1472">
        <f>E1472*F1472*(1-G1472)</f>
        <v/>
      </c>
      <c r="I1472">
        <f>XLOOKUP(D1472,Products!$A$2:$A$15,Products!$B$2:$B$15,"Not found")</f>
        <v/>
      </c>
    </row>
    <row r="1473">
      <c r="A1473" t="n">
        <v>105792</v>
      </c>
      <c r="B1473" s="1" t="n">
        <v>45776</v>
      </c>
      <c r="C1473" t="inlineStr">
        <is>
          <t>S05</t>
        </is>
      </c>
      <c r="D1473" t="inlineStr">
        <is>
          <t>P302</t>
        </is>
      </c>
      <c r="E1473" t="n">
        <v>4</v>
      </c>
      <c r="F1473" t="n">
        <v>24</v>
      </c>
      <c r="G1473" t="n">
        <v>0</v>
      </c>
      <c r="H1473">
        <f>E1473*F1473*(1-G1473)</f>
        <v/>
      </c>
      <c r="I1473">
        <f>XLOOKUP(D1473,Products!$A$2:$A$15,Products!$B$2:$B$15,"Not found")</f>
        <v/>
      </c>
    </row>
    <row r="1474">
      <c r="A1474" t="n">
        <v>105793</v>
      </c>
      <c r="B1474" s="1" t="n">
        <v>45776</v>
      </c>
      <c r="C1474" t="inlineStr">
        <is>
          <t>S05</t>
        </is>
      </c>
      <c r="D1474" t="inlineStr">
        <is>
          <t>P302</t>
        </is>
      </c>
      <c r="E1474" t="n">
        <v>2</v>
      </c>
      <c r="F1474" t="n">
        <v>24</v>
      </c>
      <c r="G1474" t="n">
        <v>0.1</v>
      </c>
      <c r="H1474">
        <f>E1474*F1474*(1-G1474)</f>
        <v/>
      </c>
      <c r="I1474">
        <f>XLOOKUP(D1474,Products!$A$2:$A$15,Products!$B$2:$B$15,"Not found")</f>
        <v/>
      </c>
    </row>
    <row r="1475">
      <c r="A1475" t="n">
        <v>105794</v>
      </c>
      <c r="B1475" s="1" t="n">
        <v>45776</v>
      </c>
      <c r="C1475" t="inlineStr">
        <is>
          <t>S05</t>
        </is>
      </c>
      <c r="D1475" t="inlineStr">
        <is>
          <t>P102</t>
        </is>
      </c>
      <c r="E1475" t="n">
        <v>2</v>
      </c>
      <c r="F1475" t="n">
        <v>14.5</v>
      </c>
      <c r="G1475" t="n">
        <v>0</v>
      </c>
      <c r="H1475">
        <f>E1475*F1475*(1-G1475)</f>
        <v/>
      </c>
      <c r="I1475">
        <f>XLOOKUP(D1475,Products!$A$2:$A$15,Products!$B$2:$B$15,"Not found")</f>
        <v/>
      </c>
    </row>
    <row r="1476">
      <c r="A1476" t="n">
        <v>105795</v>
      </c>
      <c r="B1476" s="1" t="n">
        <v>45777</v>
      </c>
      <c r="C1476" t="inlineStr">
        <is>
          <t>S02</t>
        </is>
      </c>
      <c r="D1476" t="inlineStr">
        <is>
          <t>P201</t>
        </is>
      </c>
      <c r="E1476" t="n">
        <v>1</v>
      </c>
      <c r="F1476" t="n">
        <v>149</v>
      </c>
      <c r="G1476" t="n">
        <v>0.2</v>
      </c>
      <c r="H1476">
        <f>E1476*F1476*(1-G1476)</f>
        <v/>
      </c>
      <c r="I1476">
        <f>XLOOKUP(D1476,Products!$A$2:$A$15,Products!$B$2:$B$15,"Not found")</f>
        <v/>
      </c>
    </row>
    <row r="1477">
      <c r="A1477" t="n">
        <v>105796</v>
      </c>
      <c r="B1477" s="1" t="n">
        <v>45777</v>
      </c>
      <c r="C1477" t="inlineStr">
        <is>
          <t>S02</t>
        </is>
      </c>
      <c r="D1477" t="inlineStr">
        <is>
          <t>P103</t>
        </is>
      </c>
      <c r="E1477" t="n">
        <v>1</v>
      </c>
      <c r="F1477" t="n">
        <v>29</v>
      </c>
      <c r="G1477" t="n">
        <v>0</v>
      </c>
      <c r="H1477">
        <f>E1477*F1477*(1-G1477)</f>
        <v/>
      </c>
      <c r="I1477">
        <f>XLOOKUP(D1477,Products!$A$2:$A$15,Products!$B$2:$B$15,"Not found")</f>
        <v/>
      </c>
    </row>
    <row r="1478">
      <c r="A1478" t="n">
        <v>105797</v>
      </c>
      <c r="B1478" s="1" t="n">
        <v>45777</v>
      </c>
      <c r="C1478" t="inlineStr">
        <is>
          <t>S02</t>
        </is>
      </c>
      <c r="D1478" t="inlineStr">
        <is>
          <t>P403</t>
        </is>
      </c>
      <c r="E1478" t="n">
        <v>1</v>
      </c>
      <c r="F1478" t="n">
        <v>89</v>
      </c>
      <c r="G1478" t="n">
        <v>0</v>
      </c>
      <c r="H1478">
        <f>E1478*F1478*(1-G1478)</f>
        <v/>
      </c>
      <c r="I1478">
        <f>XLOOKUP(D1478,Products!$A$2:$A$15,Products!$B$2:$B$15,"Not found")</f>
        <v/>
      </c>
    </row>
    <row r="1479">
      <c r="A1479" t="n">
        <v>105798</v>
      </c>
      <c r="B1479" s="1" t="n">
        <v>45777</v>
      </c>
      <c r="C1479" t="inlineStr">
        <is>
          <t>S03</t>
        </is>
      </c>
      <c r="D1479" t="inlineStr">
        <is>
          <t>P403</t>
        </is>
      </c>
      <c r="E1479" t="n">
        <v>1</v>
      </c>
      <c r="F1479" t="n">
        <v>89</v>
      </c>
      <c r="G1479" t="n">
        <v>0</v>
      </c>
      <c r="H1479">
        <f>E1479*F1479*(1-G1479)</f>
        <v/>
      </c>
      <c r="I1479">
        <f>XLOOKUP(D1479,Products!$A$2:$A$15,Products!$B$2:$B$15,"Not found")</f>
        <v/>
      </c>
    </row>
    <row r="1480">
      <c r="A1480" t="n">
        <v>105799</v>
      </c>
      <c r="B1480" s="1" t="n">
        <v>45777</v>
      </c>
      <c r="C1480" t="inlineStr">
        <is>
          <t>S03</t>
        </is>
      </c>
      <c r="D1480" t="inlineStr">
        <is>
          <t>P204</t>
        </is>
      </c>
      <c r="E1480" t="n">
        <v>1</v>
      </c>
      <c r="F1480" t="n">
        <v>229</v>
      </c>
      <c r="G1480" t="n">
        <v>0.2</v>
      </c>
      <c r="H1480">
        <f>E1480*F1480*(1-G1480)</f>
        <v/>
      </c>
      <c r="I1480">
        <f>XLOOKUP(D1480,Products!$A$2:$A$15,Products!$B$2:$B$15,"Not found")</f>
        <v/>
      </c>
    </row>
    <row r="1481">
      <c r="A1481" t="n">
        <v>105800</v>
      </c>
      <c r="B1481" s="1" t="n">
        <v>45777</v>
      </c>
      <c r="C1481" t="inlineStr">
        <is>
          <t>S05</t>
        </is>
      </c>
      <c r="D1481" t="inlineStr">
        <is>
          <t>P302</t>
        </is>
      </c>
      <c r="E1481" t="n">
        <v>2</v>
      </c>
      <c r="F1481" t="n">
        <v>24</v>
      </c>
      <c r="G1481" t="n">
        <v>0</v>
      </c>
      <c r="H1481">
        <f>E1481*F1481*(1-G1481)</f>
        <v/>
      </c>
      <c r="I1481">
        <f>XLOOKUP(D1481,Products!$A$2:$A$15,Products!$B$2:$B$15,"Not found")</f>
        <v/>
      </c>
    </row>
    <row r="1482">
      <c r="A1482" t="n">
        <v>105801</v>
      </c>
      <c r="B1482" s="1" t="n">
        <v>45777</v>
      </c>
      <c r="C1482" t="inlineStr">
        <is>
          <t>S05</t>
        </is>
      </c>
      <c r="D1482" t="inlineStr">
        <is>
          <t>P403</t>
        </is>
      </c>
      <c r="E1482" t="n">
        <v>1</v>
      </c>
      <c r="F1482" t="n">
        <v>89</v>
      </c>
      <c r="G1482" t="n">
        <v>0</v>
      </c>
      <c r="H1482">
        <f>E1482*F1482*(1-G1482)</f>
        <v/>
      </c>
      <c r="I1482">
        <f>XLOOKUP(D1482,Products!$A$2:$A$15,Products!$B$2:$B$15,"Not found")</f>
        <v/>
      </c>
    </row>
    <row r="1483">
      <c r="A1483" t="n">
        <v>105802</v>
      </c>
      <c r="B1483" s="1" t="n">
        <v>45777</v>
      </c>
      <c r="C1483" t="inlineStr">
        <is>
          <t>S05</t>
        </is>
      </c>
      <c r="D1483" t="inlineStr">
        <is>
          <t>P102</t>
        </is>
      </c>
      <c r="E1483" t="n">
        <v>4</v>
      </c>
      <c r="F1483" t="n">
        <v>14.5</v>
      </c>
      <c r="G1483" t="n">
        <v>0</v>
      </c>
      <c r="H1483">
        <f>E1483*F1483*(1-G1483)</f>
        <v/>
      </c>
      <c r="I1483">
        <f>XLOOKUP(D1483,Products!$A$2:$A$15,Products!$B$2:$B$15,"Not found")</f>
        <v/>
      </c>
    </row>
    <row r="1484">
      <c r="A1484" t="n">
        <v>105803</v>
      </c>
      <c r="B1484" s="1" t="n">
        <v>45777</v>
      </c>
      <c r="C1484" t="inlineStr">
        <is>
          <t>S06</t>
        </is>
      </c>
      <c r="D1484" t="inlineStr">
        <is>
          <t>P303</t>
        </is>
      </c>
      <c r="E1484" t="n">
        <v>3</v>
      </c>
      <c r="F1484" t="n">
        <v>12</v>
      </c>
      <c r="G1484" t="n">
        <v>0</v>
      </c>
      <c r="H1484">
        <f>E1484*F1484*(1-G1484)</f>
        <v/>
      </c>
      <c r="I1484">
        <f>XLOOKUP(D1484,Products!$A$2:$A$15,Products!$B$2:$B$15,"Not found")</f>
        <v/>
      </c>
    </row>
    <row r="1485">
      <c r="A1485" t="n">
        <v>105804</v>
      </c>
      <c r="B1485" s="1" t="n">
        <v>45778</v>
      </c>
      <c r="C1485" t="inlineStr">
        <is>
          <t>S01</t>
        </is>
      </c>
      <c r="D1485" t="inlineStr">
        <is>
          <t>P202</t>
        </is>
      </c>
      <c r="E1485" t="n">
        <v>1</v>
      </c>
      <c r="F1485" t="n">
        <v>79</v>
      </c>
      <c r="G1485" t="n">
        <v>0</v>
      </c>
      <c r="H1485">
        <f>E1485*F1485*(1-G1485)</f>
        <v/>
      </c>
      <c r="I1485">
        <f>XLOOKUP(D1485,Products!$A$2:$A$15,Products!$B$2:$B$15,"Not found")</f>
        <v/>
      </c>
    </row>
    <row r="1486">
      <c r="A1486" t="n">
        <v>105805</v>
      </c>
      <c r="B1486" s="1" t="n">
        <v>45778</v>
      </c>
      <c r="C1486" t="inlineStr">
        <is>
          <t>S02</t>
        </is>
      </c>
      <c r="D1486" t="inlineStr">
        <is>
          <t>P202</t>
        </is>
      </c>
      <c r="E1486" t="n">
        <v>4</v>
      </c>
      <c r="F1486" t="n">
        <v>79</v>
      </c>
      <c r="G1486" t="n">
        <v>0.15</v>
      </c>
      <c r="H1486">
        <f>E1486*F1486*(1-G1486)</f>
        <v/>
      </c>
      <c r="I1486">
        <f>XLOOKUP(D1486,Products!$A$2:$A$15,Products!$B$2:$B$15,"Not found")</f>
        <v/>
      </c>
    </row>
    <row r="1487">
      <c r="A1487" t="n">
        <v>105806</v>
      </c>
      <c r="B1487" s="1" t="n">
        <v>45778</v>
      </c>
      <c r="C1487" t="inlineStr">
        <is>
          <t>S02</t>
        </is>
      </c>
      <c r="D1487" t="inlineStr">
        <is>
          <t>P403</t>
        </is>
      </c>
      <c r="E1487" t="n">
        <v>1</v>
      </c>
      <c r="F1487" t="n">
        <v>89</v>
      </c>
      <c r="G1487" t="n">
        <v>0.2</v>
      </c>
      <c r="H1487">
        <f>E1487*F1487*(1-G1487)</f>
        <v/>
      </c>
      <c r="I1487">
        <f>XLOOKUP(D1487,Products!$A$2:$A$15,Products!$B$2:$B$15,"Not found")</f>
        <v/>
      </c>
    </row>
    <row r="1488">
      <c r="A1488" t="n">
        <v>105807</v>
      </c>
      <c r="B1488" s="1" t="n">
        <v>45778</v>
      </c>
      <c r="C1488" t="inlineStr">
        <is>
          <t>S02</t>
        </is>
      </c>
      <c r="D1488" t="inlineStr">
        <is>
          <t>P101</t>
        </is>
      </c>
      <c r="E1488" t="n">
        <v>3</v>
      </c>
      <c r="F1488" t="n">
        <v>39</v>
      </c>
      <c r="G1488" t="n">
        <v>0.1</v>
      </c>
      <c r="H1488">
        <f>E1488*F1488*(1-G1488)</f>
        <v/>
      </c>
      <c r="I1488">
        <f>XLOOKUP(D1488,Products!$A$2:$A$15,Products!$B$2:$B$15,"Not found")</f>
        <v/>
      </c>
    </row>
    <row r="1489">
      <c r="A1489" t="n">
        <v>105808</v>
      </c>
      <c r="B1489" s="1" t="n">
        <v>45778</v>
      </c>
      <c r="C1489" t="inlineStr">
        <is>
          <t>S03</t>
        </is>
      </c>
      <c r="D1489" t="inlineStr">
        <is>
          <t>P401</t>
        </is>
      </c>
      <c r="E1489" t="n">
        <v>1</v>
      </c>
      <c r="F1489" t="n">
        <v>549</v>
      </c>
      <c r="G1489" t="n">
        <v>0.2</v>
      </c>
      <c r="H1489">
        <f>E1489*F1489*(1-G1489)</f>
        <v/>
      </c>
      <c r="I1489">
        <f>XLOOKUP(D1489,Products!$A$2:$A$15,Products!$B$2:$B$15,"Not found")</f>
        <v/>
      </c>
    </row>
    <row r="1490">
      <c r="A1490" t="n">
        <v>105809</v>
      </c>
      <c r="B1490" s="1" t="n">
        <v>45778</v>
      </c>
      <c r="C1490" t="inlineStr">
        <is>
          <t>S03</t>
        </is>
      </c>
      <c r="D1490" t="inlineStr">
        <is>
          <t>P101</t>
        </is>
      </c>
      <c r="E1490" t="n">
        <v>1</v>
      </c>
      <c r="F1490" t="n">
        <v>39</v>
      </c>
      <c r="G1490" t="n">
        <v>0</v>
      </c>
      <c r="H1490">
        <f>E1490*F1490*(1-G1490)</f>
        <v/>
      </c>
      <c r="I1490">
        <f>XLOOKUP(D1490,Products!$A$2:$A$15,Products!$B$2:$B$15,"Not found")</f>
        <v/>
      </c>
    </row>
    <row r="1491">
      <c r="A1491" t="n">
        <v>105810</v>
      </c>
      <c r="B1491" s="1" t="n">
        <v>45778</v>
      </c>
      <c r="C1491" t="inlineStr">
        <is>
          <t>S04</t>
        </is>
      </c>
      <c r="D1491" t="inlineStr">
        <is>
          <t>P303</t>
        </is>
      </c>
      <c r="E1491" t="n">
        <v>1</v>
      </c>
      <c r="F1491" t="n">
        <v>12</v>
      </c>
      <c r="G1491" t="n">
        <v>0.1</v>
      </c>
      <c r="H1491">
        <f>E1491*F1491*(1-G1491)</f>
        <v/>
      </c>
      <c r="I1491">
        <f>XLOOKUP(D1491,Products!$A$2:$A$15,Products!$B$2:$B$15,"Not found")</f>
        <v/>
      </c>
    </row>
    <row r="1492">
      <c r="A1492" t="n">
        <v>105811</v>
      </c>
      <c r="B1492" s="1" t="n">
        <v>45779</v>
      </c>
      <c r="C1492" t="inlineStr">
        <is>
          <t>S01</t>
        </is>
      </c>
      <c r="D1492" t="inlineStr">
        <is>
          <t>P303</t>
        </is>
      </c>
      <c r="E1492" t="n">
        <v>2</v>
      </c>
      <c r="F1492" t="n">
        <v>12</v>
      </c>
      <c r="G1492" t="n">
        <v>0</v>
      </c>
      <c r="H1492">
        <f>E1492*F1492*(1-G1492)</f>
        <v/>
      </c>
      <c r="I1492">
        <f>XLOOKUP(D1492,Products!$A$2:$A$15,Products!$B$2:$B$15,"Not found")</f>
        <v/>
      </c>
    </row>
    <row r="1493">
      <c r="A1493" t="n">
        <v>105812</v>
      </c>
      <c r="B1493" s="1" t="n">
        <v>45779</v>
      </c>
      <c r="C1493" t="inlineStr">
        <is>
          <t>S01</t>
        </is>
      </c>
      <c r="D1493" t="inlineStr">
        <is>
          <t>P202</t>
        </is>
      </c>
      <c r="E1493" t="n">
        <v>1</v>
      </c>
      <c r="F1493" t="n">
        <v>79</v>
      </c>
      <c r="G1493" t="n">
        <v>0</v>
      </c>
      <c r="H1493">
        <f>E1493*F1493*(1-G1493)</f>
        <v/>
      </c>
      <c r="I1493">
        <f>XLOOKUP(D1493,Products!$A$2:$A$15,Products!$B$2:$B$15,"Not found")</f>
        <v/>
      </c>
    </row>
    <row r="1494">
      <c r="A1494" t="n">
        <v>105813</v>
      </c>
      <c r="B1494" s="1" t="n">
        <v>45779</v>
      </c>
      <c r="C1494" t="inlineStr">
        <is>
          <t>S01</t>
        </is>
      </c>
      <c r="D1494" t="inlineStr">
        <is>
          <t>P302</t>
        </is>
      </c>
      <c r="E1494" t="n">
        <v>4</v>
      </c>
      <c r="F1494" t="n">
        <v>24</v>
      </c>
      <c r="G1494" t="n">
        <v>0</v>
      </c>
      <c r="H1494">
        <f>E1494*F1494*(1-G1494)</f>
        <v/>
      </c>
      <c r="I1494">
        <f>XLOOKUP(D1494,Products!$A$2:$A$15,Products!$B$2:$B$15,"Not found")</f>
        <v/>
      </c>
    </row>
    <row r="1495">
      <c r="A1495" t="n">
        <v>105814</v>
      </c>
      <c r="B1495" s="1" t="n">
        <v>45779</v>
      </c>
      <c r="C1495" t="inlineStr">
        <is>
          <t>S01</t>
        </is>
      </c>
      <c r="D1495" t="inlineStr">
        <is>
          <t>P103</t>
        </is>
      </c>
      <c r="E1495" t="n">
        <v>4</v>
      </c>
      <c r="F1495" t="n">
        <v>29</v>
      </c>
      <c r="G1495" t="n">
        <v>0.1</v>
      </c>
      <c r="H1495">
        <f>E1495*F1495*(1-G1495)</f>
        <v/>
      </c>
      <c r="I1495">
        <f>XLOOKUP(D1495,Products!$A$2:$A$15,Products!$B$2:$B$15,"Not found")</f>
        <v/>
      </c>
    </row>
    <row r="1496">
      <c r="A1496" t="n">
        <v>105815</v>
      </c>
      <c r="B1496" s="1" t="n">
        <v>45779</v>
      </c>
      <c r="C1496" t="inlineStr">
        <is>
          <t>S02</t>
        </is>
      </c>
      <c r="D1496" t="inlineStr">
        <is>
          <t>P302</t>
        </is>
      </c>
      <c r="E1496" t="n">
        <v>4</v>
      </c>
      <c r="F1496" t="n">
        <v>24</v>
      </c>
      <c r="G1496" t="n">
        <v>0</v>
      </c>
      <c r="H1496">
        <f>E1496*F1496*(1-G1496)</f>
        <v/>
      </c>
      <c r="I1496">
        <f>XLOOKUP(D1496,Products!$A$2:$A$15,Products!$B$2:$B$15,"Not found")</f>
        <v/>
      </c>
    </row>
    <row r="1497">
      <c r="A1497" t="n">
        <v>105816</v>
      </c>
      <c r="B1497" s="1" t="n">
        <v>45779</v>
      </c>
      <c r="C1497" t="inlineStr">
        <is>
          <t>S02</t>
        </is>
      </c>
      <c r="D1497" t="inlineStr">
        <is>
          <t>P401</t>
        </is>
      </c>
      <c r="E1497" t="n">
        <v>1</v>
      </c>
      <c r="F1497" t="n">
        <v>549</v>
      </c>
      <c r="G1497" t="n">
        <v>0.2</v>
      </c>
      <c r="H1497">
        <f>E1497*F1497*(1-G1497)</f>
        <v/>
      </c>
      <c r="I1497">
        <f>XLOOKUP(D1497,Products!$A$2:$A$15,Products!$B$2:$B$15,"Not found")</f>
        <v/>
      </c>
    </row>
    <row r="1498">
      <c r="A1498" t="n">
        <v>105817</v>
      </c>
      <c r="B1498" s="1" t="n">
        <v>45779</v>
      </c>
      <c r="C1498" t="inlineStr">
        <is>
          <t>S02</t>
        </is>
      </c>
      <c r="D1498" t="inlineStr">
        <is>
          <t>P102</t>
        </is>
      </c>
      <c r="E1498" t="n">
        <v>3</v>
      </c>
      <c r="F1498" t="n">
        <v>14.5</v>
      </c>
      <c r="G1498" t="n">
        <v>0</v>
      </c>
      <c r="H1498">
        <f>E1498*F1498*(1-G1498)</f>
        <v/>
      </c>
      <c r="I1498">
        <f>XLOOKUP(D1498,Products!$A$2:$A$15,Products!$B$2:$B$15,"Not found")</f>
        <v/>
      </c>
    </row>
    <row r="1499">
      <c r="A1499" t="n">
        <v>105818</v>
      </c>
      <c r="B1499" s="1" t="n">
        <v>45779</v>
      </c>
      <c r="C1499" t="inlineStr">
        <is>
          <t>S03</t>
        </is>
      </c>
      <c r="D1499" t="inlineStr">
        <is>
          <t>P103</t>
        </is>
      </c>
      <c r="E1499" t="n">
        <v>2</v>
      </c>
      <c r="F1499" t="n">
        <v>29</v>
      </c>
      <c r="G1499" t="n">
        <v>0.15</v>
      </c>
      <c r="H1499">
        <f>E1499*F1499*(1-G1499)</f>
        <v/>
      </c>
      <c r="I1499">
        <f>XLOOKUP(D1499,Products!$A$2:$A$15,Products!$B$2:$B$15,"Not found")</f>
        <v/>
      </c>
    </row>
    <row r="1500">
      <c r="A1500" t="n">
        <v>105819</v>
      </c>
      <c r="B1500" s="1" t="n">
        <v>45779</v>
      </c>
      <c r="C1500" t="inlineStr">
        <is>
          <t>S03</t>
        </is>
      </c>
      <c r="D1500" t="inlineStr">
        <is>
          <t>P204</t>
        </is>
      </c>
      <c r="E1500" t="n">
        <v>1</v>
      </c>
      <c r="F1500" t="n">
        <v>229</v>
      </c>
      <c r="G1500" t="n">
        <v>0</v>
      </c>
      <c r="H1500">
        <f>E1500*F1500*(1-G1500)</f>
        <v/>
      </c>
      <c r="I1500">
        <f>XLOOKUP(D1500,Products!$A$2:$A$15,Products!$B$2:$B$15,"Not found")</f>
        <v/>
      </c>
    </row>
    <row r="1501">
      <c r="A1501" t="n">
        <v>105820</v>
      </c>
      <c r="B1501" s="1" t="n">
        <v>45779</v>
      </c>
      <c r="C1501" t="inlineStr">
        <is>
          <t>S06</t>
        </is>
      </c>
      <c r="D1501" t="inlineStr">
        <is>
          <t>P302</t>
        </is>
      </c>
      <c r="E1501" t="n">
        <v>1</v>
      </c>
      <c r="F1501" t="n">
        <v>24</v>
      </c>
      <c r="G1501" t="n">
        <v>0</v>
      </c>
      <c r="H1501">
        <f>E1501*F1501*(1-G1501)</f>
        <v/>
      </c>
      <c r="I1501">
        <f>XLOOKUP(D1501,Products!$A$2:$A$15,Products!$B$2:$B$15,"Not found")</f>
        <v/>
      </c>
    </row>
    <row r="1502">
      <c r="A1502" t="n">
        <v>105821</v>
      </c>
      <c r="B1502" s="1" t="n">
        <v>45780</v>
      </c>
      <c r="C1502" t="inlineStr">
        <is>
          <t>S01</t>
        </is>
      </c>
      <c r="D1502" t="inlineStr">
        <is>
          <t>P203</t>
        </is>
      </c>
      <c r="E1502" t="n">
        <v>1</v>
      </c>
      <c r="F1502" t="n">
        <v>19.5</v>
      </c>
      <c r="G1502" t="n">
        <v>0.15</v>
      </c>
      <c r="H1502">
        <f>E1502*F1502*(1-G1502)</f>
        <v/>
      </c>
      <c r="I1502">
        <f>XLOOKUP(D1502,Products!$A$2:$A$15,Products!$B$2:$B$15,"Not found")</f>
        <v/>
      </c>
    </row>
    <row r="1503">
      <c r="A1503" t="n">
        <v>105822</v>
      </c>
      <c r="B1503" s="1" t="n">
        <v>45780</v>
      </c>
      <c r="C1503" t="inlineStr">
        <is>
          <t>S01</t>
        </is>
      </c>
      <c r="D1503" t="inlineStr">
        <is>
          <t>P202</t>
        </is>
      </c>
      <c r="E1503" t="n">
        <v>1</v>
      </c>
      <c r="F1503" t="n">
        <v>79</v>
      </c>
      <c r="G1503" t="n">
        <v>0.15</v>
      </c>
      <c r="H1503">
        <f>E1503*F1503*(1-G1503)</f>
        <v/>
      </c>
      <c r="I1503">
        <f>XLOOKUP(D1503,Products!$A$2:$A$15,Products!$B$2:$B$15,"Not found")</f>
        <v/>
      </c>
    </row>
    <row r="1504">
      <c r="A1504" t="n">
        <v>105823</v>
      </c>
      <c r="B1504" s="1" t="n">
        <v>45780</v>
      </c>
      <c r="C1504" t="inlineStr">
        <is>
          <t>S02</t>
        </is>
      </c>
      <c r="D1504" t="inlineStr">
        <is>
          <t>P101</t>
        </is>
      </c>
      <c r="E1504" t="n">
        <v>1</v>
      </c>
      <c r="F1504" t="n">
        <v>39</v>
      </c>
      <c r="G1504" t="n">
        <v>0.2</v>
      </c>
      <c r="H1504">
        <f>E1504*F1504*(1-G1504)</f>
        <v/>
      </c>
      <c r="I1504">
        <f>XLOOKUP(D1504,Products!$A$2:$A$15,Products!$B$2:$B$15,"Not found")</f>
        <v/>
      </c>
    </row>
    <row r="1505">
      <c r="A1505" t="n">
        <v>105824</v>
      </c>
      <c r="B1505" s="1" t="n">
        <v>45780</v>
      </c>
      <c r="C1505" t="inlineStr">
        <is>
          <t>S04</t>
        </is>
      </c>
      <c r="D1505" t="inlineStr">
        <is>
          <t>P101</t>
        </is>
      </c>
      <c r="E1505" t="n">
        <v>2</v>
      </c>
      <c r="F1505" t="n">
        <v>39</v>
      </c>
      <c r="G1505" t="n">
        <v>0.1</v>
      </c>
      <c r="H1505">
        <f>E1505*F1505*(1-G1505)</f>
        <v/>
      </c>
      <c r="I1505">
        <f>XLOOKUP(D1505,Products!$A$2:$A$15,Products!$B$2:$B$15,"Not found")</f>
        <v/>
      </c>
    </row>
    <row r="1506">
      <c r="A1506" t="n">
        <v>105825</v>
      </c>
      <c r="B1506" s="1" t="n">
        <v>45780</v>
      </c>
      <c r="C1506" t="inlineStr">
        <is>
          <t>S04</t>
        </is>
      </c>
      <c r="D1506" t="inlineStr">
        <is>
          <t>P303</t>
        </is>
      </c>
      <c r="E1506" t="n">
        <v>1</v>
      </c>
      <c r="F1506" t="n">
        <v>12</v>
      </c>
      <c r="G1506" t="n">
        <v>0.2</v>
      </c>
      <c r="H1506">
        <f>E1506*F1506*(1-G1506)</f>
        <v/>
      </c>
      <c r="I1506">
        <f>XLOOKUP(D1506,Products!$A$2:$A$15,Products!$B$2:$B$15,"Not found")</f>
        <v/>
      </c>
    </row>
    <row r="1507">
      <c r="A1507" t="n">
        <v>105826</v>
      </c>
      <c r="B1507" s="1" t="n">
        <v>45780</v>
      </c>
      <c r="C1507" t="inlineStr">
        <is>
          <t>S04</t>
        </is>
      </c>
      <c r="D1507" t="inlineStr">
        <is>
          <t>P201</t>
        </is>
      </c>
      <c r="E1507" t="n">
        <v>1</v>
      </c>
      <c r="F1507" t="n">
        <v>149</v>
      </c>
      <c r="G1507" t="n">
        <v>0</v>
      </c>
      <c r="H1507">
        <f>E1507*F1507*(1-G1507)</f>
        <v/>
      </c>
      <c r="I1507">
        <f>XLOOKUP(D1507,Products!$A$2:$A$15,Products!$B$2:$B$15,"Not found")</f>
        <v/>
      </c>
    </row>
    <row r="1508">
      <c r="A1508" t="n">
        <v>105827</v>
      </c>
      <c r="B1508" s="1" t="n">
        <v>45780</v>
      </c>
      <c r="C1508" t="inlineStr">
        <is>
          <t>S04</t>
        </is>
      </c>
      <c r="D1508" t="inlineStr">
        <is>
          <t>P303</t>
        </is>
      </c>
      <c r="E1508" t="n">
        <v>1</v>
      </c>
      <c r="F1508" t="n">
        <v>12</v>
      </c>
      <c r="G1508" t="n">
        <v>0</v>
      </c>
      <c r="H1508">
        <f>E1508*F1508*(1-G1508)</f>
        <v/>
      </c>
      <c r="I1508">
        <f>XLOOKUP(D1508,Products!$A$2:$A$15,Products!$B$2:$B$15,"Not found")</f>
        <v/>
      </c>
    </row>
    <row r="1509">
      <c r="A1509" t="n">
        <v>105828</v>
      </c>
      <c r="B1509" s="1" t="n">
        <v>45780</v>
      </c>
      <c r="C1509" t="inlineStr">
        <is>
          <t>S04</t>
        </is>
      </c>
      <c r="D1509" t="inlineStr">
        <is>
          <t>P301</t>
        </is>
      </c>
      <c r="E1509" t="n">
        <v>1</v>
      </c>
      <c r="F1509" t="n">
        <v>119</v>
      </c>
      <c r="G1509" t="n">
        <v>0</v>
      </c>
      <c r="H1509">
        <f>E1509*F1509*(1-G1509)</f>
        <v/>
      </c>
      <c r="I1509">
        <f>XLOOKUP(D1509,Products!$A$2:$A$15,Products!$B$2:$B$15,"Not found")</f>
        <v/>
      </c>
    </row>
    <row r="1510">
      <c r="A1510" t="n">
        <v>105829</v>
      </c>
      <c r="B1510" s="1" t="n">
        <v>45780</v>
      </c>
      <c r="C1510" t="inlineStr">
        <is>
          <t>S05</t>
        </is>
      </c>
      <c r="D1510" t="inlineStr">
        <is>
          <t>P203</t>
        </is>
      </c>
      <c r="E1510" t="n">
        <v>3</v>
      </c>
      <c r="F1510" t="n">
        <v>19.5</v>
      </c>
      <c r="G1510" t="n">
        <v>0</v>
      </c>
      <c r="H1510">
        <f>E1510*F1510*(1-G1510)</f>
        <v/>
      </c>
      <c r="I1510">
        <f>XLOOKUP(D1510,Products!$A$2:$A$15,Products!$B$2:$B$15,"Not found")</f>
        <v/>
      </c>
    </row>
    <row r="1511">
      <c r="A1511" t="n">
        <v>105830</v>
      </c>
      <c r="B1511" s="1" t="n">
        <v>45780</v>
      </c>
      <c r="C1511" t="inlineStr">
        <is>
          <t>S05</t>
        </is>
      </c>
      <c r="D1511" t="inlineStr">
        <is>
          <t>P202</t>
        </is>
      </c>
      <c r="E1511" t="n">
        <v>2</v>
      </c>
      <c r="F1511" t="n">
        <v>79</v>
      </c>
      <c r="G1511" t="n">
        <v>0.1</v>
      </c>
      <c r="H1511">
        <f>E1511*F1511*(1-G1511)</f>
        <v/>
      </c>
      <c r="I1511">
        <f>XLOOKUP(D1511,Products!$A$2:$A$15,Products!$B$2:$B$15,"Not found")</f>
        <v/>
      </c>
    </row>
    <row r="1512">
      <c r="A1512" t="n">
        <v>105831</v>
      </c>
      <c r="B1512" s="1" t="n">
        <v>45780</v>
      </c>
      <c r="C1512" t="inlineStr">
        <is>
          <t>S05</t>
        </is>
      </c>
      <c r="D1512" t="inlineStr">
        <is>
          <t>P204</t>
        </is>
      </c>
      <c r="E1512" t="n">
        <v>1</v>
      </c>
      <c r="F1512" t="n">
        <v>229</v>
      </c>
      <c r="G1512" t="n">
        <v>0</v>
      </c>
      <c r="H1512">
        <f>E1512*F1512*(1-G1512)</f>
        <v/>
      </c>
      <c r="I1512">
        <f>XLOOKUP(D1512,Products!$A$2:$A$15,Products!$B$2:$B$15,"Not found")</f>
        <v/>
      </c>
    </row>
    <row r="1513">
      <c r="A1513" t="n">
        <v>105832</v>
      </c>
      <c r="B1513" s="1" t="n">
        <v>45780</v>
      </c>
      <c r="C1513" t="inlineStr">
        <is>
          <t>S05</t>
        </is>
      </c>
      <c r="D1513" t="inlineStr">
        <is>
          <t>P104</t>
        </is>
      </c>
      <c r="E1513" t="n">
        <v>1</v>
      </c>
      <c r="F1513" t="n">
        <v>189</v>
      </c>
      <c r="G1513" t="n">
        <v>0.1</v>
      </c>
      <c r="H1513">
        <f>E1513*F1513*(1-G1513)</f>
        <v/>
      </c>
      <c r="I1513">
        <f>XLOOKUP(D1513,Products!$A$2:$A$15,Products!$B$2:$B$15,"Not found")</f>
        <v/>
      </c>
    </row>
    <row r="1514">
      <c r="A1514" t="n">
        <v>105833</v>
      </c>
      <c r="B1514" s="1" t="n">
        <v>45780</v>
      </c>
      <c r="C1514" t="inlineStr">
        <is>
          <t>S06</t>
        </is>
      </c>
      <c r="D1514" t="inlineStr">
        <is>
          <t>P102</t>
        </is>
      </c>
      <c r="E1514" t="n">
        <v>4</v>
      </c>
      <c r="F1514" t="n">
        <v>14.5</v>
      </c>
      <c r="G1514" t="n">
        <v>0</v>
      </c>
      <c r="H1514">
        <f>E1514*F1514*(1-G1514)</f>
        <v/>
      </c>
      <c r="I1514">
        <f>XLOOKUP(D1514,Products!$A$2:$A$15,Products!$B$2:$B$15,"Not found")</f>
        <v/>
      </c>
    </row>
    <row r="1515">
      <c r="A1515" t="n">
        <v>105834</v>
      </c>
      <c r="B1515" s="1" t="n">
        <v>45780</v>
      </c>
      <c r="C1515" t="inlineStr">
        <is>
          <t>S06</t>
        </is>
      </c>
      <c r="D1515" t="inlineStr">
        <is>
          <t>P102</t>
        </is>
      </c>
      <c r="E1515" t="n">
        <v>1</v>
      </c>
      <c r="F1515" t="n">
        <v>14.5</v>
      </c>
      <c r="G1515" t="n">
        <v>0</v>
      </c>
      <c r="H1515">
        <f>E1515*F1515*(1-G1515)</f>
        <v/>
      </c>
      <c r="I1515">
        <f>XLOOKUP(D1515,Products!$A$2:$A$15,Products!$B$2:$B$15,"Not found")</f>
        <v/>
      </c>
    </row>
    <row r="1516">
      <c r="A1516" t="n">
        <v>105835</v>
      </c>
      <c r="B1516" s="1" t="n">
        <v>45781</v>
      </c>
      <c r="C1516" t="inlineStr">
        <is>
          <t>S01</t>
        </is>
      </c>
      <c r="D1516" t="inlineStr">
        <is>
          <t>P101</t>
        </is>
      </c>
      <c r="E1516" t="n">
        <v>2</v>
      </c>
      <c r="F1516" t="n">
        <v>39</v>
      </c>
      <c r="G1516" t="n">
        <v>0</v>
      </c>
      <c r="H1516">
        <f>E1516*F1516*(1-G1516)</f>
        <v/>
      </c>
      <c r="I1516">
        <f>XLOOKUP(D1516,Products!$A$2:$A$15,Products!$B$2:$B$15,"Not found")</f>
        <v/>
      </c>
    </row>
    <row r="1517">
      <c r="A1517" t="n">
        <v>105836</v>
      </c>
      <c r="B1517" s="1" t="n">
        <v>45781</v>
      </c>
      <c r="C1517" t="inlineStr">
        <is>
          <t>S01</t>
        </is>
      </c>
      <c r="D1517" t="inlineStr">
        <is>
          <t>P201</t>
        </is>
      </c>
      <c r="E1517" t="n">
        <v>1</v>
      </c>
      <c r="F1517" t="n">
        <v>149</v>
      </c>
      <c r="G1517" t="n">
        <v>0</v>
      </c>
      <c r="H1517">
        <f>E1517*F1517*(1-G1517)</f>
        <v/>
      </c>
      <c r="I1517">
        <f>XLOOKUP(D1517,Products!$A$2:$A$15,Products!$B$2:$B$15,"Not found")</f>
        <v/>
      </c>
    </row>
    <row r="1518">
      <c r="A1518" t="n">
        <v>105837</v>
      </c>
      <c r="B1518" s="1" t="n">
        <v>45781</v>
      </c>
      <c r="C1518" t="inlineStr">
        <is>
          <t>S01</t>
        </is>
      </c>
      <c r="D1518" t="inlineStr">
        <is>
          <t>P103</t>
        </is>
      </c>
      <c r="E1518" t="n">
        <v>1</v>
      </c>
      <c r="F1518" t="n">
        <v>29</v>
      </c>
      <c r="G1518" t="n">
        <v>0</v>
      </c>
      <c r="H1518">
        <f>E1518*F1518*(1-G1518)</f>
        <v/>
      </c>
      <c r="I1518">
        <f>XLOOKUP(D1518,Products!$A$2:$A$15,Products!$B$2:$B$15,"Not found")</f>
        <v/>
      </c>
    </row>
    <row r="1519">
      <c r="A1519" t="n">
        <v>105838</v>
      </c>
      <c r="B1519" s="1" t="n">
        <v>45781</v>
      </c>
      <c r="C1519" t="inlineStr">
        <is>
          <t>S01</t>
        </is>
      </c>
      <c r="D1519" t="inlineStr">
        <is>
          <t>P204</t>
        </is>
      </c>
      <c r="E1519" t="n">
        <v>1</v>
      </c>
      <c r="F1519" t="n">
        <v>229</v>
      </c>
      <c r="G1519" t="n">
        <v>0.2</v>
      </c>
      <c r="H1519">
        <f>E1519*F1519*(1-G1519)</f>
        <v/>
      </c>
      <c r="I1519">
        <f>XLOOKUP(D1519,Products!$A$2:$A$15,Products!$B$2:$B$15,"Not found")</f>
        <v/>
      </c>
    </row>
    <row r="1520">
      <c r="A1520" t="n">
        <v>105839</v>
      </c>
      <c r="B1520" s="1" t="n">
        <v>45781</v>
      </c>
      <c r="C1520" t="inlineStr">
        <is>
          <t>S02</t>
        </is>
      </c>
      <c r="D1520" t="inlineStr">
        <is>
          <t>P302</t>
        </is>
      </c>
      <c r="E1520" t="n">
        <v>2</v>
      </c>
      <c r="F1520" t="n">
        <v>24</v>
      </c>
      <c r="G1520" t="n">
        <v>0</v>
      </c>
      <c r="H1520">
        <f>E1520*F1520*(1-G1520)</f>
        <v/>
      </c>
      <c r="I1520">
        <f>XLOOKUP(D1520,Products!$A$2:$A$15,Products!$B$2:$B$15,"Not found")</f>
        <v/>
      </c>
    </row>
    <row r="1521">
      <c r="A1521" t="n">
        <v>105840</v>
      </c>
      <c r="B1521" s="1" t="n">
        <v>45781</v>
      </c>
      <c r="C1521" t="inlineStr">
        <is>
          <t>S02</t>
        </is>
      </c>
      <c r="D1521" t="inlineStr">
        <is>
          <t>P301</t>
        </is>
      </c>
      <c r="E1521" t="n">
        <v>1</v>
      </c>
      <c r="F1521" t="n">
        <v>119</v>
      </c>
      <c r="G1521" t="n">
        <v>0.2</v>
      </c>
      <c r="H1521">
        <f>E1521*F1521*(1-G1521)</f>
        <v/>
      </c>
      <c r="I1521">
        <f>XLOOKUP(D1521,Products!$A$2:$A$15,Products!$B$2:$B$15,"Not found")</f>
        <v/>
      </c>
    </row>
    <row r="1522">
      <c r="A1522" t="n">
        <v>105841</v>
      </c>
      <c r="B1522" s="1" t="n">
        <v>45781</v>
      </c>
      <c r="C1522" t="inlineStr">
        <is>
          <t>S02</t>
        </is>
      </c>
      <c r="D1522" t="inlineStr">
        <is>
          <t>P102</t>
        </is>
      </c>
      <c r="E1522" t="n">
        <v>2</v>
      </c>
      <c r="F1522" t="n">
        <v>14.5</v>
      </c>
      <c r="G1522" t="n">
        <v>0.2</v>
      </c>
      <c r="H1522">
        <f>E1522*F1522*(1-G1522)</f>
        <v/>
      </c>
      <c r="I1522">
        <f>XLOOKUP(D1522,Products!$A$2:$A$15,Products!$B$2:$B$15,"Not found")</f>
        <v/>
      </c>
    </row>
    <row r="1523">
      <c r="A1523" t="n">
        <v>105842</v>
      </c>
      <c r="B1523" s="1" t="n">
        <v>45781</v>
      </c>
      <c r="C1523" t="inlineStr">
        <is>
          <t>S03</t>
        </is>
      </c>
      <c r="D1523" t="inlineStr">
        <is>
          <t>P101</t>
        </is>
      </c>
      <c r="E1523" t="n">
        <v>2</v>
      </c>
      <c r="F1523" t="n">
        <v>39</v>
      </c>
      <c r="G1523" t="n">
        <v>0</v>
      </c>
      <c r="H1523">
        <f>E1523*F1523*(1-G1523)</f>
        <v/>
      </c>
      <c r="I1523">
        <f>XLOOKUP(D1523,Products!$A$2:$A$15,Products!$B$2:$B$15,"Not found")</f>
        <v/>
      </c>
    </row>
    <row r="1524">
      <c r="A1524" t="n">
        <v>105843</v>
      </c>
      <c r="B1524" s="1" t="n">
        <v>45781</v>
      </c>
      <c r="C1524" t="inlineStr">
        <is>
          <t>S03</t>
        </is>
      </c>
      <c r="D1524" t="inlineStr">
        <is>
          <t>P102</t>
        </is>
      </c>
      <c r="E1524" t="n">
        <v>1</v>
      </c>
      <c r="F1524" t="n">
        <v>14.5</v>
      </c>
      <c r="G1524" t="n">
        <v>0.15</v>
      </c>
      <c r="H1524">
        <f>E1524*F1524*(1-G1524)</f>
        <v/>
      </c>
      <c r="I1524">
        <f>XLOOKUP(D1524,Products!$A$2:$A$15,Products!$B$2:$B$15,"Not found")</f>
        <v/>
      </c>
    </row>
    <row r="1525">
      <c r="A1525" t="n">
        <v>105844</v>
      </c>
      <c r="B1525" s="1" t="n">
        <v>45781</v>
      </c>
      <c r="C1525" t="inlineStr">
        <is>
          <t>S04</t>
        </is>
      </c>
      <c r="D1525" t="inlineStr">
        <is>
          <t>P102</t>
        </is>
      </c>
      <c r="E1525" t="n">
        <v>2</v>
      </c>
      <c r="F1525" t="n">
        <v>14.5</v>
      </c>
      <c r="G1525" t="n">
        <v>0.2</v>
      </c>
      <c r="H1525">
        <f>E1525*F1525*(1-G1525)</f>
        <v/>
      </c>
      <c r="I1525">
        <f>XLOOKUP(D1525,Products!$A$2:$A$15,Products!$B$2:$B$15,"Not found")</f>
        <v/>
      </c>
    </row>
    <row r="1526">
      <c r="A1526" t="n">
        <v>105845</v>
      </c>
      <c r="B1526" s="1" t="n">
        <v>45781</v>
      </c>
      <c r="C1526" t="inlineStr">
        <is>
          <t>S04</t>
        </is>
      </c>
      <c r="D1526" t="inlineStr">
        <is>
          <t>P301</t>
        </is>
      </c>
      <c r="E1526" t="n">
        <v>1</v>
      </c>
      <c r="F1526" t="n">
        <v>119</v>
      </c>
      <c r="G1526" t="n">
        <v>0.2</v>
      </c>
      <c r="H1526">
        <f>E1526*F1526*(1-G1526)</f>
        <v/>
      </c>
      <c r="I1526">
        <f>XLOOKUP(D1526,Products!$A$2:$A$15,Products!$B$2:$B$15,"Not found")</f>
        <v/>
      </c>
    </row>
    <row r="1527">
      <c r="A1527" t="n">
        <v>105846</v>
      </c>
      <c r="B1527" s="1" t="n">
        <v>45781</v>
      </c>
      <c r="C1527" t="inlineStr">
        <is>
          <t>S05</t>
        </is>
      </c>
      <c r="D1527" t="inlineStr">
        <is>
          <t>P104</t>
        </is>
      </c>
      <c r="E1527" t="n">
        <v>1</v>
      </c>
      <c r="F1527" t="n">
        <v>189</v>
      </c>
      <c r="G1527" t="n">
        <v>0</v>
      </c>
      <c r="H1527">
        <f>E1527*F1527*(1-G1527)</f>
        <v/>
      </c>
      <c r="I1527">
        <f>XLOOKUP(D1527,Products!$A$2:$A$15,Products!$B$2:$B$15,"Not found")</f>
        <v/>
      </c>
    </row>
    <row r="1528">
      <c r="A1528" t="n">
        <v>105847</v>
      </c>
      <c r="B1528" s="1" t="n">
        <v>45781</v>
      </c>
      <c r="C1528" t="inlineStr">
        <is>
          <t>S05</t>
        </is>
      </c>
      <c r="D1528" t="inlineStr">
        <is>
          <t>P301</t>
        </is>
      </c>
      <c r="E1528" t="n">
        <v>1</v>
      </c>
      <c r="F1528" t="n">
        <v>119</v>
      </c>
      <c r="G1528" t="n">
        <v>0.15</v>
      </c>
      <c r="H1528">
        <f>E1528*F1528*(1-G1528)</f>
        <v/>
      </c>
      <c r="I1528">
        <f>XLOOKUP(D1528,Products!$A$2:$A$15,Products!$B$2:$B$15,"Not found")</f>
        <v/>
      </c>
    </row>
    <row r="1529">
      <c r="A1529" t="n">
        <v>105848</v>
      </c>
      <c r="B1529" s="1" t="n">
        <v>45781</v>
      </c>
      <c r="C1529" t="inlineStr">
        <is>
          <t>S06</t>
        </is>
      </c>
      <c r="D1529" t="inlineStr">
        <is>
          <t>P203</t>
        </is>
      </c>
      <c r="E1529" t="n">
        <v>2</v>
      </c>
      <c r="F1529" t="n">
        <v>19.5</v>
      </c>
      <c r="G1529" t="n">
        <v>0</v>
      </c>
      <c r="H1529">
        <f>E1529*F1529*(1-G1529)</f>
        <v/>
      </c>
      <c r="I1529">
        <f>XLOOKUP(D1529,Products!$A$2:$A$15,Products!$B$2:$B$15,"Not found")</f>
        <v/>
      </c>
    </row>
    <row r="1530">
      <c r="A1530" t="n">
        <v>105849</v>
      </c>
      <c r="B1530" s="1" t="n">
        <v>45782</v>
      </c>
      <c r="C1530" t="inlineStr">
        <is>
          <t>S02</t>
        </is>
      </c>
      <c r="D1530" t="inlineStr">
        <is>
          <t>P101</t>
        </is>
      </c>
      <c r="E1530" t="n">
        <v>1</v>
      </c>
      <c r="F1530" t="n">
        <v>39</v>
      </c>
      <c r="G1530" t="n">
        <v>0.2</v>
      </c>
      <c r="H1530">
        <f>E1530*F1530*(1-G1530)</f>
        <v/>
      </c>
      <c r="I1530">
        <f>XLOOKUP(D1530,Products!$A$2:$A$15,Products!$B$2:$B$15,"Not found")</f>
        <v/>
      </c>
    </row>
    <row r="1531">
      <c r="A1531" t="n">
        <v>105850</v>
      </c>
      <c r="B1531" s="1" t="n">
        <v>45782</v>
      </c>
      <c r="C1531" t="inlineStr">
        <is>
          <t>S03</t>
        </is>
      </c>
      <c r="D1531" t="inlineStr">
        <is>
          <t>P101</t>
        </is>
      </c>
      <c r="E1531" t="n">
        <v>3</v>
      </c>
      <c r="F1531" t="n">
        <v>39</v>
      </c>
      <c r="G1531" t="n">
        <v>0.15</v>
      </c>
      <c r="H1531">
        <f>E1531*F1531*(1-G1531)</f>
        <v/>
      </c>
      <c r="I1531">
        <f>XLOOKUP(D1531,Products!$A$2:$A$15,Products!$B$2:$B$15,"Not found")</f>
        <v/>
      </c>
    </row>
    <row r="1532">
      <c r="A1532" t="n">
        <v>105851</v>
      </c>
      <c r="B1532" s="1" t="n">
        <v>45782</v>
      </c>
      <c r="C1532" t="inlineStr">
        <is>
          <t>S03</t>
        </is>
      </c>
      <c r="D1532" t="inlineStr">
        <is>
          <t>P201</t>
        </is>
      </c>
      <c r="E1532" t="n">
        <v>1</v>
      </c>
      <c r="F1532" t="n">
        <v>149</v>
      </c>
      <c r="G1532" t="n">
        <v>0.15</v>
      </c>
      <c r="H1532">
        <f>E1532*F1532*(1-G1532)</f>
        <v/>
      </c>
      <c r="I1532">
        <f>XLOOKUP(D1532,Products!$A$2:$A$15,Products!$B$2:$B$15,"Not found")</f>
        <v/>
      </c>
    </row>
    <row r="1533">
      <c r="A1533" t="n">
        <v>105852</v>
      </c>
      <c r="B1533" s="1" t="n">
        <v>45782</v>
      </c>
      <c r="C1533" t="inlineStr">
        <is>
          <t>S03</t>
        </is>
      </c>
      <c r="D1533" t="inlineStr">
        <is>
          <t>P403</t>
        </is>
      </c>
      <c r="E1533" t="n">
        <v>2</v>
      </c>
      <c r="F1533" t="n">
        <v>89</v>
      </c>
      <c r="G1533" t="n">
        <v>0.2</v>
      </c>
      <c r="H1533">
        <f>E1533*F1533*(1-G1533)</f>
        <v/>
      </c>
      <c r="I1533">
        <f>XLOOKUP(D1533,Products!$A$2:$A$15,Products!$B$2:$B$15,"Not found")</f>
        <v/>
      </c>
    </row>
    <row r="1534">
      <c r="A1534" t="n">
        <v>105853</v>
      </c>
      <c r="B1534" s="1" t="n">
        <v>45782</v>
      </c>
      <c r="C1534" t="inlineStr">
        <is>
          <t>S03</t>
        </is>
      </c>
      <c r="D1534" t="inlineStr">
        <is>
          <t>P201</t>
        </is>
      </c>
      <c r="E1534" t="n">
        <v>1</v>
      </c>
      <c r="F1534" t="n">
        <v>149</v>
      </c>
      <c r="G1534" t="n">
        <v>0</v>
      </c>
      <c r="H1534">
        <f>E1534*F1534*(1-G1534)</f>
        <v/>
      </c>
      <c r="I1534">
        <f>XLOOKUP(D1534,Products!$A$2:$A$15,Products!$B$2:$B$15,"Not found")</f>
        <v/>
      </c>
    </row>
    <row r="1535">
      <c r="A1535" t="n">
        <v>105854</v>
      </c>
      <c r="B1535" s="1" t="n">
        <v>45782</v>
      </c>
      <c r="C1535" t="inlineStr">
        <is>
          <t>S04</t>
        </is>
      </c>
      <c r="D1535" t="inlineStr">
        <is>
          <t>P103</t>
        </is>
      </c>
      <c r="E1535" t="n">
        <v>1</v>
      </c>
      <c r="F1535" t="n">
        <v>29</v>
      </c>
      <c r="G1535" t="n">
        <v>0</v>
      </c>
      <c r="H1535">
        <f>E1535*F1535*(1-G1535)</f>
        <v/>
      </c>
      <c r="I1535">
        <f>XLOOKUP(D1535,Products!$A$2:$A$15,Products!$B$2:$B$15,"Not found")</f>
        <v/>
      </c>
    </row>
    <row r="1536">
      <c r="A1536" t="n">
        <v>105855</v>
      </c>
      <c r="B1536" s="1" t="n">
        <v>45782</v>
      </c>
      <c r="C1536" t="inlineStr">
        <is>
          <t>S05</t>
        </is>
      </c>
      <c r="D1536" t="inlineStr">
        <is>
          <t>P101</t>
        </is>
      </c>
      <c r="E1536" t="n">
        <v>1</v>
      </c>
      <c r="F1536" t="n">
        <v>39</v>
      </c>
      <c r="G1536" t="n">
        <v>0.15</v>
      </c>
      <c r="H1536">
        <f>E1536*F1536*(1-G1536)</f>
        <v/>
      </c>
      <c r="I1536">
        <f>XLOOKUP(D1536,Products!$A$2:$A$15,Products!$B$2:$B$15,"Not found")</f>
        <v/>
      </c>
    </row>
    <row r="1537">
      <c r="A1537" t="n">
        <v>105856</v>
      </c>
      <c r="B1537" s="1" t="n">
        <v>45782</v>
      </c>
      <c r="C1537" t="inlineStr">
        <is>
          <t>S05</t>
        </is>
      </c>
      <c r="D1537" t="inlineStr">
        <is>
          <t>P302</t>
        </is>
      </c>
      <c r="E1537" t="n">
        <v>4</v>
      </c>
      <c r="F1537" t="n">
        <v>24</v>
      </c>
      <c r="G1537" t="n">
        <v>0</v>
      </c>
      <c r="H1537">
        <f>E1537*F1537*(1-G1537)</f>
        <v/>
      </c>
      <c r="I1537">
        <f>XLOOKUP(D1537,Products!$A$2:$A$15,Products!$B$2:$B$15,"Not found")</f>
        <v/>
      </c>
    </row>
    <row r="1538">
      <c r="A1538" t="n">
        <v>105857</v>
      </c>
      <c r="B1538" s="1" t="n">
        <v>45782</v>
      </c>
      <c r="C1538" t="inlineStr">
        <is>
          <t>S05</t>
        </is>
      </c>
      <c r="D1538" t="inlineStr">
        <is>
          <t>P102</t>
        </is>
      </c>
      <c r="E1538" t="n">
        <v>2</v>
      </c>
      <c r="F1538" t="n">
        <v>14.5</v>
      </c>
      <c r="G1538" t="n">
        <v>0</v>
      </c>
      <c r="H1538">
        <f>E1538*F1538*(1-G1538)</f>
        <v/>
      </c>
      <c r="I1538">
        <f>XLOOKUP(D1538,Products!$A$2:$A$15,Products!$B$2:$B$15,"Not found")</f>
        <v/>
      </c>
    </row>
    <row r="1539">
      <c r="A1539" t="n">
        <v>105858</v>
      </c>
      <c r="B1539" s="1" t="n">
        <v>45783</v>
      </c>
      <c r="C1539" t="inlineStr">
        <is>
          <t>S01</t>
        </is>
      </c>
      <c r="D1539" t="inlineStr">
        <is>
          <t>P303</t>
        </is>
      </c>
      <c r="E1539" t="n">
        <v>1</v>
      </c>
      <c r="F1539" t="n">
        <v>12</v>
      </c>
      <c r="G1539" t="n">
        <v>0</v>
      </c>
      <c r="H1539">
        <f>E1539*F1539*(1-G1539)</f>
        <v/>
      </c>
      <c r="I1539">
        <f>XLOOKUP(D1539,Products!$A$2:$A$15,Products!$B$2:$B$15,"Not found")</f>
        <v/>
      </c>
    </row>
    <row r="1540">
      <c r="A1540" t="n">
        <v>105859</v>
      </c>
      <c r="B1540" s="1" t="n">
        <v>45783</v>
      </c>
      <c r="C1540" t="inlineStr">
        <is>
          <t>S01</t>
        </is>
      </c>
      <c r="D1540" t="inlineStr">
        <is>
          <t>P102</t>
        </is>
      </c>
      <c r="E1540" t="n">
        <v>1</v>
      </c>
      <c r="F1540" t="n">
        <v>14.5</v>
      </c>
      <c r="G1540" t="n">
        <v>0</v>
      </c>
      <c r="H1540">
        <f>E1540*F1540*(1-G1540)</f>
        <v/>
      </c>
      <c r="I1540">
        <f>XLOOKUP(D1540,Products!$A$2:$A$15,Products!$B$2:$B$15,"Not found")</f>
        <v/>
      </c>
    </row>
    <row r="1541">
      <c r="A1541" t="n">
        <v>105860</v>
      </c>
      <c r="B1541" s="1" t="n">
        <v>45783</v>
      </c>
      <c r="C1541" t="inlineStr">
        <is>
          <t>S01</t>
        </is>
      </c>
      <c r="D1541" t="inlineStr">
        <is>
          <t>P203</t>
        </is>
      </c>
      <c r="E1541" t="n">
        <v>3</v>
      </c>
      <c r="F1541" t="n">
        <v>19.5</v>
      </c>
      <c r="G1541" t="n">
        <v>0</v>
      </c>
      <c r="H1541">
        <f>E1541*F1541*(1-G1541)</f>
        <v/>
      </c>
      <c r="I1541">
        <f>XLOOKUP(D1541,Products!$A$2:$A$15,Products!$B$2:$B$15,"Not found")</f>
        <v/>
      </c>
    </row>
    <row r="1542">
      <c r="A1542" t="n">
        <v>105861</v>
      </c>
      <c r="B1542" s="1" t="n">
        <v>45783</v>
      </c>
      <c r="C1542" t="inlineStr">
        <is>
          <t>S01</t>
        </is>
      </c>
      <c r="D1542" t="inlineStr">
        <is>
          <t>P203</t>
        </is>
      </c>
      <c r="E1542" t="n">
        <v>1</v>
      </c>
      <c r="F1542" t="n">
        <v>19.5</v>
      </c>
      <c r="G1542" t="n">
        <v>0</v>
      </c>
      <c r="H1542">
        <f>E1542*F1542*(1-G1542)</f>
        <v/>
      </c>
      <c r="I1542">
        <f>XLOOKUP(D1542,Products!$A$2:$A$15,Products!$B$2:$B$15,"Not found")</f>
        <v/>
      </c>
    </row>
    <row r="1543">
      <c r="A1543" t="n">
        <v>105862</v>
      </c>
      <c r="B1543" s="1" t="n">
        <v>45783</v>
      </c>
      <c r="C1543" t="inlineStr">
        <is>
          <t>S02</t>
        </is>
      </c>
      <c r="D1543" t="inlineStr">
        <is>
          <t>P102</t>
        </is>
      </c>
      <c r="E1543" t="n">
        <v>1</v>
      </c>
      <c r="F1543" t="n">
        <v>14.5</v>
      </c>
      <c r="G1543" t="n">
        <v>0</v>
      </c>
      <c r="H1543">
        <f>E1543*F1543*(1-G1543)</f>
        <v/>
      </c>
      <c r="I1543">
        <f>XLOOKUP(D1543,Products!$A$2:$A$15,Products!$B$2:$B$15,"Not found")</f>
        <v/>
      </c>
    </row>
    <row r="1544">
      <c r="A1544" t="n">
        <v>105863</v>
      </c>
      <c r="B1544" s="1" t="n">
        <v>45783</v>
      </c>
      <c r="C1544" t="inlineStr">
        <is>
          <t>S03</t>
        </is>
      </c>
      <c r="D1544" t="inlineStr">
        <is>
          <t>P302</t>
        </is>
      </c>
      <c r="E1544" t="n">
        <v>3</v>
      </c>
      <c r="F1544" t="n">
        <v>24</v>
      </c>
      <c r="G1544" t="n">
        <v>0.1</v>
      </c>
      <c r="H1544">
        <f>E1544*F1544*(1-G1544)</f>
        <v/>
      </c>
      <c r="I1544">
        <f>XLOOKUP(D1544,Products!$A$2:$A$15,Products!$B$2:$B$15,"Not found")</f>
        <v/>
      </c>
    </row>
    <row r="1545">
      <c r="A1545" t="n">
        <v>105864</v>
      </c>
      <c r="B1545" s="1" t="n">
        <v>45783</v>
      </c>
      <c r="C1545" t="inlineStr">
        <is>
          <t>S04</t>
        </is>
      </c>
      <c r="D1545" t="inlineStr">
        <is>
          <t>P302</t>
        </is>
      </c>
      <c r="E1545" t="n">
        <v>3</v>
      </c>
      <c r="F1545" t="n">
        <v>24</v>
      </c>
      <c r="G1545" t="n">
        <v>0</v>
      </c>
      <c r="H1545">
        <f>E1545*F1545*(1-G1545)</f>
        <v/>
      </c>
      <c r="I1545">
        <f>XLOOKUP(D1545,Products!$A$2:$A$15,Products!$B$2:$B$15,"Not found")</f>
        <v/>
      </c>
    </row>
    <row r="1546">
      <c r="A1546" t="n">
        <v>105865</v>
      </c>
      <c r="B1546" s="1" t="n">
        <v>45783</v>
      </c>
      <c r="C1546" t="inlineStr">
        <is>
          <t>S05</t>
        </is>
      </c>
      <c r="D1546" t="inlineStr">
        <is>
          <t>P103</t>
        </is>
      </c>
      <c r="E1546" t="n">
        <v>1</v>
      </c>
      <c r="F1546" t="n">
        <v>29</v>
      </c>
      <c r="G1546" t="n">
        <v>0</v>
      </c>
      <c r="H1546">
        <f>E1546*F1546*(1-G1546)</f>
        <v/>
      </c>
      <c r="I1546">
        <f>XLOOKUP(D1546,Products!$A$2:$A$15,Products!$B$2:$B$15,"Not found")</f>
        <v/>
      </c>
    </row>
    <row r="1547">
      <c r="A1547" t="n">
        <v>105866</v>
      </c>
      <c r="B1547" s="1" t="n">
        <v>45784</v>
      </c>
      <c r="C1547" t="inlineStr">
        <is>
          <t>S01</t>
        </is>
      </c>
      <c r="D1547" t="inlineStr">
        <is>
          <t>P103</t>
        </is>
      </c>
      <c r="E1547" t="n">
        <v>1</v>
      </c>
      <c r="F1547" t="n">
        <v>29</v>
      </c>
      <c r="G1547" t="n">
        <v>0.2</v>
      </c>
      <c r="H1547">
        <f>E1547*F1547*(1-G1547)</f>
        <v/>
      </c>
      <c r="I1547">
        <f>XLOOKUP(D1547,Products!$A$2:$A$15,Products!$B$2:$B$15,"Not found")</f>
        <v/>
      </c>
    </row>
    <row r="1548">
      <c r="A1548" t="n">
        <v>105867</v>
      </c>
      <c r="B1548" s="1" t="n">
        <v>45784</v>
      </c>
      <c r="C1548" t="inlineStr">
        <is>
          <t>S02</t>
        </is>
      </c>
      <c r="D1548" t="inlineStr">
        <is>
          <t>P203</t>
        </is>
      </c>
      <c r="E1548" t="n">
        <v>2</v>
      </c>
      <c r="F1548" t="n">
        <v>19.5</v>
      </c>
      <c r="G1548" t="n">
        <v>0</v>
      </c>
      <c r="H1548">
        <f>E1548*F1548*(1-G1548)</f>
        <v/>
      </c>
      <c r="I1548">
        <f>XLOOKUP(D1548,Products!$A$2:$A$15,Products!$B$2:$B$15,"Not found")</f>
        <v/>
      </c>
    </row>
    <row r="1549">
      <c r="A1549" t="n">
        <v>105868</v>
      </c>
      <c r="B1549" s="1" t="n">
        <v>45784</v>
      </c>
      <c r="C1549" t="inlineStr">
        <is>
          <t>S02</t>
        </is>
      </c>
      <c r="D1549" t="inlineStr">
        <is>
          <t>P302</t>
        </is>
      </c>
      <c r="E1549" t="n">
        <v>4</v>
      </c>
      <c r="F1549" t="n">
        <v>24</v>
      </c>
      <c r="G1549" t="n">
        <v>0.1</v>
      </c>
      <c r="H1549">
        <f>E1549*F1549*(1-G1549)</f>
        <v/>
      </c>
      <c r="I1549">
        <f>XLOOKUP(D1549,Products!$A$2:$A$15,Products!$B$2:$B$15,"Not found")</f>
        <v/>
      </c>
    </row>
    <row r="1550">
      <c r="A1550" t="n">
        <v>105869</v>
      </c>
      <c r="B1550" s="1" t="n">
        <v>45784</v>
      </c>
      <c r="C1550" t="inlineStr">
        <is>
          <t>S02</t>
        </is>
      </c>
      <c r="D1550" t="inlineStr">
        <is>
          <t>P101</t>
        </is>
      </c>
      <c r="E1550" t="n">
        <v>4</v>
      </c>
      <c r="F1550" t="n">
        <v>39</v>
      </c>
      <c r="G1550" t="n">
        <v>0.1</v>
      </c>
      <c r="H1550">
        <f>E1550*F1550*(1-G1550)</f>
        <v/>
      </c>
      <c r="I1550">
        <f>XLOOKUP(D1550,Products!$A$2:$A$15,Products!$B$2:$B$15,"Not found")</f>
        <v/>
      </c>
    </row>
    <row r="1551">
      <c r="A1551" t="n">
        <v>105870</v>
      </c>
      <c r="B1551" s="1" t="n">
        <v>45784</v>
      </c>
      <c r="C1551" t="inlineStr">
        <is>
          <t>S02</t>
        </is>
      </c>
      <c r="D1551" t="inlineStr">
        <is>
          <t>P102</t>
        </is>
      </c>
      <c r="E1551" t="n">
        <v>1</v>
      </c>
      <c r="F1551" t="n">
        <v>14.5</v>
      </c>
      <c r="G1551" t="n">
        <v>0</v>
      </c>
      <c r="H1551">
        <f>E1551*F1551*(1-G1551)</f>
        <v/>
      </c>
      <c r="I1551">
        <f>XLOOKUP(D1551,Products!$A$2:$A$15,Products!$B$2:$B$15,"Not found")</f>
        <v/>
      </c>
    </row>
    <row r="1552">
      <c r="A1552" t="n">
        <v>105871</v>
      </c>
      <c r="B1552" s="1" t="n">
        <v>45784</v>
      </c>
      <c r="C1552" t="inlineStr">
        <is>
          <t>S02</t>
        </is>
      </c>
      <c r="D1552" t="inlineStr">
        <is>
          <t>P202</t>
        </is>
      </c>
      <c r="E1552" t="n">
        <v>1</v>
      </c>
      <c r="F1552" t="n">
        <v>79</v>
      </c>
      <c r="G1552" t="n">
        <v>0</v>
      </c>
      <c r="H1552">
        <f>E1552*F1552*(1-G1552)</f>
        <v/>
      </c>
      <c r="I1552">
        <f>XLOOKUP(D1552,Products!$A$2:$A$15,Products!$B$2:$B$15,"Not found")</f>
        <v/>
      </c>
    </row>
    <row r="1553">
      <c r="A1553" t="n">
        <v>105872</v>
      </c>
      <c r="B1553" s="1" t="n">
        <v>45784</v>
      </c>
      <c r="C1553" t="inlineStr">
        <is>
          <t>S03</t>
        </is>
      </c>
      <c r="D1553" t="inlineStr">
        <is>
          <t>P101</t>
        </is>
      </c>
      <c r="E1553" t="n">
        <v>1</v>
      </c>
      <c r="F1553" t="n">
        <v>39</v>
      </c>
      <c r="G1553" t="n">
        <v>0</v>
      </c>
      <c r="H1553">
        <f>E1553*F1553*(1-G1553)</f>
        <v/>
      </c>
      <c r="I1553">
        <f>XLOOKUP(D1553,Products!$A$2:$A$15,Products!$B$2:$B$15,"Not found")</f>
        <v/>
      </c>
    </row>
    <row r="1554">
      <c r="A1554" t="n">
        <v>105873</v>
      </c>
      <c r="B1554" s="1" t="n">
        <v>45784</v>
      </c>
      <c r="C1554" t="inlineStr">
        <is>
          <t>S03</t>
        </is>
      </c>
      <c r="D1554" t="inlineStr">
        <is>
          <t>P202</t>
        </is>
      </c>
      <c r="E1554" t="n">
        <v>2</v>
      </c>
      <c r="F1554" t="n">
        <v>79</v>
      </c>
      <c r="G1554" t="n">
        <v>0.2</v>
      </c>
      <c r="H1554">
        <f>E1554*F1554*(1-G1554)</f>
        <v/>
      </c>
      <c r="I1554">
        <f>XLOOKUP(D1554,Products!$A$2:$A$15,Products!$B$2:$B$15,"Not found")</f>
        <v/>
      </c>
    </row>
    <row r="1555">
      <c r="A1555" t="n">
        <v>105874</v>
      </c>
      <c r="B1555" s="1" t="n">
        <v>45784</v>
      </c>
      <c r="C1555" t="inlineStr">
        <is>
          <t>S06</t>
        </is>
      </c>
      <c r="D1555" t="inlineStr">
        <is>
          <t>P102</t>
        </is>
      </c>
      <c r="E1555" t="n">
        <v>2</v>
      </c>
      <c r="F1555" t="n">
        <v>14.5</v>
      </c>
      <c r="G1555" t="n">
        <v>0</v>
      </c>
      <c r="H1555">
        <f>E1555*F1555*(1-G1555)</f>
        <v/>
      </c>
      <c r="I1555">
        <f>XLOOKUP(D1555,Products!$A$2:$A$15,Products!$B$2:$B$15,"Not found")</f>
        <v/>
      </c>
    </row>
    <row r="1556">
      <c r="A1556" t="n">
        <v>105875</v>
      </c>
      <c r="B1556" s="1" t="n">
        <v>45784</v>
      </c>
      <c r="C1556" t="inlineStr">
        <is>
          <t>S06</t>
        </is>
      </c>
      <c r="D1556" t="inlineStr">
        <is>
          <t>P201</t>
        </is>
      </c>
      <c r="E1556" t="n">
        <v>1</v>
      </c>
      <c r="F1556" t="n">
        <v>149</v>
      </c>
      <c r="G1556" t="n">
        <v>0.1</v>
      </c>
      <c r="H1556">
        <f>E1556*F1556*(1-G1556)</f>
        <v/>
      </c>
      <c r="I1556">
        <f>XLOOKUP(D1556,Products!$A$2:$A$15,Products!$B$2:$B$15,"Not found")</f>
        <v/>
      </c>
    </row>
    <row r="1557">
      <c r="A1557" t="n">
        <v>105876</v>
      </c>
      <c r="B1557" s="1" t="n">
        <v>45785</v>
      </c>
      <c r="C1557" t="inlineStr">
        <is>
          <t>S01</t>
        </is>
      </c>
      <c r="D1557" t="inlineStr">
        <is>
          <t>P102</t>
        </is>
      </c>
      <c r="E1557" t="n">
        <v>1</v>
      </c>
      <c r="F1557" t="n">
        <v>14.5</v>
      </c>
      <c r="G1557" t="n">
        <v>0.1</v>
      </c>
      <c r="H1557">
        <f>E1557*F1557*(1-G1557)</f>
        <v/>
      </c>
      <c r="I1557">
        <f>XLOOKUP(D1557,Products!$A$2:$A$15,Products!$B$2:$B$15,"Not found")</f>
        <v/>
      </c>
    </row>
    <row r="1558">
      <c r="A1558" t="n">
        <v>105877</v>
      </c>
      <c r="B1558" s="1" t="n">
        <v>45785</v>
      </c>
      <c r="C1558" t="inlineStr">
        <is>
          <t>S01</t>
        </is>
      </c>
      <c r="D1558" t="inlineStr">
        <is>
          <t>P201</t>
        </is>
      </c>
      <c r="E1558" t="n">
        <v>1</v>
      </c>
      <c r="F1558" t="n">
        <v>149</v>
      </c>
      <c r="G1558" t="n">
        <v>0</v>
      </c>
      <c r="H1558">
        <f>E1558*F1558*(1-G1558)</f>
        <v/>
      </c>
      <c r="I1558">
        <f>XLOOKUP(D1558,Products!$A$2:$A$15,Products!$B$2:$B$15,"Not found")</f>
        <v/>
      </c>
    </row>
    <row r="1559">
      <c r="A1559" t="n">
        <v>105878</v>
      </c>
      <c r="B1559" s="1" t="n">
        <v>45785</v>
      </c>
      <c r="C1559" t="inlineStr">
        <is>
          <t>S01</t>
        </is>
      </c>
      <c r="D1559" t="inlineStr">
        <is>
          <t>P301</t>
        </is>
      </c>
      <c r="E1559" t="n">
        <v>1</v>
      </c>
      <c r="F1559" t="n">
        <v>119</v>
      </c>
      <c r="G1559" t="n">
        <v>0.2</v>
      </c>
      <c r="H1559">
        <f>E1559*F1559*(1-G1559)</f>
        <v/>
      </c>
      <c r="I1559">
        <f>XLOOKUP(D1559,Products!$A$2:$A$15,Products!$B$2:$B$15,"Not found")</f>
        <v/>
      </c>
    </row>
    <row r="1560">
      <c r="A1560" t="n">
        <v>105879</v>
      </c>
      <c r="B1560" s="1" t="n">
        <v>45785</v>
      </c>
      <c r="C1560" t="inlineStr">
        <is>
          <t>S01</t>
        </is>
      </c>
      <c r="D1560" t="inlineStr">
        <is>
          <t>P103</t>
        </is>
      </c>
      <c r="E1560" t="n">
        <v>3</v>
      </c>
      <c r="F1560" t="n">
        <v>29</v>
      </c>
      <c r="G1560" t="n">
        <v>0.15</v>
      </c>
      <c r="H1560">
        <f>E1560*F1560*(1-G1560)</f>
        <v/>
      </c>
      <c r="I1560">
        <f>XLOOKUP(D1560,Products!$A$2:$A$15,Products!$B$2:$B$15,"Not found")</f>
        <v/>
      </c>
    </row>
    <row r="1561">
      <c r="A1561" t="n">
        <v>105880</v>
      </c>
      <c r="B1561" s="1" t="n">
        <v>45785</v>
      </c>
      <c r="C1561" t="inlineStr">
        <is>
          <t>S01</t>
        </is>
      </c>
      <c r="D1561" t="inlineStr">
        <is>
          <t>P101</t>
        </is>
      </c>
      <c r="E1561" t="n">
        <v>2</v>
      </c>
      <c r="F1561" t="n">
        <v>39</v>
      </c>
      <c r="G1561" t="n">
        <v>0.2</v>
      </c>
      <c r="H1561">
        <f>E1561*F1561*(1-G1561)</f>
        <v/>
      </c>
      <c r="I1561">
        <f>XLOOKUP(D1561,Products!$A$2:$A$15,Products!$B$2:$B$15,"Not found")</f>
        <v/>
      </c>
    </row>
    <row r="1562">
      <c r="A1562" t="n">
        <v>105881</v>
      </c>
      <c r="B1562" s="1" t="n">
        <v>45785</v>
      </c>
      <c r="C1562" t="inlineStr">
        <is>
          <t>S02</t>
        </is>
      </c>
      <c r="D1562" t="inlineStr">
        <is>
          <t>P203</t>
        </is>
      </c>
      <c r="E1562" t="n">
        <v>1</v>
      </c>
      <c r="F1562" t="n">
        <v>19.5</v>
      </c>
      <c r="G1562" t="n">
        <v>0</v>
      </c>
      <c r="H1562">
        <f>E1562*F1562*(1-G1562)</f>
        <v/>
      </c>
      <c r="I1562">
        <f>XLOOKUP(D1562,Products!$A$2:$A$15,Products!$B$2:$B$15,"Not found")</f>
        <v/>
      </c>
    </row>
    <row r="1563">
      <c r="A1563" t="n">
        <v>105882</v>
      </c>
      <c r="B1563" s="1" t="n">
        <v>45785</v>
      </c>
      <c r="C1563" t="inlineStr">
        <is>
          <t>S02</t>
        </is>
      </c>
      <c r="D1563" t="inlineStr">
        <is>
          <t>P302</t>
        </is>
      </c>
      <c r="E1563" t="n">
        <v>3</v>
      </c>
      <c r="F1563" t="n">
        <v>24</v>
      </c>
      <c r="G1563" t="n">
        <v>0</v>
      </c>
      <c r="H1563">
        <f>E1563*F1563*(1-G1563)</f>
        <v/>
      </c>
      <c r="I1563">
        <f>XLOOKUP(D1563,Products!$A$2:$A$15,Products!$B$2:$B$15,"Not found")</f>
        <v/>
      </c>
    </row>
    <row r="1564">
      <c r="A1564" t="n">
        <v>105883</v>
      </c>
      <c r="B1564" s="1" t="n">
        <v>45785</v>
      </c>
      <c r="C1564" t="inlineStr">
        <is>
          <t>S03</t>
        </is>
      </c>
      <c r="D1564" t="inlineStr">
        <is>
          <t>P102</t>
        </is>
      </c>
      <c r="E1564" t="n">
        <v>1</v>
      </c>
      <c r="F1564" t="n">
        <v>14.5</v>
      </c>
      <c r="G1564" t="n">
        <v>0</v>
      </c>
      <c r="H1564">
        <f>E1564*F1564*(1-G1564)</f>
        <v/>
      </c>
      <c r="I1564">
        <f>XLOOKUP(D1564,Products!$A$2:$A$15,Products!$B$2:$B$15,"Not found")</f>
        <v/>
      </c>
    </row>
    <row r="1565">
      <c r="A1565" t="n">
        <v>105884</v>
      </c>
      <c r="B1565" s="1" t="n">
        <v>45785</v>
      </c>
      <c r="C1565" t="inlineStr">
        <is>
          <t>S03</t>
        </is>
      </c>
      <c r="D1565" t="inlineStr">
        <is>
          <t>P201</t>
        </is>
      </c>
      <c r="E1565" t="n">
        <v>1</v>
      </c>
      <c r="F1565" t="n">
        <v>149</v>
      </c>
      <c r="G1565" t="n">
        <v>0</v>
      </c>
      <c r="H1565">
        <f>E1565*F1565*(1-G1565)</f>
        <v/>
      </c>
      <c r="I1565">
        <f>XLOOKUP(D1565,Products!$A$2:$A$15,Products!$B$2:$B$15,"Not found")</f>
        <v/>
      </c>
    </row>
    <row r="1566">
      <c r="A1566" t="n">
        <v>105885</v>
      </c>
      <c r="B1566" s="1" t="n">
        <v>45785</v>
      </c>
      <c r="C1566" t="inlineStr">
        <is>
          <t>S04</t>
        </is>
      </c>
      <c r="D1566" t="inlineStr">
        <is>
          <t>P203</t>
        </is>
      </c>
      <c r="E1566" t="n">
        <v>3</v>
      </c>
      <c r="F1566" t="n">
        <v>19.5</v>
      </c>
      <c r="G1566" t="n">
        <v>0</v>
      </c>
      <c r="H1566">
        <f>E1566*F1566*(1-G1566)</f>
        <v/>
      </c>
      <c r="I1566">
        <f>XLOOKUP(D1566,Products!$A$2:$A$15,Products!$B$2:$B$15,"Not found")</f>
        <v/>
      </c>
    </row>
    <row r="1567">
      <c r="A1567" t="n">
        <v>105886</v>
      </c>
      <c r="B1567" s="1" t="n">
        <v>45785</v>
      </c>
      <c r="C1567" t="inlineStr">
        <is>
          <t>S04</t>
        </is>
      </c>
      <c r="D1567" t="inlineStr">
        <is>
          <t>P303</t>
        </is>
      </c>
      <c r="E1567" t="n">
        <v>2</v>
      </c>
      <c r="F1567" t="n">
        <v>12</v>
      </c>
      <c r="G1567" t="n">
        <v>0.2</v>
      </c>
      <c r="H1567">
        <f>E1567*F1567*(1-G1567)</f>
        <v/>
      </c>
      <c r="I1567">
        <f>XLOOKUP(D1567,Products!$A$2:$A$15,Products!$B$2:$B$15,"Not found")</f>
        <v/>
      </c>
    </row>
    <row r="1568">
      <c r="A1568" t="n">
        <v>105887</v>
      </c>
      <c r="B1568" s="1" t="n">
        <v>45786</v>
      </c>
      <c r="C1568" t="inlineStr">
        <is>
          <t>S01</t>
        </is>
      </c>
      <c r="D1568" t="inlineStr">
        <is>
          <t>P301</t>
        </is>
      </c>
      <c r="E1568" t="n">
        <v>1</v>
      </c>
      <c r="F1568" t="n">
        <v>119</v>
      </c>
      <c r="G1568" t="n">
        <v>0.2</v>
      </c>
      <c r="H1568">
        <f>E1568*F1568*(1-G1568)</f>
        <v/>
      </c>
      <c r="I1568">
        <f>XLOOKUP(D1568,Products!$A$2:$A$15,Products!$B$2:$B$15,"Not found")</f>
        <v/>
      </c>
    </row>
    <row r="1569">
      <c r="A1569" t="n">
        <v>105888</v>
      </c>
      <c r="B1569" s="1" t="n">
        <v>45786</v>
      </c>
      <c r="C1569" t="inlineStr">
        <is>
          <t>S01</t>
        </is>
      </c>
      <c r="D1569" t="inlineStr">
        <is>
          <t>P303</t>
        </is>
      </c>
      <c r="E1569" t="n">
        <v>4</v>
      </c>
      <c r="F1569" t="n">
        <v>12</v>
      </c>
      <c r="G1569" t="n">
        <v>0.15</v>
      </c>
      <c r="H1569">
        <f>E1569*F1569*(1-G1569)</f>
        <v/>
      </c>
      <c r="I1569">
        <f>XLOOKUP(D1569,Products!$A$2:$A$15,Products!$B$2:$B$15,"Not found")</f>
        <v/>
      </c>
    </row>
    <row r="1570">
      <c r="A1570" t="n">
        <v>105889</v>
      </c>
      <c r="B1570" s="1" t="n">
        <v>45786</v>
      </c>
      <c r="C1570" t="inlineStr">
        <is>
          <t>S03</t>
        </is>
      </c>
      <c r="D1570" t="inlineStr">
        <is>
          <t>P303</t>
        </is>
      </c>
      <c r="E1570" t="n">
        <v>1</v>
      </c>
      <c r="F1570" t="n">
        <v>12</v>
      </c>
      <c r="G1570" t="n">
        <v>0.15</v>
      </c>
      <c r="H1570">
        <f>E1570*F1570*(1-G1570)</f>
        <v/>
      </c>
      <c r="I1570">
        <f>XLOOKUP(D1570,Products!$A$2:$A$15,Products!$B$2:$B$15,"Not found")</f>
        <v/>
      </c>
    </row>
    <row r="1571">
      <c r="A1571" t="n">
        <v>105890</v>
      </c>
      <c r="B1571" s="1" t="n">
        <v>45786</v>
      </c>
      <c r="C1571" t="inlineStr">
        <is>
          <t>S03</t>
        </is>
      </c>
      <c r="D1571" t="inlineStr">
        <is>
          <t>P303</t>
        </is>
      </c>
      <c r="E1571" t="n">
        <v>2</v>
      </c>
      <c r="F1571" t="n">
        <v>12</v>
      </c>
      <c r="G1571" t="n">
        <v>0.15</v>
      </c>
      <c r="H1571">
        <f>E1571*F1571*(1-G1571)</f>
        <v/>
      </c>
      <c r="I1571">
        <f>XLOOKUP(D1571,Products!$A$2:$A$15,Products!$B$2:$B$15,"Not found")</f>
        <v/>
      </c>
    </row>
    <row r="1572">
      <c r="A1572" t="n">
        <v>105891</v>
      </c>
      <c r="B1572" s="1" t="n">
        <v>45786</v>
      </c>
      <c r="C1572" t="inlineStr">
        <is>
          <t>S03</t>
        </is>
      </c>
      <c r="D1572" t="inlineStr">
        <is>
          <t>P101</t>
        </is>
      </c>
      <c r="E1572" t="n">
        <v>1</v>
      </c>
      <c r="F1572" t="n">
        <v>39</v>
      </c>
      <c r="G1572" t="n">
        <v>0.15</v>
      </c>
      <c r="H1572">
        <f>E1572*F1572*(1-G1572)</f>
        <v/>
      </c>
      <c r="I1572">
        <f>XLOOKUP(D1572,Products!$A$2:$A$15,Products!$B$2:$B$15,"Not found")</f>
        <v/>
      </c>
    </row>
    <row r="1573">
      <c r="A1573" t="n">
        <v>105892</v>
      </c>
      <c r="B1573" s="1" t="n">
        <v>45786</v>
      </c>
      <c r="C1573" t="inlineStr">
        <is>
          <t>S03</t>
        </is>
      </c>
      <c r="D1573" t="inlineStr">
        <is>
          <t>P101</t>
        </is>
      </c>
      <c r="E1573" t="n">
        <v>3</v>
      </c>
      <c r="F1573" t="n">
        <v>39</v>
      </c>
      <c r="G1573" t="n">
        <v>0.15</v>
      </c>
      <c r="H1573">
        <f>E1573*F1573*(1-G1573)</f>
        <v/>
      </c>
      <c r="I1573">
        <f>XLOOKUP(D1573,Products!$A$2:$A$15,Products!$B$2:$B$15,"Not found")</f>
        <v/>
      </c>
    </row>
    <row r="1574">
      <c r="A1574" t="n">
        <v>105893</v>
      </c>
      <c r="B1574" s="1" t="n">
        <v>45786</v>
      </c>
      <c r="C1574" t="inlineStr">
        <is>
          <t>S03</t>
        </is>
      </c>
      <c r="D1574" t="inlineStr">
        <is>
          <t>P103</t>
        </is>
      </c>
      <c r="E1574" t="n">
        <v>3</v>
      </c>
      <c r="F1574" t="n">
        <v>29</v>
      </c>
      <c r="G1574" t="n">
        <v>0</v>
      </c>
      <c r="H1574">
        <f>E1574*F1574*(1-G1574)</f>
        <v/>
      </c>
      <c r="I1574">
        <f>XLOOKUP(D1574,Products!$A$2:$A$15,Products!$B$2:$B$15,"Not found")</f>
        <v/>
      </c>
    </row>
    <row r="1575">
      <c r="A1575" t="n">
        <v>105894</v>
      </c>
      <c r="B1575" s="1" t="n">
        <v>45786</v>
      </c>
      <c r="C1575" t="inlineStr">
        <is>
          <t>S04</t>
        </is>
      </c>
      <c r="D1575" t="inlineStr">
        <is>
          <t>P303</t>
        </is>
      </c>
      <c r="E1575" t="n">
        <v>2</v>
      </c>
      <c r="F1575" t="n">
        <v>12</v>
      </c>
      <c r="G1575" t="n">
        <v>0</v>
      </c>
      <c r="H1575">
        <f>E1575*F1575*(1-G1575)</f>
        <v/>
      </c>
      <c r="I1575">
        <f>XLOOKUP(D1575,Products!$A$2:$A$15,Products!$B$2:$B$15,"Not found")</f>
        <v/>
      </c>
    </row>
    <row r="1576">
      <c r="A1576" t="n">
        <v>105895</v>
      </c>
      <c r="B1576" s="1" t="n">
        <v>45787</v>
      </c>
      <c r="C1576" t="inlineStr">
        <is>
          <t>S01</t>
        </is>
      </c>
      <c r="D1576" t="inlineStr">
        <is>
          <t>P302</t>
        </is>
      </c>
      <c r="E1576" t="n">
        <v>2</v>
      </c>
      <c r="F1576" t="n">
        <v>24</v>
      </c>
      <c r="G1576" t="n">
        <v>0</v>
      </c>
      <c r="H1576">
        <f>E1576*F1576*(1-G1576)</f>
        <v/>
      </c>
      <c r="I1576">
        <f>XLOOKUP(D1576,Products!$A$2:$A$15,Products!$B$2:$B$15,"Not found")</f>
        <v/>
      </c>
    </row>
    <row r="1577">
      <c r="A1577" t="n">
        <v>105896</v>
      </c>
      <c r="B1577" s="1" t="n">
        <v>45787</v>
      </c>
      <c r="C1577" t="inlineStr">
        <is>
          <t>S03</t>
        </is>
      </c>
      <c r="D1577" t="inlineStr">
        <is>
          <t>P303</t>
        </is>
      </c>
      <c r="E1577" t="n">
        <v>3</v>
      </c>
      <c r="F1577" t="n">
        <v>12</v>
      </c>
      <c r="G1577" t="n">
        <v>0</v>
      </c>
      <c r="H1577">
        <f>E1577*F1577*(1-G1577)</f>
        <v/>
      </c>
      <c r="I1577">
        <f>XLOOKUP(D1577,Products!$A$2:$A$15,Products!$B$2:$B$15,"Not found")</f>
        <v/>
      </c>
    </row>
    <row r="1578">
      <c r="A1578" t="n">
        <v>105897</v>
      </c>
      <c r="B1578" s="1" t="n">
        <v>45787</v>
      </c>
      <c r="C1578" t="inlineStr">
        <is>
          <t>S03</t>
        </is>
      </c>
      <c r="D1578" t="inlineStr">
        <is>
          <t>P103</t>
        </is>
      </c>
      <c r="E1578" t="n">
        <v>3</v>
      </c>
      <c r="F1578" t="n">
        <v>29</v>
      </c>
      <c r="G1578" t="n">
        <v>0.15</v>
      </c>
      <c r="H1578">
        <f>E1578*F1578*(1-G1578)</f>
        <v/>
      </c>
      <c r="I1578">
        <f>XLOOKUP(D1578,Products!$A$2:$A$15,Products!$B$2:$B$15,"Not found")</f>
        <v/>
      </c>
    </row>
    <row r="1579">
      <c r="A1579" t="n">
        <v>105898</v>
      </c>
      <c r="B1579" s="1" t="n">
        <v>45787</v>
      </c>
      <c r="C1579" t="inlineStr">
        <is>
          <t>S03</t>
        </is>
      </c>
      <c r="D1579" t="inlineStr">
        <is>
          <t>P303</t>
        </is>
      </c>
      <c r="E1579" t="n">
        <v>1</v>
      </c>
      <c r="F1579" t="n">
        <v>12</v>
      </c>
      <c r="G1579" t="n">
        <v>0</v>
      </c>
      <c r="H1579">
        <f>E1579*F1579*(1-G1579)</f>
        <v/>
      </c>
      <c r="I1579">
        <f>XLOOKUP(D1579,Products!$A$2:$A$15,Products!$B$2:$B$15,"Not found")</f>
        <v/>
      </c>
    </row>
    <row r="1580">
      <c r="A1580" t="n">
        <v>105899</v>
      </c>
      <c r="B1580" s="1" t="n">
        <v>45787</v>
      </c>
      <c r="C1580" t="inlineStr">
        <is>
          <t>S04</t>
        </is>
      </c>
      <c r="D1580" t="inlineStr">
        <is>
          <t>P203</t>
        </is>
      </c>
      <c r="E1580" t="n">
        <v>2</v>
      </c>
      <c r="F1580" t="n">
        <v>19.5</v>
      </c>
      <c r="G1580" t="n">
        <v>0</v>
      </c>
      <c r="H1580">
        <f>E1580*F1580*(1-G1580)</f>
        <v/>
      </c>
      <c r="I1580">
        <f>XLOOKUP(D1580,Products!$A$2:$A$15,Products!$B$2:$B$15,"Not found")</f>
        <v/>
      </c>
    </row>
    <row r="1581">
      <c r="A1581" t="n">
        <v>105900</v>
      </c>
      <c r="B1581" s="1" t="n">
        <v>45787</v>
      </c>
      <c r="C1581" t="inlineStr">
        <is>
          <t>S04</t>
        </is>
      </c>
      <c r="D1581" t="inlineStr">
        <is>
          <t>P401</t>
        </is>
      </c>
      <c r="E1581" t="n">
        <v>1</v>
      </c>
      <c r="F1581" t="n">
        <v>549</v>
      </c>
      <c r="G1581" t="n">
        <v>0.2</v>
      </c>
      <c r="H1581">
        <f>E1581*F1581*(1-G1581)</f>
        <v/>
      </c>
      <c r="I1581">
        <f>XLOOKUP(D1581,Products!$A$2:$A$15,Products!$B$2:$B$15,"Not found")</f>
        <v/>
      </c>
    </row>
    <row r="1582">
      <c r="A1582" t="n">
        <v>105901</v>
      </c>
      <c r="B1582" s="1" t="n">
        <v>45787</v>
      </c>
      <c r="C1582" t="inlineStr">
        <is>
          <t>S05</t>
        </is>
      </c>
      <c r="D1582" t="inlineStr">
        <is>
          <t>P102</t>
        </is>
      </c>
      <c r="E1582" t="n">
        <v>1</v>
      </c>
      <c r="F1582" t="n">
        <v>14.5</v>
      </c>
      <c r="G1582" t="n">
        <v>0.15</v>
      </c>
      <c r="H1582">
        <f>E1582*F1582*(1-G1582)</f>
        <v/>
      </c>
      <c r="I1582">
        <f>XLOOKUP(D1582,Products!$A$2:$A$15,Products!$B$2:$B$15,"Not found")</f>
        <v/>
      </c>
    </row>
    <row r="1583">
      <c r="A1583" t="n">
        <v>105902</v>
      </c>
      <c r="B1583" s="1" t="n">
        <v>45787</v>
      </c>
      <c r="C1583" t="inlineStr">
        <is>
          <t>S05</t>
        </is>
      </c>
      <c r="D1583" t="inlineStr">
        <is>
          <t>P103</t>
        </is>
      </c>
      <c r="E1583" t="n">
        <v>1</v>
      </c>
      <c r="F1583" t="n">
        <v>29</v>
      </c>
      <c r="G1583" t="n">
        <v>0</v>
      </c>
      <c r="H1583">
        <f>E1583*F1583*(1-G1583)</f>
        <v/>
      </c>
      <c r="I1583">
        <f>XLOOKUP(D1583,Products!$A$2:$A$15,Products!$B$2:$B$15,"Not found")</f>
        <v/>
      </c>
    </row>
    <row r="1584">
      <c r="A1584" t="n">
        <v>105903</v>
      </c>
      <c r="B1584" s="1" t="n">
        <v>45787</v>
      </c>
      <c r="C1584" t="inlineStr">
        <is>
          <t>S05</t>
        </is>
      </c>
      <c r="D1584" t="inlineStr">
        <is>
          <t>P201</t>
        </is>
      </c>
      <c r="E1584" t="n">
        <v>1</v>
      </c>
      <c r="F1584" t="n">
        <v>149</v>
      </c>
      <c r="G1584" t="n">
        <v>0</v>
      </c>
      <c r="H1584">
        <f>E1584*F1584*(1-G1584)</f>
        <v/>
      </c>
      <c r="I1584">
        <f>XLOOKUP(D1584,Products!$A$2:$A$15,Products!$B$2:$B$15,"Not found")</f>
        <v/>
      </c>
    </row>
    <row r="1585">
      <c r="A1585" t="n">
        <v>105904</v>
      </c>
      <c r="B1585" s="1" t="n">
        <v>45787</v>
      </c>
      <c r="C1585" t="inlineStr">
        <is>
          <t>S06</t>
        </is>
      </c>
      <c r="D1585" t="inlineStr">
        <is>
          <t>P102</t>
        </is>
      </c>
      <c r="E1585" t="n">
        <v>1</v>
      </c>
      <c r="F1585" t="n">
        <v>14.5</v>
      </c>
      <c r="G1585" t="n">
        <v>0.15</v>
      </c>
      <c r="H1585">
        <f>E1585*F1585*(1-G1585)</f>
        <v/>
      </c>
      <c r="I1585">
        <f>XLOOKUP(D1585,Products!$A$2:$A$15,Products!$B$2:$B$15,"Not found")</f>
        <v/>
      </c>
    </row>
    <row r="1586">
      <c r="A1586" t="n">
        <v>105905</v>
      </c>
      <c r="B1586" s="1" t="n">
        <v>45788</v>
      </c>
      <c r="C1586" t="inlineStr">
        <is>
          <t>S01</t>
        </is>
      </c>
      <c r="D1586" t="inlineStr">
        <is>
          <t>P102</t>
        </is>
      </c>
      <c r="E1586" t="n">
        <v>1</v>
      </c>
      <c r="F1586" t="n">
        <v>14.5</v>
      </c>
      <c r="G1586" t="n">
        <v>0</v>
      </c>
      <c r="H1586">
        <f>E1586*F1586*(1-G1586)</f>
        <v/>
      </c>
      <c r="I1586">
        <f>XLOOKUP(D1586,Products!$A$2:$A$15,Products!$B$2:$B$15,"Not found")</f>
        <v/>
      </c>
    </row>
    <row r="1587">
      <c r="A1587" t="n">
        <v>105906</v>
      </c>
      <c r="B1587" s="1" t="n">
        <v>45788</v>
      </c>
      <c r="C1587" t="inlineStr">
        <is>
          <t>S01</t>
        </is>
      </c>
      <c r="D1587" t="inlineStr">
        <is>
          <t>P102</t>
        </is>
      </c>
      <c r="E1587" t="n">
        <v>4</v>
      </c>
      <c r="F1587" t="n">
        <v>14.5</v>
      </c>
      <c r="G1587" t="n">
        <v>0.15</v>
      </c>
      <c r="H1587">
        <f>E1587*F1587*(1-G1587)</f>
        <v/>
      </c>
      <c r="I1587">
        <f>XLOOKUP(D1587,Products!$A$2:$A$15,Products!$B$2:$B$15,"Not found")</f>
        <v/>
      </c>
    </row>
    <row r="1588">
      <c r="A1588" t="n">
        <v>105907</v>
      </c>
      <c r="B1588" s="1" t="n">
        <v>45788</v>
      </c>
      <c r="C1588" t="inlineStr">
        <is>
          <t>S01</t>
        </is>
      </c>
      <c r="D1588" t="inlineStr">
        <is>
          <t>P101</t>
        </is>
      </c>
      <c r="E1588" t="n">
        <v>4</v>
      </c>
      <c r="F1588" t="n">
        <v>39</v>
      </c>
      <c r="G1588" t="n">
        <v>0.15</v>
      </c>
      <c r="H1588">
        <f>E1588*F1588*(1-G1588)</f>
        <v/>
      </c>
      <c r="I1588">
        <f>XLOOKUP(D1588,Products!$A$2:$A$15,Products!$B$2:$B$15,"Not found")</f>
        <v/>
      </c>
    </row>
    <row r="1589">
      <c r="A1589" t="n">
        <v>105908</v>
      </c>
      <c r="B1589" s="1" t="n">
        <v>45788</v>
      </c>
      <c r="C1589" t="inlineStr">
        <is>
          <t>S02</t>
        </is>
      </c>
      <c r="D1589" t="inlineStr">
        <is>
          <t>P203</t>
        </is>
      </c>
      <c r="E1589" t="n">
        <v>1</v>
      </c>
      <c r="F1589" t="n">
        <v>19.5</v>
      </c>
      <c r="G1589" t="n">
        <v>0</v>
      </c>
      <c r="H1589">
        <f>E1589*F1589*(1-G1589)</f>
        <v/>
      </c>
      <c r="I1589">
        <f>XLOOKUP(D1589,Products!$A$2:$A$15,Products!$B$2:$B$15,"Not found")</f>
        <v/>
      </c>
    </row>
    <row r="1590">
      <c r="A1590" t="n">
        <v>105909</v>
      </c>
      <c r="B1590" s="1" t="n">
        <v>45788</v>
      </c>
      <c r="C1590" t="inlineStr">
        <is>
          <t>S02</t>
        </is>
      </c>
      <c r="D1590" t="inlineStr">
        <is>
          <t>P101</t>
        </is>
      </c>
      <c r="E1590" t="n">
        <v>1</v>
      </c>
      <c r="F1590" t="n">
        <v>39</v>
      </c>
      <c r="G1590" t="n">
        <v>0.2</v>
      </c>
      <c r="H1590">
        <f>E1590*F1590*(1-G1590)</f>
        <v/>
      </c>
      <c r="I1590">
        <f>XLOOKUP(D1590,Products!$A$2:$A$15,Products!$B$2:$B$15,"Not found")</f>
        <v/>
      </c>
    </row>
    <row r="1591">
      <c r="A1591" t="n">
        <v>105910</v>
      </c>
      <c r="B1591" s="1" t="n">
        <v>45788</v>
      </c>
      <c r="C1591" t="inlineStr">
        <is>
          <t>S03</t>
        </is>
      </c>
      <c r="D1591" t="inlineStr">
        <is>
          <t>P102</t>
        </is>
      </c>
      <c r="E1591" t="n">
        <v>3</v>
      </c>
      <c r="F1591" t="n">
        <v>14.5</v>
      </c>
      <c r="G1591" t="n">
        <v>0.15</v>
      </c>
      <c r="H1591">
        <f>E1591*F1591*(1-G1591)</f>
        <v/>
      </c>
      <c r="I1591">
        <f>XLOOKUP(D1591,Products!$A$2:$A$15,Products!$B$2:$B$15,"Not found")</f>
        <v/>
      </c>
    </row>
    <row r="1592">
      <c r="A1592" t="n">
        <v>105911</v>
      </c>
      <c r="B1592" s="1" t="n">
        <v>45788</v>
      </c>
      <c r="C1592" t="inlineStr">
        <is>
          <t>S04</t>
        </is>
      </c>
      <c r="D1592" t="inlineStr">
        <is>
          <t>P203</t>
        </is>
      </c>
      <c r="E1592" t="n">
        <v>4</v>
      </c>
      <c r="F1592" t="n">
        <v>19.5</v>
      </c>
      <c r="G1592" t="n">
        <v>0.1</v>
      </c>
      <c r="H1592">
        <f>E1592*F1592*(1-G1592)</f>
        <v/>
      </c>
      <c r="I1592">
        <f>XLOOKUP(D1592,Products!$A$2:$A$15,Products!$B$2:$B$15,"Not found")</f>
        <v/>
      </c>
    </row>
    <row r="1593">
      <c r="A1593" t="n">
        <v>105912</v>
      </c>
      <c r="B1593" s="1" t="n">
        <v>45788</v>
      </c>
      <c r="C1593" t="inlineStr">
        <is>
          <t>S05</t>
        </is>
      </c>
      <c r="D1593" t="inlineStr">
        <is>
          <t>P103</t>
        </is>
      </c>
      <c r="E1593" t="n">
        <v>2</v>
      </c>
      <c r="F1593" t="n">
        <v>29</v>
      </c>
      <c r="G1593" t="n">
        <v>0.1</v>
      </c>
      <c r="H1593">
        <f>E1593*F1593*(1-G1593)</f>
        <v/>
      </c>
      <c r="I1593">
        <f>XLOOKUP(D1593,Products!$A$2:$A$15,Products!$B$2:$B$15,"Not found")</f>
        <v/>
      </c>
    </row>
    <row r="1594">
      <c r="A1594" t="n">
        <v>105913</v>
      </c>
      <c r="B1594" s="1" t="n">
        <v>45789</v>
      </c>
      <c r="C1594" t="inlineStr">
        <is>
          <t>S01</t>
        </is>
      </c>
      <c r="D1594" t="inlineStr">
        <is>
          <t>P403</t>
        </is>
      </c>
      <c r="E1594" t="n">
        <v>2</v>
      </c>
      <c r="F1594" t="n">
        <v>89</v>
      </c>
      <c r="G1594" t="n">
        <v>0.2</v>
      </c>
      <c r="H1594">
        <f>E1594*F1594*(1-G1594)</f>
        <v/>
      </c>
      <c r="I1594">
        <f>XLOOKUP(D1594,Products!$A$2:$A$15,Products!$B$2:$B$15,"Not found")</f>
        <v/>
      </c>
    </row>
    <row r="1595">
      <c r="A1595" t="n">
        <v>105914</v>
      </c>
      <c r="B1595" s="1" t="n">
        <v>45789</v>
      </c>
      <c r="C1595" t="inlineStr">
        <is>
          <t>S02</t>
        </is>
      </c>
      <c r="D1595" t="inlineStr">
        <is>
          <t>P101</t>
        </is>
      </c>
      <c r="E1595" t="n">
        <v>2</v>
      </c>
      <c r="F1595" t="n">
        <v>39</v>
      </c>
      <c r="G1595" t="n">
        <v>0</v>
      </c>
      <c r="H1595">
        <f>E1595*F1595*(1-G1595)</f>
        <v/>
      </c>
      <c r="I1595">
        <f>XLOOKUP(D1595,Products!$A$2:$A$15,Products!$B$2:$B$15,"Not found")</f>
        <v/>
      </c>
    </row>
    <row r="1596">
      <c r="A1596" t="n">
        <v>105915</v>
      </c>
      <c r="B1596" s="1" t="n">
        <v>45789</v>
      </c>
      <c r="C1596" t="inlineStr">
        <is>
          <t>S03</t>
        </is>
      </c>
      <c r="D1596" t="inlineStr">
        <is>
          <t>P103</t>
        </is>
      </c>
      <c r="E1596" t="n">
        <v>3</v>
      </c>
      <c r="F1596" t="n">
        <v>29</v>
      </c>
      <c r="G1596" t="n">
        <v>0</v>
      </c>
      <c r="H1596">
        <f>E1596*F1596*(1-G1596)</f>
        <v/>
      </c>
      <c r="I1596">
        <f>XLOOKUP(D1596,Products!$A$2:$A$15,Products!$B$2:$B$15,"Not found")</f>
        <v/>
      </c>
    </row>
    <row r="1597">
      <c r="A1597" t="n">
        <v>105916</v>
      </c>
      <c r="B1597" s="1" t="n">
        <v>45789</v>
      </c>
      <c r="C1597" t="inlineStr">
        <is>
          <t>S04</t>
        </is>
      </c>
      <c r="D1597" t="inlineStr">
        <is>
          <t>P103</t>
        </is>
      </c>
      <c r="E1597" t="n">
        <v>4</v>
      </c>
      <c r="F1597" t="n">
        <v>29</v>
      </c>
      <c r="G1597" t="n">
        <v>0</v>
      </c>
      <c r="H1597">
        <f>E1597*F1597*(1-G1597)</f>
        <v/>
      </c>
      <c r="I1597">
        <f>XLOOKUP(D1597,Products!$A$2:$A$15,Products!$B$2:$B$15,"Not found")</f>
        <v/>
      </c>
    </row>
    <row r="1598">
      <c r="A1598" t="n">
        <v>105917</v>
      </c>
      <c r="B1598" s="1" t="n">
        <v>45789</v>
      </c>
      <c r="C1598" t="inlineStr">
        <is>
          <t>S04</t>
        </is>
      </c>
      <c r="D1598" t="inlineStr">
        <is>
          <t>P104</t>
        </is>
      </c>
      <c r="E1598" t="n">
        <v>1</v>
      </c>
      <c r="F1598" t="n">
        <v>189</v>
      </c>
      <c r="G1598" t="n">
        <v>0.1</v>
      </c>
      <c r="H1598">
        <f>E1598*F1598*(1-G1598)</f>
        <v/>
      </c>
      <c r="I1598">
        <f>XLOOKUP(D1598,Products!$A$2:$A$15,Products!$B$2:$B$15,"Not found")</f>
        <v/>
      </c>
    </row>
    <row r="1599">
      <c r="A1599" t="n">
        <v>105918</v>
      </c>
      <c r="B1599" s="1" t="n">
        <v>45789</v>
      </c>
      <c r="C1599" t="inlineStr">
        <is>
          <t>S04</t>
        </is>
      </c>
      <c r="D1599" t="inlineStr">
        <is>
          <t>P303</t>
        </is>
      </c>
      <c r="E1599" t="n">
        <v>1</v>
      </c>
      <c r="F1599" t="n">
        <v>12</v>
      </c>
      <c r="G1599" t="n">
        <v>0</v>
      </c>
      <c r="H1599">
        <f>E1599*F1599*(1-G1599)</f>
        <v/>
      </c>
      <c r="I1599">
        <f>XLOOKUP(D1599,Products!$A$2:$A$15,Products!$B$2:$B$15,"Not found")</f>
        <v/>
      </c>
    </row>
    <row r="1600">
      <c r="A1600" t="n">
        <v>105919</v>
      </c>
      <c r="B1600" s="1" t="n">
        <v>45789</v>
      </c>
      <c r="C1600" t="inlineStr">
        <is>
          <t>S04</t>
        </is>
      </c>
      <c r="D1600" t="inlineStr">
        <is>
          <t>P101</t>
        </is>
      </c>
      <c r="E1600" t="n">
        <v>3</v>
      </c>
      <c r="F1600" t="n">
        <v>39</v>
      </c>
      <c r="G1600" t="n">
        <v>0.2</v>
      </c>
      <c r="H1600">
        <f>E1600*F1600*(1-G1600)</f>
        <v/>
      </c>
      <c r="I1600">
        <f>XLOOKUP(D1600,Products!$A$2:$A$15,Products!$B$2:$B$15,"Not found")</f>
        <v/>
      </c>
    </row>
    <row r="1601">
      <c r="A1601" t="n">
        <v>105920</v>
      </c>
      <c r="B1601" s="1" t="n">
        <v>45790</v>
      </c>
      <c r="C1601" t="inlineStr">
        <is>
          <t>S01</t>
        </is>
      </c>
      <c r="D1601" t="inlineStr">
        <is>
          <t>P302</t>
        </is>
      </c>
      <c r="E1601" t="n">
        <v>1</v>
      </c>
      <c r="F1601" t="n">
        <v>24</v>
      </c>
      <c r="G1601" t="n">
        <v>0</v>
      </c>
      <c r="H1601">
        <f>E1601*F1601*(1-G1601)</f>
        <v/>
      </c>
      <c r="I1601">
        <f>XLOOKUP(D1601,Products!$A$2:$A$15,Products!$B$2:$B$15,"Not found")</f>
        <v/>
      </c>
    </row>
    <row r="1602">
      <c r="A1602" t="n">
        <v>105921</v>
      </c>
      <c r="B1602" s="1" t="n">
        <v>45790</v>
      </c>
      <c r="C1602" t="inlineStr">
        <is>
          <t>S01</t>
        </is>
      </c>
      <c r="D1602" t="inlineStr">
        <is>
          <t>P202</t>
        </is>
      </c>
      <c r="E1602" t="n">
        <v>1</v>
      </c>
      <c r="F1602" t="n">
        <v>79</v>
      </c>
      <c r="G1602" t="n">
        <v>0</v>
      </c>
      <c r="H1602">
        <f>E1602*F1602*(1-G1602)</f>
        <v/>
      </c>
      <c r="I1602">
        <f>XLOOKUP(D1602,Products!$A$2:$A$15,Products!$B$2:$B$15,"Not found")</f>
        <v/>
      </c>
    </row>
    <row r="1603">
      <c r="A1603" t="n">
        <v>105922</v>
      </c>
      <c r="B1603" s="1" t="n">
        <v>45790</v>
      </c>
      <c r="C1603" t="inlineStr">
        <is>
          <t>S02</t>
        </is>
      </c>
      <c r="D1603" t="inlineStr">
        <is>
          <t>P303</t>
        </is>
      </c>
      <c r="E1603" t="n">
        <v>1</v>
      </c>
      <c r="F1603" t="n">
        <v>12</v>
      </c>
      <c r="G1603" t="n">
        <v>0</v>
      </c>
      <c r="H1603">
        <f>E1603*F1603*(1-G1603)</f>
        <v/>
      </c>
      <c r="I1603">
        <f>XLOOKUP(D1603,Products!$A$2:$A$15,Products!$B$2:$B$15,"Not found")</f>
        <v/>
      </c>
    </row>
    <row r="1604">
      <c r="A1604" t="n">
        <v>105923</v>
      </c>
      <c r="B1604" s="1" t="n">
        <v>45790</v>
      </c>
      <c r="C1604" t="inlineStr">
        <is>
          <t>S02</t>
        </is>
      </c>
      <c r="D1604" t="inlineStr">
        <is>
          <t>P101</t>
        </is>
      </c>
      <c r="E1604" t="n">
        <v>1</v>
      </c>
      <c r="F1604" t="n">
        <v>39</v>
      </c>
      <c r="G1604" t="n">
        <v>0</v>
      </c>
      <c r="H1604">
        <f>E1604*F1604*(1-G1604)</f>
        <v/>
      </c>
      <c r="I1604">
        <f>XLOOKUP(D1604,Products!$A$2:$A$15,Products!$B$2:$B$15,"Not found")</f>
        <v/>
      </c>
    </row>
    <row r="1605">
      <c r="A1605" t="n">
        <v>105924</v>
      </c>
      <c r="B1605" s="1" t="n">
        <v>45790</v>
      </c>
      <c r="C1605" t="inlineStr">
        <is>
          <t>S02</t>
        </is>
      </c>
      <c r="D1605" t="inlineStr">
        <is>
          <t>P101</t>
        </is>
      </c>
      <c r="E1605" t="n">
        <v>2</v>
      </c>
      <c r="F1605" t="n">
        <v>39</v>
      </c>
      <c r="G1605" t="n">
        <v>0.15</v>
      </c>
      <c r="H1605">
        <f>E1605*F1605*(1-G1605)</f>
        <v/>
      </c>
      <c r="I1605">
        <f>XLOOKUP(D1605,Products!$A$2:$A$15,Products!$B$2:$B$15,"Not found")</f>
        <v/>
      </c>
    </row>
    <row r="1606">
      <c r="A1606" t="n">
        <v>105925</v>
      </c>
      <c r="B1606" s="1" t="n">
        <v>45790</v>
      </c>
      <c r="C1606" t="inlineStr">
        <is>
          <t>S03</t>
        </is>
      </c>
      <c r="D1606" t="inlineStr">
        <is>
          <t>P403</t>
        </is>
      </c>
      <c r="E1606" t="n">
        <v>1</v>
      </c>
      <c r="F1606" t="n">
        <v>89</v>
      </c>
      <c r="G1606" t="n">
        <v>0.2</v>
      </c>
      <c r="H1606">
        <f>E1606*F1606*(1-G1606)</f>
        <v/>
      </c>
      <c r="I1606">
        <f>XLOOKUP(D1606,Products!$A$2:$A$15,Products!$B$2:$B$15,"Not found")</f>
        <v/>
      </c>
    </row>
    <row r="1607">
      <c r="A1607" t="n">
        <v>105926</v>
      </c>
      <c r="B1607" s="1" t="n">
        <v>45790</v>
      </c>
      <c r="C1607" t="inlineStr">
        <is>
          <t>S05</t>
        </is>
      </c>
      <c r="D1607" t="inlineStr">
        <is>
          <t>P102</t>
        </is>
      </c>
      <c r="E1607" t="n">
        <v>1</v>
      </c>
      <c r="F1607" t="n">
        <v>14.5</v>
      </c>
      <c r="G1607" t="n">
        <v>0</v>
      </c>
      <c r="H1607">
        <f>E1607*F1607*(1-G1607)</f>
        <v/>
      </c>
      <c r="I1607">
        <f>XLOOKUP(D1607,Products!$A$2:$A$15,Products!$B$2:$B$15,"Not found")</f>
        <v/>
      </c>
    </row>
    <row r="1608">
      <c r="A1608" t="n">
        <v>105927</v>
      </c>
      <c r="B1608" s="1" t="n">
        <v>45790</v>
      </c>
      <c r="C1608" t="inlineStr">
        <is>
          <t>S06</t>
        </is>
      </c>
      <c r="D1608" t="inlineStr">
        <is>
          <t>P301</t>
        </is>
      </c>
      <c r="E1608" t="n">
        <v>1</v>
      </c>
      <c r="F1608" t="n">
        <v>119</v>
      </c>
      <c r="G1608" t="n">
        <v>0</v>
      </c>
      <c r="H1608">
        <f>E1608*F1608*(1-G1608)</f>
        <v/>
      </c>
      <c r="I1608">
        <f>XLOOKUP(D1608,Products!$A$2:$A$15,Products!$B$2:$B$15,"Not found")</f>
        <v/>
      </c>
    </row>
    <row r="1609">
      <c r="A1609" t="n">
        <v>105928</v>
      </c>
      <c r="B1609" s="1" t="n">
        <v>45791</v>
      </c>
      <c r="C1609" t="inlineStr">
        <is>
          <t>S01</t>
        </is>
      </c>
      <c r="D1609" t="inlineStr">
        <is>
          <t>P102</t>
        </is>
      </c>
      <c r="E1609" t="n">
        <v>2</v>
      </c>
      <c r="F1609" t="n">
        <v>14.5</v>
      </c>
      <c r="G1609" t="n">
        <v>0.15</v>
      </c>
      <c r="H1609">
        <f>E1609*F1609*(1-G1609)</f>
        <v/>
      </c>
      <c r="I1609">
        <f>XLOOKUP(D1609,Products!$A$2:$A$15,Products!$B$2:$B$15,"Not found")</f>
        <v/>
      </c>
    </row>
    <row r="1610">
      <c r="A1610" t="n">
        <v>105929</v>
      </c>
      <c r="B1610" s="1" t="n">
        <v>45791</v>
      </c>
      <c r="C1610" t="inlineStr">
        <is>
          <t>S01</t>
        </is>
      </c>
      <c r="D1610" t="inlineStr">
        <is>
          <t>P101</t>
        </is>
      </c>
      <c r="E1610" t="n">
        <v>3</v>
      </c>
      <c r="F1610" t="n">
        <v>39</v>
      </c>
      <c r="G1610" t="n">
        <v>0</v>
      </c>
      <c r="H1610">
        <f>E1610*F1610*(1-G1610)</f>
        <v/>
      </c>
      <c r="I1610">
        <f>XLOOKUP(D1610,Products!$A$2:$A$15,Products!$B$2:$B$15,"Not found")</f>
        <v/>
      </c>
    </row>
    <row r="1611">
      <c r="A1611" t="n">
        <v>105930</v>
      </c>
      <c r="B1611" s="1" t="n">
        <v>45791</v>
      </c>
      <c r="C1611" t="inlineStr">
        <is>
          <t>S01</t>
        </is>
      </c>
      <c r="D1611" t="inlineStr">
        <is>
          <t>P303</t>
        </is>
      </c>
      <c r="E1611" t="n">
        <v>4</v>
      </c>
      <c r="F1611" t="n">
        <v>12</v>
      </c>
      <c r="G1611" t="n">
        <v>0</v>
      </c>
      <c r="H1611">
        <f>E1611*F1611*(1-G1611)</f>
        <v/>
      </c>
      <c r="I1611">
        <f>XLOOKUP(D1611,Products!$A$2:$A$15,Products!$B$2:$B$15,"Not found")</f>
        <v/>
      </c>
    </row>
    <row r="1612">
      <c r="A1612" t="n">
        <v>105931</v>
      </c>
      <c r="B1612" s="1" t="n">
        <v>45791</v>
      </c>
      <c r="C1612" t="inlineStr">
        <is>
          <t>S02</t>
        </is>
      </c>
      <c r="D1612" t="inlineStr">
        <is>
          <t>P101</t>
        </is>
      </c>
      <c r="E1612" t="n">
        <v>3</v>
      </c>
      <c r="F1612" t="n">
        <v>39</v>
      </c>
      <c r="G1612" t="n">
        <v>0</v>
      </c>
      <c r="H1612">
        <f>E1612*F1612*(1-G1612)</f>
        <v/>
      </c>
      <c r="I1612">
        <f>XLOOKUP(D1612,Products!$A$2:$A$15,Products!$B$2:$B$15,"Not found")</f>
        <v/>
      </c>
    </row>
    <row r="1613">
      <c r="A1613" t="n">
        <v>105932</v>
      </c>
      <c r="B1613" s="1" t="n">
        <v>45791</v>
      </c>
      <c r="C1613" t="inlineStr">
        <is>
          <t>S02</t>
        </is>
      </c>
      <c r="D1613" t="inlineStr">
        <is>
          <t>P102</t>
        </is>
      </c>
      <c r="E1613" t="n">
        <v>1</v>
      </c>
      <c r="F1613" t="n">
        <v>14.5</v>
      </c>
      <c r="G1613" t="n">
        <v>0</v>
      </c>
      <c r="H1613">
        <f>E1613*F1613*(1-G1613)</f>
        <v/>
      </c>
      <c r="I1613">
        <f>XLOOKUP(D1613,Products!$A$2:$A$15,Products!$B$2:$B$15,"Not found")</f>
        <v/>
      </c>
    </row>
    <row r="1614">
      <c r="A1614" t="n">
        <v>105933</v>
      </c>
      <c r="B1614" s="1" t="n">
        <v>45791</v>
      </c>
      <c r="C1614" t="inlineStr">
        <is>
          <t>S03</t>
        </is>
      </c>
      <c r="D1614" t="inlineStr">
        <is>
          <t>P301</t>
        </is>
      </c>
      <c r="E1614" t="n">
        <v>1</v>
      </c>
      <c r="F1614" t="n">
        <v>119</v>
      </c>
      <c r="G1614" t="n">
        <v>0</v>
      </c>
      <c r="H1614">
        <f>E1614*F1614*(1-G1614)</f>
        <v/>
      </c>
      <c r="I1614">
        <f>XLOOKUP(D1614,Products!$A$2:$A$15,Products!$B$2:$B$15,"Not found")</f>
        <v/>
      </c>
    </row>
    <row r="1615">
      <c r="A1615" t="n">
        <v>105934</v>
      </c>
      <c r="B1615" s="1" t="n">
        <v>45791</v>
      </c>
      <c r="C1615" t="inlineStr">
        <is>
          <t>S03</t>
        </is>
      </c>
      <c r="D1615" t="inlineStr">
        <is>
          <t>P303</t>
        </is>
      </c>
      <c r="E1615" t="n">
        <v>1</v>
      </c>
      <c r="F1615" t="n">
        <v>12</v>
      </c>
      <c r="G1615" t="n">
        <v>0.15</v>
      </c>
      <c r="H1615">
        <f>E1615*F1615*(1-G1615)</f>
        <v/>
      </c>
      <c r="I1615">
        <f>XLOOKUP(D1615,Products!$A$2:$A$15,Products!$B$2:$B$15,"Not found")</f>
        <v/>
      </c>
    </row>
    <row r="1616">
      <c r="A1616" t="n">
        <v>105935</v>
      </c>
      <c r="B1616" s="1" t="n">
        <v>45791</v>
      </c>
      <c r="C1616" t="inlineStr">
        <is>
          <t>S05</t>
        </is>
      </c>
      <c r="D1616" t="inlineStr">
        <is>
          <t>P101</t>
        </is>
      </c>
      <c r="E1616" t="n">
        <v>3</v>
      </c>
      <c r="F1616" t="n">
        <v>39</v>
      </c>
      <c r="G1616" t="n">
        <v>0</v>
      </c>
      <c r="H1616">
        <f>E1616*F1616*(1-G1616)</f>
        <v/>
      </c>
      <c r="I1616">
        <f>XLOOKUP(D1616,Products!$A$2:$A$15,Products!$B$2:$B$15,"Not found")</f>
        <v/>
      </c>
    </row>
    <row r="1617">
      <c r="A1617" t="n">
        <v>105936</v>
      </c>
      <c r="B1617" s="1" t="n">
        <v>45791</v>
      </c>
      <c r="C1617" t="inlineStr">
        <is>
          <t>S05</t>
        </is>
      </c>
      <c r="D1617" t="inlineStr">
        <is>
          <t>P302</t>
        </is>
      </c>
      <c r="E1617" t="n">
        <v>1</v>
      </c>
      <c r="F1617" t="n">
        <v>24</v>
      </c>
      <c r="G1617" t="n">
        <v>0.2</v>
      </c>
      <c r="H1617">
        <f>E1617*F1617*(1-G1617)</f>
        <v/>
      </c>
      <c r="I1617">
        <f>XLOOKUP(D1617,Products!$A$2:$A$15,Products!$B$2:$B$15,"Not found")</f>
        <v/>
      </c>
    </row>
    <row r="1618">
      <c r="A1618" t="n">
        <v>105937</v>
      </c>
      <c r="B1618" s="1" t="n">
        <v>45791</v>
      </c>
      <c r="C1618" t="inlineStr">
        <is>
          <t>S06</t>
        </is>
      </c>
      <c r="D1618" t="inlineStr">
        <is>
          <t>P101</t>
        </is>
      </c>
      <c r="E1618" t="n">
        <v>1</v>
      </c>
      <c r="F1618" t="n">
        <v>39</v>
      </c>
      <c r="G1618" t="n">
        <v>0.2</v>
      </c>
      <c r="H1618">
        <f>E1618*F1618*(1-G1618)</f>
        <v/>
      </c>
      <c r="I1618">
        <f>XLOOKUP(D1618,Products!$A$2:$A$15,Products!$B$2:$B$15,"Not found")</f>
        <v/>
      </c>
    </row>
    <row r="1619">
      <c r="A1619" t="n">
        <v>105938</v>
      </c>
      <c r="B1619" s="1" t="n">
        <v>45792</v>
      </c>
      <c r="C1619" t="inlineStr">
        <is>
          <t>S01</t>
        </is>
      </c>
      <c r="D1619" t="inlineStr">
        <is>
          <t>P101</t>
        </is>
      </c>
      <c r="E1619" t="n">
        <v>1</v>
      </c>
      <c r="F1619" t="n">
        <v>39</v>
      </c>
      <c r="G1619" t="n">
        <v>0.2</v>
      </c>
      <c r="H1619">
        <f>E1619*F1619*(1-G1619)</f>
        <v/>
      </c>
      <c r="I1619">
        <f>XLOOKUP(D1619,Products!$A$2:$A$15,Products!$B$2:$B$15,"Not found")</f>
        <v/>
      </c>
    </row>
    <row r="1620">
      <c r="A1620" t="n">
        <v>105939</v>
      </c>
      <c r="B1620" s="1" t="n">
        <v>45792</v>
      </c>
      <c r="C1620" t="inlineStr">
        <is>
          <t>S02</t>
        </is>
      </c>
      <c r="D1620" t="inlineStr">
        <is>
          <t>P201</t>
        </is>
      </c>
      <c r="E1620" t="n">
        <v>1</v>
      </c>
      <c r="F1620" t="n">
        <v>149</v>
      </c>
      <c r="G1620" t="n">
        <v>0</v>
      </c>
      <c r="H1620">
        <f>E1620*F1620*(1-G1620)</f>
        <v/>
      </c>
      <c r="I1620">
        <f>XLOOKUP(D1620,Products!$A$2:$A$15,Products!$B$2:$B$15,"Not found")</f>
        <v/>
      </c>
    </row>
    <row r="1621">
      <c r="A1621" t="n">
        <v>105940</v>
      </c>
      <c r="B1621" s="1" t="n">
        <v>45792</v>
      </c>
      <c r="C1621" t="inlineStr">
        <is>
          <t>S03</t>
        </is>
      </c>
      <c r="D1621" t="inlineStr">
        <is>
          <t>P103</t>
        </is>
      </c>
      <c r="E1621" t="n">
        <v>3</v>
      </c>
      <c r="F1621" t="n">
        <v>29</v>
      </c>
      <c r="G1621" t="n">
        <v>0</v>
      </c>
      <c r="H1621">
        <f>E1621*F1621*(1-G1621)</f>
        <v/>
      </c>
      <c r="I1621">
        <f>XLOOKUP(D1621,Products!$A$2:$A$15,Products!$B$2:$B$15,"Not found")</f>
        <v/>
      </c>
    </row>
    <row r="1622">
      <c r="A1622" t="n">
        <v>105941</v>
      </c>
      <c r="B1622" s="1" t="n">
        <v>45792</v>
      </c>
      <c r="C1622" t="inlineStr">
        <is>
          <t>S04</t>
        </is>
      </c>
      <c r="D1622" t="inlineStr">
        <is>
          <t>P101</t>
        </is>
      </c>
      <c r="E1622" t="n">
        <v>2</v>
      </c>
      <c r="F1622" t="n">
        <v>39</v>
      </c>
      <c r="G1622" t="n">
        <v>0</v>
      </c>
      <c r="H1622">
        <f>E1622*F1622*(1-G1622)</f>
        <v/>
      </c>
      <c r="I1622">
        <f>XLOOKUP(D1622,Products!$A$2:$A$15,Products!$B$2:$B$15,"Not found")</f>
        <v/>
      </c>
    </row>
    <row r="1623">
      <c r="A1623" t="n">
        <v>105942</v>
      </c>
      <c r="B1623" s="1" t="n">
        <v>45792</v>
      </c>
      <c r="C1623" t="inlineStr">
        <is>
          <t>S04</t>
        </is>
      </c>
      <c r="D1623" t="inlineStr">
        <is>
          <t>P302</t>
        </is>
      </c>
      <c r="E1623" t="n">
        <v>2</v>
      </c>
      <c r="F1623" t="n">
        <v>24</v>
      </c>
      <c r="G1623" t="n">
        <v>0</v>
      </c>
      <c r="H1623">
        <f>E1623*F1623*(1-G1623)</f>
        <v/>
      </c>
      <c r="I1623">
        <f>XLOOKUP(D1623,Products!$A$2:$A$15,Products!$B$2:$B$15,"Not found")</f>
        <v/>
      </c>
    </row>
    <row r="1624">
      <c r="A1624" t="n">
        <v>105943</v>
      </c>
      <c r="B1624" s="1" t="n">
        <v>45792</v>
      </c>
      <c r="C1624" t="inlineStr">
        <is>
          <t>S05</t>
        </is>
      </c>
      <c r="D1624" t="inlineStr">
        <is>
          <t>P103</t>
        </is>
      </c>
      <c r="E1624" t="n">
        <v>4</v>
      </c>
      <c r="F1624" t="n">
        <v>29</v>
      </c>
      <c r="G1624" t="n">
        <v>0.2</v>
      </c>
      <c r="H1624">
        <f>E1624*F1624*(1-G1624)</f>
        <v/>
      </c>
      <c r="I1624">
        <f>XLOOKUP(D1624,Products!$A$2:$A$15,Products!$B$2:$B$15,"Not found")</f>
        <v/>
      </c>
    </row>
    <row r="1625">
      <c r="A1625" t="n">
        <v>105944</v>
      </c>
      <c r="B1625" s="1" t="n">
        <v>45792</v>
      </c>
      <c r="C1625" t="inlineStr">
        <is>
          <t>S05</t>
        </is>
      </c>
      <c r="D1625" t="inlineStr">
        <is>
          <t>P103</t>
        </is>
      </c>
      <c r="E1625" t="n">
        <v>1</v>
      </c>
      <c r="F1625" t="n">
        <v>29</v>
      </c>
      <c r="G1625" t="n">
        <v>0</v>
      </c>
      <c r="H1625">
        <f>E1625*F1625*(1-G1625)</f>
        <v/>
      </c>
      <c r="I1625">
        <f>XLOOKUP(D1625,Products!$A$2:$A$15,Products!$B$2:$B$15,"Not found")</f>
        <v/>
      </c>
    </row>
    <row r="1626">
      <c r="A1626" t="n">
        <v>105945</v>
      </c>
      <c r="B1626" s="1" t="n">
        <v>45793</v>
      </c>
      <c r="C1626" t="inlineStr">
        <is>
          <t>S01</t>
        </is>
      </c>
      <c r="D1626" t="inlineStr">
        <is>
          <t>P101</t>
        </is>
      </c>
      <c r="E1626" t="n">
        <v>1</v>
      </c>
      <c r="F1626" t="n">
        <v>39</v>
      </c>
      <c r="G1626" t="n">
        <v>0</v>
      </c>
      <c r="H1626">
        <f>E1626*F1626*(1-G1626)</f>
        <v/>
      </c>
      <c r="I1626">
        <f>XLOOKUP(D1626,Products!$A$2:$A$15,Products!$B$2:$B$15,"Not found")</f>
        <v/>
      </c>
    </row>
    <row r="1627">
      <c r="A1627" t="n">
        <v>105946</v>
      </c>
      <c r="B1627" s="1" t="n">
        <v>45793</v>
      </c>
      <c r="C1627" t="inlineStr">
        <is>
          <t>S02</t>
        </is>
      </c>
      <c r="D1627" t="inlineStr">
        <is>
          <t>P102</t>
        </is>
      </c>
      <c r="E1627" t="n">
        <v>1</v>
      </c>
      <c r="F1627" t="n">
        <v>14.5</v>
      </c>
      <c r="G1627" t="n">
        <v>0</v>
      </c>
      <c r="H1627">
        <f>E1627*F1627*(1-G1627)</f>
        <v/>
      </c>
      <c r="I1627">
        <f>XLOOKUP(D1627,Products!$A$2:$A$15,Products!$B$2:$B$15,"Not found")</f>
        <v/>
      </c>
    </row>
    <row r="1628">
      <c r="A1628" t="n">
        <v>105947</v>
      </c>
      <c r="B1628" s="1" t="n">
        <v>45793</v>
      </c>
      <c r="C1628" t="inlineStr">
        <is>
          <t>S02</t>
        </is>
      </c>
      <c r="D1628" t="inlineStr">
        <is>
          <t>P203</t>
        </is>
      </c>
      <c r="E1628" t="n">
        <v>2</v>
      </c>
      <c r="F1628" t="n">
        <v>19.5</v>
      </c>
      <c r="G1628" t="n">
        <v>0</v>
      </c>
      <c r="H1628">
        <f>E1628*F1628*(1-G1628)</f>
        <v/>
      </c>
      <c r="I1628">
        <f>XLOOKUP(D1628,Products!$A$2:$A$15,Products!$B$2:$B$15,"Not found")</f>
        <v/>
      </c>
    </row>
    <row r="1629">
      <c r="A1629" t="n">
        <v>105948</v>
      </c>
      <c r="B1629" s="1" t="n">
        <v>45793</v>
      </c>
      <c r="C1629" t="inlineStr">
        <is>
          <t>S02</t>
        </is>
      </c>
      <c r="D1629" t="inlineStr">
        <is>
          <t>P102</t>
        </is>
      </c>
      <c r="E1629" t="n">
        <v>1</v>
      </c>
      <c r="F1629" t="n">
        <v>14.5</v>
      </c>
      <c r="G1629" t="n">
        <v>0</v>
      </c>
      <c r="H1629">
        <f>E1629*F1629*(1-G1629)</f>
        <v/>
      </c>
      <c r="I1629">
        <f>XLOOKUP(D1629,Products!$A$2:$A$15,Products!$B$2:$B$15,"Not found")</f>
        <v/>
      </c>
    </row>
    <row r="1630">
      <c r="A1630" t="n">
        <v>105949</v>
      </c>
      <c r="B1630" s="1" t="n">
        <v>45793</v>
      </c>
      <c r="C1630" t="inlineStr">
        <is>
          <t>S02</t>
        </is>
      </c>
      <c r="D1630" t="inlineStr">
        <is>
          <t>P301</t>
        </is>
      </c>
      <c r="E1630" t="n">
        <v>1</v>
      </c>
      <c r="F1630" t="n">
        <v>119</v>
      </c>
      <c r="G1630" t="n">
        <v>0</v>
      </c>
      <c r="H1630">
        <f>E1630*F1630*(1-G1630)</f>
        <v/>
      </c>
      <c r="I1630">
        <f>XLOOKUP(D1630,Products!$A$2:$A$15,Products!$B$2:$B$15,"Not found")</f>
        <v/>
      </c>
    </row>
    <row r="1631">
      <c r="A1631" t="n">
        <v>105950</v>
      </c>
      <c r="B1631" s="1" t="n">
        <v>45793</v>
      </c>
      <c r="C1631" t="inlineStr">
        <is>
          <t>S03</t>
        </is>
      </c>
      <c r="D1631" t="inlineStr">
        <is>
          <t>P303</t>
        </is>
      </c>
      <c r="E1631" t="n">
        <v>3</v>
      </c>
      <c r="F1631" t="n">
        <v>12</v>
      </c>
      <c r="G1631" t="n">
        <v>0</v>
      </c>
      <c r="H1631">
        <f>E1631*F1631*(1-G1631)</f>
        <v/>
      </c>
      <c r="I1631">
        <f>XLOOKUP(D1631,Products!$A$2:$A$15,Products!$B$2:$B$15,"Not found")</f>
        <v/>
      </c>
    </row>
    <row r="1632">
      <c r="A1632" t="n">
        <v>105951</v>
      </c>
      <c r="B1632" s="1" t="n">
        <v>45793</v>
      </c>
      <c r="C1632" t="inlineStr">
        <is>
          <t>S05</t>
        </is>
      </c>
      <c r="D1632" t="inlineStr">
        <is>
          <t>P302</t>
        </is>
      </c>
      <c r="E1632" t="n">
        <v>4</v>
      </c>
      <c r="F1632" t="n">
        <v>24</v>
      </c>
      <c r="G1632" t="n">
        <v>0.2</v>
      </c>
      <c r="H1632">
        <f>E1632*F1632*(1-G1632)</f>
        <v/>
      </c>
      <c r="I1632">
        <f>XLOOKUP(D1632,Products!$A$2:$A$15,Products!$B$2:$B$15,"Not found")</f>
        <v/>
      </c>
    </row>
    <row r="1633">
      <c r="A1633" t="n">
        <v>105952</v>
      </c>
      <c r="B1633" s="1" t="n">
        <v>45793</v>
      </c>
      <c r="C1633" t="inlineStr">
        <is>
          <t>S05</t>
        </is>
      </c>
      <c r="D1633" t="inlineStr">
        <is>
          <t>P301</t>
        </is>
      </c>
      <c r="E1633" t="n">
        <v>1</v>
      </c>
      <c r="F1633" t="n">
        <v>119</v>
      </c>
      <c r="G1633" t="n">
        <v>0</v>
      </c>
      <c r="H1633">
        <f>E1633*F1633*(1-G1633)</f>
        <v/>
      </c>
      <c r="I1633">
        <f>XLOOKUP(D1633,Products!$A$2:$A$15,Products!$B$2:$B$15,"Not found")</f>
        <v/>
      </c>
    </row>
    <row r="1634">
      <c r="A1634" t="n">
        <v>105953</v>
      </c>
      <c r="B1634" s="1" t="n">
        <v>45793</v>
      </c>
      <c r="C1634" t="inlineStr">
        <is>
          <t>S05</t>
        </is>
      </c>
      <c r="D1634" t="inlineStr">
        <is>
          <t>P101</t>
        </is>
      </c>
      <c r="E1634" t="n">
        <v>1</v>
      </c>
      <c r="F1634" t="n">
        <v>39</v>
      </c>
      <c r="G1634" t="n">
        <v>0.1</v>
      </c>
      <c r="H1634">
        <f>E1634*F1634*(1-G1634)</f>
        <v/>
      </c>
      <c r="I1634">
        <f>XLOOKUP(D1634,Products!$A$2:$A$15,Products!$B$2:$B$15,"Not found")</f>
        <v/>
      </c>
    </row>
    <row r="1635">
      <c r="A1635" t="n">
        <v>105954</v>
      </c>
      <c r="B1635" s="1" t="n">
        <v>45793</v>
      </c>
      <c r="C1635" t="inlineStr">
        <is>
          <t>S06</t>
        </is>
      </c>
      <c r="D1635" t="inlineStr">
        <is>
          <t>P102</t>
        </is>
      </c>
      <c r="E1635" t="n">
        <v>1</v>
      </c>
      <c r="F1635" t="n">
        <v>14.5</v>
      </c>
      <c r="G1635" t="n">
        <v>0.2</v>
      </c>
      <c r="H1635">
        <f>E1635*F1635*(1-G1635)</f>
        <v/>
      </c>
      <c r="I1635">
        <f>XLOOKUP(D1635,Products!$A$2:$A$15,Products!$B$2:$B$15,"Not found")</f>
        <v/>
      </c>
    </row>
    <row r="1636">
      <c r="A1636" t="n">
        <v>105955</v>
      </c>
      <c r="B1636" s="1" t="n">
        <v>45794</v>
      </c>
      <c r="C1636" t="inlineStr">
        <is>
          <t>S01</t>
        </is>
      </c>
      <c r="D1636" t="inlineStr">
        <is>
          <t>P101</t>
        </is>
      </c>
      <c r="E1636" t="n">
        <v>2</v>
      </c>
      <c r="F1636" t="n">
        <v>39</v>
      </c>
      <c r="G1636" t="n">
        <v>0</v>
      </c>
      <c r="H1636">
        <f>E1636*F1636*(1-G1636)</f>
        <v/>
      </c>
      <c r="I1636">
        <f>XLOOKUP(D1636,Products!$A$2:$A$15,Products!$B$2:$B$15,"Not found")</f>
        <v/>
      </c>
    </row>
    <row r="1637">
      <c r="A1637" t="n">
        <v>105956</v>
      </c>
      <c r="B1637" s="1" t="n">
        <v>45794</v>
      </c>
      <c r="C1637" t="inlineStr">
        <is>
          <t>S01</t>
        </is>
      </c>
      <c r="D1637" t="inlineStr">
        <is>
          <t>P101</t>
        </is>
      </c>
      <c r="E1637" t="n">
        <v>1</v>
      </c>
      <c r="F1637" t="n">
        <v>39</v>
      </c>
      <c r="G1637" t="n">
        <v>0.15</v>
      </c>
      <c r="H1637">
        <f>E1637*F1637*(1-G1637)</f>
        <v/>
      </c>
      <c r="I1637">
        <f>XLOOKUP(D1637,Products!$A$2:$A$15,Products!$B$2:$B$15,"Not found")</f>
        <v/>
      </c>
    </row>
    <row r="1638">
      <c r="A1638" t="n">
        <v>105957</v>
      </c>
      <c r="B1638" s="1" t="n">
        <v>45794</v>
      </c>
      <c r="C1638" t="inlineStr">
        <is>
          <t>S01</t>
        </is>
      </c>
      <c r="D1638" t="inlineStr">
        <is>
          <t>P102</t>
        </is>
      </c>
      <c r="E1638" t="n">
        <v>4</v>
      </c>
      <c r="F1638" t="n">
        <v>14.5</v>
      </c>
      <c r="G1638" t="n">
        <v>0</v>
      </c>
      <c r="H1638">
        <f>E1638*F1638*(1-G1638)</f>
        <v/>
      </c>
      <c r="I1638">
        <f>XLOOKUP(D1638,Products!$A$2:$A$15,Products!$B$2:$B$15,"Not found")</f>
        <v/>
      </c>
    </row>
    <row r="1639">
      <c r="A1639" t="n">
        <v>105958</v>
      </c>
      <c r="B1639" s="1" t="n">
        <v>45794</v>
      </c>
      <c r="C1639" t="inlineStr">
        <is>
          <t>S02</t>
        </is>
      </c>
      <c r="D1639" t="inlineStr">
        <is>
          <t>P302</t>
        </is>
      </c>
      <c r="E1639" t="n">
        <v>2</v>
      </c>
      <c r="F1639" t="n">
        <v>24</v>
      </c>
      <c r="G1639" t="n">
        <v>0</v>
      </c>
      <c r="H1639">
        <f>E1639*F1639*(1-G1639)</f>
        <v/>
      </c>
      <c r="I1639">
        <f>XLOOKUP(D1639,Products!$A$2:$A$15,Products!$B$2:$B$15,"Not found")</f>
        <v/>
      </c>
    </row>
    <row r="1640">
      <c r="A1640" t="n">
        <v>105959</v>
      </c>
      <c r="B1640" s="1" t="n">
        <v>45794</v>
      </c>
      <c r="C1640" t="inlineStr">
        <is>
          <t>S02</t>
        </is>
      </c>
      <c r="D1640" t="inlineStr">
        <is>
          <t>P301</t>
        </is>
      </c>
      <c r="E1640" t="n">
        <v>1</v>
      </c>
      <c r="F1640" t="n">
        <v>119</v>
      </c>
      <c r="G1640" t="n">
        <v>0</v>
      </c>
      <c r="H1640">
        <f>E1640*F1640*(1-G1640)</f>
        <v/>
      </c>
      <c r="I1640">
        <f>XLOOKUP(D1640,Products!$A$2:$A$15,Products!$B$2:$B$15,"Not found")</f>
        <v/>
      </c>
    </row>
    <row r="1641">
      <c r="A1641" t="n">
        <v>105960</v>
      </c>
      <c r="B1641" s="1" t="n">
        <v>45794</v>
      </c>
      <c r="C1641" t="inlineStr">
        <is>
          <t>S03</t>
        </is>
      </c>
      <c r="D1641" t="inlineStr">
        <is>
          <t>P301</t>
        </is>
      </c>
      <c r="E1641" t="n">
        <v>1</v>
      </c>
      <c r="F1641" t="n">
        <v>119</v>
      </c>
      <c r="G1641" t="n">
        <v>0.1</v>
      </c>
      <c r="H1641">
        <f>E1641*F1641*(1-G1641)</f>
        <v/>
      </c>
      <c r="I1641">
        <f>XLOOKUP(D1641,Products!$A$2:$A$15,Products!$B$2:$B$15,"Not found")</f>
        <v/>
      </c>
    </row>
    <row r="1642">
      <c r="A1642" t="n">
        <v>105961</v>
      </c>
      <c r="B1642" s="1" t="n">
        <v>45794</v>
      </c>
      <c r="C1642" t="inlineStr">
        <is>
          <t>S03</t>
        </is>
      </c>
      <c r="D1642" t="inlineStr">
        <is>
          <t>P204</t>
        </is>
      </c>
      <c r="E1642" t="n">
        <v>1</v>
      </c>
      <c r="F1642" t="n">
        <v>229</v>
      </c>
      <c r="G1642" t="n">
        <v>0.15</v>
      </c>
      <c r="H1642">
        <f>E1642*F1642*(1-G1642)</f>
        <v/>
      </c>
      <c r="I1642">
        <f>XLOOKUP(D1642,Products!$A$2:$A$15,Products!$B$2:$B$15,"Not found")</f>
        <v/>
      </c>
    </row>
    <row r="1643">
      <c r="A1643" t="n">
        <v>105962</v>
      </c>
      <c r="B1643" s="1" t="n">
        <v>45794</v>
      </c>
      <c r="C1643" t="inlineStr">
        <is>
          <t>S03</t>
        </is>
      </c>
      <c r="D1643" t="inlineStr">
        <is>
          <t>P101</t>
        </is>
      </c>
      <c r="E1643" t="n">
        <v>2</v>
      </c>
      <c r="F1643" t="n">
        <v>39</v>
      </c>
      <c r="G1643" t="n">
        <v>0</v>
      </c>
      <c r="H1643">
        <f>E1643*F1643*(1-G1643)</f>
        <v/>
      </c>
      <c r="I1643">
        <f>XLOOKUP(D1643,Products!$A$2:$A$15,Products!$B$2:$B$15,"Not found")</f>
        <v/>
      </c>
    </row>
    <row r="1644">
      <c r="A1644" t="n">
        <v>105963</v>
      </c>
      <c r="B1644" s="1" t="n">
        <v>45794</v>
      </c>
      <c r="C1644" t="inlineStr">
        <is>
          <t>S04</t>
        </is>
      </c>
      <c r="D1644" t="inlineStr">
        <is>
          <t>P202</t>
        </is>
      </c>
      <c r="E1644" t="n">
        <v>2</v>
      </c>
      <c r="F1644" t="n">
        <v>79</v>
      </c>
      <c r="G1644" t="n">
        <v>0</v>
      </c>
      <c r="H1644">
        <f>E1644*F1644*(1-G1644)</f>
        <v/>
      </c>
      <c r="I1644">
        <f>XLOOKUP(D1644,Products!$A$2:$A$15,Products!$B$2:$B$15,"Not found")</f>
        <v/>
      </c>
    </row>
    <row r="1645">
      <c r="A1645" t="n">
        <v>105964</v>
      </c>
      <c r="B1645" s="1" t="n">
        <v>45794</v>
      </c>
      <c r="C1645" t="inlineStr">
        <is>
          <t>S06</t>
        </is>
      </c>
      <c r="D1645" t="inlineStr">
        <is>
          <t>P301</t>
        </is>
      </c>
      <c r="E1645" t="n">
        <v>1</v>
      </c>
      <c r="F1645" t="n">
        <v>119</v>
      </c>
      <c r="G1645" t="n">
        <v>0</v>
      </c>
      <c r="H1645">
        <f>E1645*F1645*(1-G1645)</f>
        <v/>
      </c>
      <c r="I1645">
        <f>XLOOKUP(D1645,Products!$A$2:$A$15,Products!$B$2:$B$15,"Not found")</f>
        <v/>
      </c>
    </row>
    <row r="1646">
      <c r="A1646" t="n">
        <v>105965</v>
      </c>
      <c r="B1646" s="1" t="n">
        <v>45795</v>
      </c>
      <c r="C1646" t="inlineStr">
        <is>
          <t>S01</t>
        </is>
      </c>
      <c r="D1646" t="inlineStr">
        <is>
          <t>P203</t>
        </is>
      </c>
      <c r="E1646" t="n">
        <v>2</v>
      </c>
      <c r="F1646" t="n">
        <v>19.5</v>
      </c>
      <c r="G1646" t="n">
        <v>0.2</v>
      </c>
      <c r="H1646">
        <f>E1646*F1646*(1-G1646)</f>
        <v/>
      </c>
      <c r="I1646">
        <f>XLOOKUP(D1646,Products!$A$2:$A$15,Products!$B$2:$B$15,"Not found")</f>
        <v/>
      </c>
    </row>
    <row r="1647">
      <c r="A1647" t="n">
        <v>105966</v>
      </c>
      <c r="B1647" s="1" t="n">
        <v>45795</v>
      </c>
      <c r="C1647" t="inlineStr">
        <is>
          <t>S01</t>
        </is>
      </c>
      <c r="D1647" t="inlineStr">
        <is>
          <t>P201</t>
        </is>
      </c>
      <c r="E1647" t="n">
        <v>1</v>
      </c>
      <c r="F1647" t="n">
        <v>149</v>
      </c>
      <c r="G1647" t="n">
        <v>0</v>
      </c>
      <c r="H1647">
        <f>E1647*F1647*(1-G1647)</f>
        <v/>
      </c>
      <c r="I1647">
        <f>XLOOKUP(D1647,Products!$A$2:$A$15,Products!$B$2:$B$15,"Not found")</f>
        <v/>
      </c>
    </row>
    <row r="1648">
      <c r="A1648" t="n">
        <v>105967</v>
      </c>
      <c r="B1648" s="1" t="n">
        <v>45795</v>
      </c>
      <c r="C1648" t="inlineStr">
        <is>
          <t>S02</t>
        </is>
      </c>
      <c r="D1648" t="inlineStr">
        <is>
          <t>P201</t>
        </is>
      </c>
      <c r="E1648" t="n">
        <v>1</v>
      </c>
      <c r="F1648" t="n">
        <v>149</v>
      </c>
      <c r="G1648" t="n">
        <v>0</v>
      </c>
      <c r="H1648">
        <f>E1648*F1648*(1-G1648)</f>
        <v/>
      </c>
      <c r="I1648">
        <f>XLOOKUP(D1648,Products!$A$2:$A$15,Products!$B$2:$B$15,"Not found")</f>
        <v/>
      </c>
    </row>
    <row r="1649">
      <c r="A1649" t="n">
        <v>105968</v>
      </c>
      <c r="B1649" s="1" t="n">
        <v>45795</v>
      </c>
      <c r="C1649" t="inlineStr">
        <is>
          <t>S03</t>
        </is>
      </c>
      <c r="D1649" t="inlineStr">
        <is>
          <t>P403</t>
        </is>
      </c>
      <c r="E1649" t="n">
        <v>3</v>
      </c>
      <c r="F1649" t="n">
        <v>89</v>
      </c>
      <c r="G1649" t="n">
        <v>0.2</v>
      </c>
      <c r="H1649">
        <f>E1649*F1649*(1-G1649)</f>
        <v/>
      </c>
      <c r="I1649">
        <f>XLOOKUP(D1649,Products!$A$2:$A$15,Products!$B$2:$B$15,"Not found")</f>
        <v/>
      </c>
    </row>
    <row r="1650">
      <c r="A1650" t="n">
        <v>105969</v>
      </c>
      <c r="B1650" s="1" t="n">
        <v>45795</v>
      </c>
      <c r="C1650" t="inlineStr">
        <is>
          <t>S03</t>
        </is>
      </c>
      <c r="D1650" t="inlineStr">
        <is>
          <t>P303</t>
        </is>
      </c>
      <c r="E1650" t="n">
        <v>1</v>
      </c>
      <c r="F1650" t="n">
        <v>12</v>
      </c>
      <c r="G1650" t="n">
        <v>0.2</v>
      </c>
      <c r="H1650">
        <f>E1650*F1650*(1-G1650)</f>
        <v/>
      </c>
      <c r="I1650">
        <f>XLOOKUP(D1650,Products!$A$2:$A$15,Products!$B$2:$B$15,"Not found")</f>
        <v/>
      </c>
    </row>
    <row r="1651">
      <c r="A1651" t="n">
        <v>105970</v>
      </c>
      <c r="B1651" s="1" t="n">
        <v>45795</v>
      </c>
      <c r="C1651" t="inlineStr">
        <is>
          <t>S04</t>
        </is>
      </c>
      <c r="D1651" t="inlineStr">
        <is>
          <t>P103</t>
        </is>
      </c>
      <c r="E1651" t="n">
        <v>1</v>
      </c>
      <c r="F1651" t="n">
        <v>29</v>
      </c>
      <c r="G1651" t="n">
        <v>0.15</v>
      </c>
      <c r="H1651">
        <f>E1651*F1651*(1-G1651)</f>
        <v/>
      </c>
      <c r="I1651">
        <f>XLOOKUP(D1651,Products!$A$2:$A$15,Products!$B$2:$B$15,"Not found")</f>
        <v/>
      </c>
    </row>
    <row r="1652">
      <c r="A1652" t="n">
        <v>105971</v>
      </c>
      <c r="B1652" s="1" t="n">
        <v>45795</v>
      </c>
      <c r="C1652" t="inlineStr">
        <is>
          <t>S05</t>
        </is>
      </c>
      <c r="D1652" t="inlineStr">
        <is>
          <t>P101</t>
        </is>
      </c>
      <c r="E1652" t="n">
        <v>2</v>
      </c>
      <c r="F1652" t="n">
        <v>39</v>
      </c>
      <c r="G1652" t="n">
        <v>0.15</v>
      </c>
      <c r="H1652">
        <f>E1652*F1652*(1-G1652)</f>
        <v/>
      </c>
      <c r="I1652">
        <f>XLOOKUP(D1652,Products!$A$2:$A$15,Products!$B$2:$B$15,"Not found")</f>
        <v/>
      </c>
    </row>
    <row r="1653">
      <c r="A1653" t="n">
        <v>105972</v>
      </c>
      <c r="B1653" s="1" t="n">
        <v>45795</v>
      </c>
      <c r="C1653" t="inlineStr">
        <is>
          <t>S06</t>
        </is>
      </c>
      <c r="D1653" t="inlineStr">
        <is>
          <t>P104</t>
        </is>
      </c>
      <c r="E1653" t="n">
        <v>1</v>
      </c>
      <c r="F1653" t="n">
        <v>189</v>
      </c>
      <c r="G1653" t="n">
        <v>0</v>
      </c>
      <c r="H1653">
        <f>E1653*F1653*(1-G1653)</f>
        <v/>
      </c>
      <c r="I1653">
        <f>XLOOKUP(D1653,Products!$A$2:$A$15,Products!$B$2:$B$15,"Not found")</f>
        <v/>
      </c>
    </row>
    <row r="1654">
      <c r="A1654" t="n">
        <v>105973</v>
      </c>
      <c r="B1654" s="1" t="n">
        <v>45796</v>
      </c>
      <c r="C1654" t="inlineStr">
        <is>
          <t>S01</t>
        </is>
      </c>
      <c r="D1654" t="inlineStr">
        <is>
          <t>P102</t>
        </is>
      </c>
      <c r="E1654" t="n">
        <v>2</v>
      </c>
      <c r="F1654" t="n">
        <v>14.5</v>
      </c>
      <c r="G1654" t="n">
        <v>0</v>
      </c>
      <c r="H1654">
        <f>E1654*F1654*(1-G1654)</f>
        <v/>
      </c>
      <c r="I1654">
        <f>XLOOKUP(D1654,Products!$A$2:$A$15,Products!$B$2:$B$15,"Not found")</f>
        <v/>
      </c>
    </row>
    <row r="1655">
      <c r="A1655" t="n">
        <v>105974</v>
      </c>
      <c r="B1655" s="1" t="n">
        <v>45796</v>
      </c>
      <c r="C1655" t="inlineStr">
        <is>
          <t>S01</t>
        </is>
      </c>
      <c r="D1655" t="inlineStr">
        <is>
          <t>P101</t>
        </is>
      </c>
      <c r="E1655" t="n">
        <v>3</v>
      </c>
      <c r="F1655" t="n">
        <v>39</v>
      </c>
      <c r="G1655" t="n">
        <v>0.15</v>
      </c>
      <c r="H1655">
        <f>E1655*F1655*(1-G1655)</f>
        <v/>
      </c>
      <c r="I1655">
        <f>XLOOKUP(D1655,Products!$A$2:$A$15,Products!$B$2:$B$15,"Not found")</f>
        <v/>
      </c>
    </row>
    <row r="1656">
      <c r="A1656" t="n">
        <v>105975</v>
      </c>
      <c r="B1656" s="1" t="n">
        <v>45796</v>
      </c>
      <c r="C1656" t="inlineStr">
        <is>
          <t>S01</t>
        </is>
      </c>
      <c r="D1656" t="inlineStr">
        <is>
          <t>P201</t>
        </is>
      </c>
      <c r="E1656" t="n">
        <v>1</v>
      </c>
      <c r="F1656" t="n">
        <v>149</v>
      </c>
      <c r="G1656" t="n">
        <v>0.2</v>
      </c>
      <c r="H1656">
        <f>E1656*F1656*(1-G1656)</f>
        <v/>
      </c>
      <c r="I1656">
        <f>XLOOKUP(D1656,Products!$A$2:$A$15,Products!$B$2:$B$15,"Not found")</f>
        <v/>
      </c>
    </row>
    <row r="1657">
      <c r="A1657" t="n">
        <v>105976</v>
      </c>
      <c r="B1657" s="1" t="n">
        <v>45796</v>
      </c>
      <c r="C1657" t="inlineStr">
        <is>
          <t>S01</t>
        </is>
      </c>
      <c r="D1657" t="inlineStr">
        <is>
          <t>P103</t>
        </is>
      </c>
      <c r="E1657" t="n">
        <v>3</v>
      </c>
      <c r="F1657" t="n">
        <v>29</v>
      </c>
      <c r="G1657" t="n">
        <v>0</v>
      </c>
      <c r="H1657">
        <f>E1657*F1657*(1-G1657)</f>
        <v/>
      </c>
      <c r="I1657">
        <f>XLOOKUP(D1657,Products!$A$2:$A$15,Products!$B$2:$B$15,"Not found")</f>
        <v/>
      </c>
    </row>
    <row r="1658">
      <c r="A1658" t="n">
        <v>105977</v>
      </c>
      <c r="B1658" s="1" t="n">
        <v>45796</v>
      </c>
      <c r="C1658" t="inlineStr">
        <is>
          <t>S02</t>
        </is>
      </c>
      <c r="D1658" t="inlineStr">
        <is>
          <t>P302</t>
        </is>
      </c>
      <c r="E1658" t="n">
        <v>4</v>
      </c>
      <c r="F1658" t="n">
        <v>24</v>
      </c>
      <c r="G1658" t="n">
        <v>0</v>
      </c>
      <c r="H1658">
        <f>E1658*F1658*(1-G1658)</f>
        <v/>
      </c>
      <c r="I1658">
        <f>XLOOKUP(D1658,Products!$A$2:$A$15,Products!$B$2:$B$15,"Not found")</f>
        <v/>
      </c>
    </row>
    <row r="1659">
      <c r="A1659" t="n">
        <v>105978</v>
      </c>
      <c r="B1659" s="1" t="n">
        <v>45796</v>
      </c>
      <c r="C1659" t="inlineStr">
        <is>
          <t>S02</t>
        </is>
      </c>
      <c r="D1659" t="inlineStr">
        <is>
          <t>P102</t>
        </is>
      </c>
      <c r="E1659" t="n">
        <v>2</v>
      </c>
      <c r="F1659" t="n">
        <v>14.5</v>
      </c>
      <c r="G1659" t="n">
        <v>0</v>
      </c>
      <c r="H1659">
        <f>E1659*F1659*(1-G1659)</f>
        <v/>
      </c>
      <c r="I1659">
        <f>XLOOKUP(D1659,Products!$A$2:$A$15,Products!$B$2:$B$15,"Not found")</f>
        <v/>
      </c>
    </row>
    <row r="1660">
      <c r="A1660" t="n">
        <v>105979</v>
      </c>
      <c r="B1660" s="1" t="n">
        <v>45796</v>
      </c>
      <c r="C1660" t="inlineStr">
        <is>
          <t>S02</t>
        </is>
      </c>
      <c r="D1660" t="inlineStr">
        <is>
          <t>P301</t>
        </is>
      </c>
      <c r="E1660" t="n">
        <v>1</v>
      </c>
      <c r="F1660" t="n">
        <v>119</v>
      </c>
      <c r="G1660" t="n">
        <v>0.15</v>
      </c>
      <c r="H1660">
        <f>E1660*F1660*(1-G1660)</f>
        <v/>
      </c>
      <c r="I1660">
        <f>XLOOKUP(D1660,Products!$A$2:$A$15,Products!$B$2:$B$15,"Not found")</f>
        <v/>
      </c>
    </row>
    <row r="1661">
      <c r="A1661" t="n">
        <v>105980</v>
      </c>
      <c r="B1661" s="1" t="n">
        <v>45796</v>
      </c>
      <c r="C1661" t="inlineStr">
        <is>
          <t>S03</t>
        </is>
      </c>
      <c r="D1661" t="inlineStr">
        <is>
          <t>P403</t>
        </is>
      </c>
      <c r="E1661" t="n">
        <v>1</v>
      </c>
      <c r="F1661" t="n">
        <v>89</v>
      </c>
      <c r="G1661" t="n">
        <v>0.2</v>
      </c>
      <c r="H1661">
        <f>E1661*F1661*(1-G1661)</f>
        <v/>
      </c>
      <c r="I1661">
        <f>XLOOKUP(D1661,Products!$A$2:$A$15,Products!$B$2:$B$15,"Not found")</f>
        <v/>
      </c>
    </row>
    <row r="1662">
      <c r="A1662" t="n">
        <v>105981</v>
      </c>
      <c r="B1662" s="1" t="n">
        <v>45796</v>
      </c>
      <c r="C1662" t="inlineStr">
        <is>
          <t>S04</t>
        </is>
      </c>
      <c r="D1662" t="inlineStr">
        <is>
          <t>P102</t>
        </is>
      </c>
      <c r="E1662" t="n">
        <v>1</v>
      </c>
      <c r="F1662" t="n">
        <v>14.5</v>
      </c>
      <c r="G1662" t="n">
        <v>0.1</v>
      </c>
      <c r="H1662">
        <f>E1662*F1662*(1-G1662)</f>
        <v/>
      </c>
      <c r="I1662">
        <f>XLOOKUP(D1662,Products!$A$2:$A$15,Products!$B$2:$B$15,"Not found")</f>
        <v/>
      </c>
    </row>
    <row r="1663">
      <c r="A1663" t="n">
        <v>105982</v>
      </c>
      <c r="B1663" s="1" t="n">
        <v>45797</v>
      </c>
      <c r="C1663" t="inlineStr">
        <is>
          <t>S04</t>
        </is>
      </c>
      <c r="D1663" t="inlineStr">
        <is>
          <t>P303</t>
        </is>
      </c>
      <c r="E1663" t="n">
        <v>2</v>
      </c>
      <c r="F1663" t="n">
        <v>12</v>
      </c>
      <c r="G1663" t="n">
        <v>0</v>
      </c>
      <c r="H1663">
        <f>E1663*F1663*(1-G1663)</f>
        <v/>
      </c>
      <c r="I1663">
        <f>XLOOKUP(D1663,Products!$A$2:$A$15,Products!$B$2:$B$15,"Not found")</f>
        <v/>
      </c>
    </row>
    <row r="1664">
      <c r="A1664" t="n">
        <v>105983</v>
      </c>
      <c r="B1664" s="1" t="n">
        <v>45797</v>
      </c>
      <c r="C1664" t="inlineStr">
        <is>
          <t>S05</t>
        </is>
      </c>
      <c r="D1664" t="inlineStr">
        <is>
          <t>P102</t>
        </is>
      </c>
      <c r="E1664" t="n">
        <v>1</v>
      </c>
      <c r="F1664" t="n">
        <v>14.5</v>
      </c>
      <c r="G1664" t="n">
        <v>0</v>
      </c>
      <c r="H1664">
        <f>E1664*F1664*(1-G1664)</f>
        <v/>
      </c>
      <c r="I1664">
        <f>XLOOKUP(D1664,Products!$A$2:$A$15,Products!$B$2:$B$15,"Not found")</f>
        <v/>
      </c>
    </row>
    <row r="1665">
      <c r="A1665" t="n">
        <v>105984</v>
      </c>
      <c r="B1665" s="1" t="n">
        <v>45798</v>
      </c>
      <c r="C1665" t="inlineStr">
        <is>
          <t>S01</t>
        </is>
      </c>
      <c r="D1665" t="inlineStr">
        <is>
          <t>P202</t>
        </is>
      </c>
      <c r="E1665" t="n">
        <v>3</v>
      </c>
      <c r="F1665" t="n">
        <v>79</v>
      </c>
      <c r="G1665" t="n">
        <v>0</v>
      </c>
      <c r="H1665">
        <f>E1665*F1665*(1-G1665)</f>
        <v/>
      </c>
      <c r="I1665">
        <f>XLOOKUP(D1665,Products!$A$2:$A$15,Products!$B$2:$B$15,"Not found")</f>
        <v/>
      </c>
    </row>
    <row r="1666">
      <c r="A1666" t="n">
        <v>105985</v>
      </c>
      <c r="B1666" s="1" t="n">
        <v>45798</v>
      </c>
      <c r="C1666" t="inlineStr">
        <is>
          <t>S04</t>
        </is>
      </c>
      <c r="D1666" t="inlineStr">
        <is>
          <t>P102</t>
        </is>
      </c>
      <c r="E1666" t="n">
        <v>3</v>
      </c>
      <c r="F1666" t="n">
        <v>14.5</v>
      </c>
      <c r="G1666" t="n">
        <v>0</v>
      </c>
      <c r="H1666">
        <f>E1666*F1666*(1-G1666)</f>
        <v/>
      </c>
      <c r="I1666">
        <f>XLOOKUP(D1666,Products!$A$2:$A$15,Products!$B$2:$B$15,"Not found")</f>
        <v/>
      </c>
    </row>
    <row r="1667">
      <c r="A1667" t="n">
        <v>105986</v>
      </c>
      <c r="B1667" s="1" t="n">
        <v>45798</v>
      </c>
      <c r="C1667" t="inlineStr">
        <is>
          <t>S04</t>
        </is>
      </c>
      <c r="D1667" t="inlineStr">
        <is>
          <t>P203</t>
        </is>
      </c>
      <c r="E1667" t="n">
        <v>1</v>
      </c>
      <c r="F1667" t="n">
        <v>19.5</v>
      </c>
      <c r="G1667" t="n">
        <v>0</v>
      </c>
      <c r="H1667">
        <f>E1667*F1667*(1-G1667)</f>
        <v/>
      </c>
      <c r="I1667">
        <f>XLOOKUP(D1667,Products!$A$2:$A$15,Products!$B$2:$B$15,"Not found")</f>
        <v/>
      </c>
    </row>
    <row r="1668">
      <c r="A1668" t="n">
        <v>105987</v>
      </c>
      <c r="B1668" s="1" t="n">
        <v>45798</v>
      </c>
      <c r="C1668" t="inlineStr">
        <is>
          <t>S04</t>
        </is>
      </c>
      <c r="D1668" t="inlineStr">
        <is>
          <t>P204</t>
        </is>
      </c>
      <c r="E1668" t="n">
        <v>1</v>
      </c>
      <c r="F1668" t="n">
        <v>229</v>
      </c>
      <c r="G1668" t="n">
        <v>0</v>
      </c>
      <c r="H1668">
        <f>E1668*F1668*(1-G1668)</f>
        <v/>
      </c>
      <c r="I1668">
        <f>XLOOKUP(D1668,Products!$A$2:$A$15,Products!$B$2:$B$15,"Not found")</f>
        <v/>
      </c>
    </row>
    <row r="1669">
      <c r="A1669" t="n">
        <v>105988</v>
      </c>
      <c r="B1669" s="1" t="n">
        <v>45798</v>
      </c>
      <c r="C1669" t="inlineStr">
        <is>
          <t>S05</t>
        </is>
      </c>
      <c r="D1669" t="inlineStr">
        <is>
          <t>P303</t>
        </is>
      </c>
      <c r="E1669" t="n">
        <v>2</v>
      </c>
      <c r="F1669" t="n">
        <v>12</v>
      </c>
      <c r="G1669" t="n">
        <v>0</v>
      </c>
      <c r="H1669">
        <f>E1669*F1669*(1-G1669)</f>
        <v/>
      </c>
      <c r="I1669">
        <f>XLOOKUP(D1669,Products!$A$2:$A$15,Products!$B$2:$B$15,"Not found")</f>
        <v/>
      </c>
    </row>
    <row r="1670">
      <c r="A1670" t="n">
        <v>105989</v>
      </c>
      <c r="B1670" s="1" t="n">
        <v>45798</v>
      </c>
      <c r="C1670" t="inlineStr">
        <is>
          <t>S05</t>
        </is>
      </c>
      <c r="D1670" t="inlineStr">
        <is>
          <t>P302</t>
        </is>
      </c>
      <c r="E1670" t="n">
        <v>2</v>
      </c>
      <c r="F1670" t="n">
        <v>24</v>
      </c>
      <c r="G1670" t="n">
        <v>0</v>
      </c>
      <c r="H1670">
        <f>E1670*F1670*(1-G1670)</f>
        <v/>
      </c>
      <c r="I1670">
        <f>XLOOKUP(D1670,Products!$A$2:$A$15,Products!$B$2:$B$15,"Not found")</f>
        <v/>
      </c>
    </row>
    <row r="1671">
      <c r="A1671" t="n">
        <v>105990</v>
      </c>
      <c r="B1671" s="1" t="n">
        <v>45798</v>
      </c>
      <c r="C1671" t="inlineStr">
        <is>
          <t>S05</t>
        </is>
      </c>
      <c r="D1671" t="inlineStr">
        <is>
          <t>P303</t>
        </is>
      </c>
      <c r="E1671" t="n">
        <v>2</v>
      </c>
      <c r="F1671" t="n">
        <v>12</v>
      </c>
      <c r="G1671" t="n">
        <v>0</v>
      </c>
      <c r="H1671">
        <f>E1671*F1671*(1-G1671)</f>
        <v/>
      </c>
      <c r="I1671">
        <f>XLOOKUP(D1671,Products!$A$2:$A$15,Products!$B$2:$B$15,"Not found")</f>
        <v/>
      </c>
    </row>
    <row r="1672">
      <c r="A1672" t="n">
        <v>105991</v>
      </c>
      <c r="B1672" s="1" t="n">
        <v>45799</v>
      </c>
      <c r="C1672" t="inlineStr">
        <is>
          <t>S01</t>
        </is>
      </c>
      <c r="D1672" t="inlineStr">
        <is>
          <t>P302</t>
        </is>
      </c>
      <c r="E1672" t="n">
        <v>1</v>
      </c>
      <c r="F1672" t="n">
        <v>24</v>
      </c>
      <c r="G1672" t="n">
        <v>0.15</v>
      </c>
      <c r="H1672">
        <f>E1672*F1672*(1-G1672)</f>
        <v/>
      </c>
      <c r="I1672">
        <f>XLOOKUP(D1672,Products!$A$2:$A$15,Products!$B$2:$B$15,"Not found")</f>
        <v/>
      </c>
    </row>
    <row r="1673">
      <c r="A1673" t="n">
        <v>105992</v>
      </c>
      <c r="B1673" s="1" t="n">
        <v>45799</v>
      </c>
      <c r="C1673" t="inlineStr">
        <is>
          <t>S02</t>
        </is>
      </c>
      <c r="D1673" t="inlineStr">
        <is>
          <t>P102</t>
        </is>
      </c>
      <c r="E1673" t="n">
        <v>2</v>
      </c>
      <c r="F1673" t="n">
        <v>14.5</v>
      </c>
      <c r="G1673" t="n">
        <v>0</v>
      </c>
      <c r="H1673">
        <f>E1673*F1673*(1-G1673)</f>
        <v/>
      </c>
      <c r="I1673">
        <f>XLOOKUP(D1673,Products!$A$2:$A$15,Products!$B$2:$B$15,"Not found")</f>
        <v/>
      </c>
    </row>
    <row r="1674">
      <c r="A1674" t="n">
        <v>105993</v>
      </c>
      <c r="B1674" s="1" t="n">
        <v>45799</v>
      </c>
      <c r="C1674" t="inlineStr">
        <is>
          <t>S03</t>
        </is>
      </c>
      <c r="D1674" t="inlineStr">
        <is>
          <t>P201</t>
        </is>
      </c>
      <c r="E1674" t="n">
        <v>1</v>
      </c>
      <c r="F1674" t="n">
        <v>149</v>
      </c>
      <c r="G1674" t="n">
        <v>0</v>
      </c>
      <c r="H1674">
        <f>E1674*F1674*(1-G1674)</f>
        <v/>
      </c>
      <c r="I1674">
        <f>XLOOKUP(D1674,Products!$A$2:$A$15,Products!$B$2:$B$15,"Not found")</f>
        <v/>
      </c>
    </row>
    <row r="1675">
      <c r="A1675" t="n">
        <v>105994</v>
      </c>
      <c r="B1675" s="1" t="n">
        <v>45800</v>
      </c>
      <c r="C1675" t="inlineStr">
        <is>
          <t>S01</t>
        </is>
      </c>
      <c r="D1675" t="inlineStr">
        <is>
          <t>P303</t>
        </is>
      </c>
      <c r="E1675" t="n">
        <v>2</v>
      </c>
      <c r="F1675" t="n">
        <v>12</v>
      </c>
      <c r="G1675" t="n">
        <v>0</v>
      </c>
      <c r="H1675">
        <f>E1675*F1675*(1-G1675)</f>
        <v/>
      </c>
      <c r="I1675">
        <f>XLOOKUP(D1675,Products!$A$2:$A$15,Products!$B$2:$B$15,"Not found")</f>
        <v/>
      </c>
    </row>
    <row r="1676">
      <c r="A1676" t="n">
        <v>105995</v>
      </c>
      <c r="B1676" s="1" t="n">
        <v>45800</v>
      </c>
      <c r="C1676" t="inlineStr">
        <is>
          <t>S02</t>
        </is>
      </c>
      <c r="D1676" t="inlineStr">
        <is>
          <t>P403</t>
        </is>
      </c>
      <c r="E1676" t="n">
        <v>1</v>
      </c>
      <c r="F1676" t="n">
        <v>89</v>
      </c>
      <c r="G1676" t="n">
        <v>0.2</v>
      </c>
      <c r="H1676">
        <f>E1676*F1676*(1-G1676)</f>
        <v/>
      </c>
      <c r="I1676">
        <f>XLOOKUP(D1676,Products!$A$2:$A$15,Products!$B$2:$B$15,"Not found")</f>
        <v/>
      </c>
    </row>
    <row r="1677">
      <c r="A1677" t="n">
        <v>105996</v>
      </c>
      <c r="B1677" s="1" t="n">
        <v>45800</v>
      </c>
      <c r="C1677" t="inlineStr">
        <is>
          <t>S04</t>
        </is>
      </c>
      <c r="D1677" t="inlineStr">
        <is>
          <t>P103</t>
        </is>
      </c>
      <c r="E1677" t="n">
        <v>1</v>
      </c>
      <c r="F1677" t="n">
        <v>29</v>
      </c>
      <c r="G1677" t="n">
        <v>0.1</v>
      </c>
      <c r="H1677">
        <f>E1677*F1677*(1-G1677)</f>
        <v/>
      </c>
      <c r="I1677">
        <f>XLOOKUP(D1677,Products!$A$2:$A$15,Products!$B$2:$B$15,"Not found")</f>
        <v/>
      </c>
    </row>
    <row r="1678">
      <c r="A1678" t="n">
        <v>105997</v>
      </c>
      <c r="B1678" s="1" t="n">
        <v>45800</v>
      </c>
      <c r="C1678" t="inlineStr">
        <is>
          <t>S04</t>
        </is>
      </c>
      <c r="D1678" t="inlineStr">
        <is>
          <t>P201</t>
        </is>
      </c>
      <c r="E1678" t="n">
        <v>1</v>
      </c>
      <c r="F1678" t="n">
        <v>149</v>
      </c>
      <c r="G1678" t="n">
        <v>0.2</v>
      </c>
      <c r="H1678">
        <f>E1678*F1678*(1-G1678)</f>
        <v/>
      </c>
      <c r="I1678">
        <f>XLOOKUP(D1678,Products!$A$2:$A$15,Products!$B$2:$B$15,"Not found")</f>
        <v/>
      </c>
    </row>
    <row r="1679">
      <c r="A1679" t="n">
        <v>105998</v>
      </c>
      <c r="B1679" s="1" t="n">
        <v>45800</v>
      </c>
      <c r="C1679" t="inlineStr">
        <is>
          <t>S05</t>
        </is>
      </c>
      <c r="D1679" t="inlineStr">
        <is>
          <t>P301</t>
        </is>
      </c>
      <c r="E1679" t="n">
        <v>1</v>
      </c>
      <c r="F1679" t="n">
        <v>119</v>
      </c>
      <c r="G1679" t="n">
        <v>0</v>
      </c>
      <c r="H1679">
        <f>E1679*F1679*(1-G1679)</f>
        <v/>
      </c>
      <c r="I1679">
        <f>XLOOKUP(D1679,Products!$A$2:$A$15,Products!$B$2:$B$15,"Not found")</f>
        <v/>
      </c>
    </row>
    <row r="1680">
      <c r="A1680" t="n">
        <v>105999</v>
      </c>
      <c r="B1680" s="1" t="n">
        <v>45800</v>
      </c>
      <c r="C1680" t="inlineStr">
        <is>
          <t>S05</t>
        </is>
      </c>
      <c r="D1680" t="inlineStr">
        <is>
          <t>P203</t>
        </is>
      </c>
      <c r="E1680" t="n">
        <v>2</v>
      </c>
      <c r="F1680" t="n">
        <v>19.5</v>
      </c>
      <c r="G1680" t="n">
        <v>0</v>
      </c>
      <c r="H1680">
        <f>E1680*F1680*(1-G1680)</f>
        <v/>
      </c>
      <c r="I1680">
        <f>XLOOKUP(D1680,Products!$A$2:$A$15,Products!$B$2:$B$15,"Not found")</f>
        <v/>
      </c>
    </row>
    <row r="1681">
      <c r="A1681" t="n">
        <v>106000</v>
      </c>
      <c r="B1681" s="1" t="n">
        <v>45800</v>
      </c>
      <c r="C1681" t="inlineStr">
        <is>
          <t>S06</t>
        </is>
      </c>
      <c r="D1681" t="inlineStr">
        <is>
          <t>P203</t>
        </is>
      </c>
      <c r="E1681" t="n">
        <v>2</v>
      </c>
      <c r="F1681" t="n">
        <v>19.5</v>
      </c>
      <c r="G1681" t="n">
        <v>0.1</v>
      </c>
      <c r="H1681">
        <f>E1681*F1681*(1-G1681)</f>
        <v/>
      </c>
      <c r="I1681">
        <f>XLOOKUP(D1681,Products!$A$2:$A$15,Products!$B$2:$B$15,"Not found")</f>
        <v/>
      </c>
    </row>
    <row r="1682">
      <c r="A1682" t="n">
        <v>106001</v>
      </c>
      <c r="B1682" s="1" t="n">
        <v>45800</v>
      </c>
      <c r="C1682" t="inlineStr">
        <is>
          <t>S06</t>
        </is>
      </c>
      <c r="D1682" t="inlineStr">
        <is>
          <t>P303</t>
        </is>
      </c>
      <c r="E1682" t="n">
        <v>2</v>
      </c>
      <c r="F1682" t="n">
        <v>12</v>
      </c>
      <c r="G1682" t="n">
        <v>0.2</v>
      </c>
      <c r="H1682">
        <f>E1682*F1682*(1-G1682)</f>
        <v/>
      </c>
      <c r="I1682">
        <f>XLOOKUP(D1682,Products!$A$2:$A$15,Products!$B$2:$B$15,"Not found")</f>
        <v/>
      </c>
    </row>
    <row r="1683">
      <c r="A1683" t="n">
        <v>106002</v>
      </c>
      <c r="B1683" s="1" t="n">
        <v>45800</v>
      </c>
      <c r="C1683" t="inlineStr">
        <is>
          <t>S06</t>
        </is>
      </c>
      <c r="D1683" t="inlineStr">
        <is>
          <t>P301</t>
        </is>
      </c>
      <c r="E1683" t="n">
        <v>1</v>
      </c>
      <c r="F1683" t="n">
        <v>119</v>
      </c>
      <c r="G1683" t="n">
        <v>0</v>
      </c>
      <c r="H1683">
        <f>E1683*F1683*(1-G1683)</f>
        <v/>
      </c>
      <c r="I1683">
        <f>XLOOKUP(D1683,Products!$A$2:$A$15,Products!$B$2:$B$15,"Not found")</f>
        <v/>
      </c>
    </row>
    <row r="1684">
      <c r="A1684" t="n">
        <v>106003</v>
      </c>
      <c r="B1684" s="1" t="n">
        <v>45801</v>
      </c>
      <c r="C1684" t="inlineStr">
        <is>
          <t>S01</t>
        </is>
      </c>
      <c r="D1684" t="inlineStr">
        <is>
          <t>P403</t>
        </is>
      </c>
      <c r="E1684" t="n">
        <v>1</v>
      </c>
      <c r="F1684" t="n">
        <v>89</v>
      </c>
      <c r="G1684" t="n">
        <v>0.2</v>
      </c>
      <c r="H1684">
        <f>E1684*F1684*(1-G1684)</f>
        <v/>
      </c>
      <c r="I1684">
        <f>XLOOKUP(D1684,Products!$A$2:$A$15,Products!$B$2:$B$15,"Not found")</f>
        <v/>
      </c>
    </row>
    <row r="1685">
      <c r="A1685" t="n">
        <v>106004</v>
      </c>
      <c r="B1685" s="1" t="n">
        <v>45801</v>
      </c>
      <c r="C1685" t="inlineStr">
        <is>
          <t>S01</t>
        </is>
      </c>
      <c r="D1685" t="inlineStr">
        <is>
          <t>P303</t>
        </is>
      </c>
      <c r="E1685" t="n">
        <v>3</v>
      </c>
      <c r="F1685" t="n">
        <v>12</v>
      </c>
      <c r="G1685" t="n">
        <v>0.1</v>
      </c>
      <c r="H1685">
        <f>E1685*F1685*(1-G1685)</f>
        <v/>
      </c>
      <c r="I1685">
        <f>XLOOKUP(D1685,Products!$A$2:$A$15,Products!$B$2:$B$15,"Not found")</f>
        <v/>
      </c>
    </row>
    <row r="1686">
      <c r="A1686" t="n">
        <v>106005</v>
      </c>
      <c r="B1686" s="1" t="n">
        <v>45801</v>
      </c>
      <c r="C1686" t="inlineStr">
        <is>
          <t>S01</t>
        </is>
      </c>
      <c r="D1686" t="inlineStr">
        <is>
          <t>P301</t>
        </is>
      </c>
      <c r="E1686" t="n">
        <v>1</v>
      </c>
      <c r="F1686" t="n">
        <v>119</v>
      </c>
      <c r="G1686" t="n">
        <v>0</v>
      </c>
      <c r="H1686">
        <f>E1686*F1686*(1-G1686)</f>
        <v/>
      </c>
      <c r="I1686">
        <f>XLOOKUP(D1686,Products!$A$2:$A$15,Products!$B$2:$B$15,"Not found")</f>
        <v/>
      </c>
    </row>
    <row r="1687">
      <c r="A1687" t="n">
        <v>106006</v>
      </c>
      <c r="B1687" s="1" t="n">
        <v>45801</v>
      </c>
      <c r="C1687" t="inlineStr">
        <is>
          <t>S02</t>
        </is>
      </c>
      <c r="D1687" t="inlineStr">
        <is>
          <t>P303</t>
        </is>
      </c>
      <c r="E1687" t="n">
        <v>3</v>
      </c>
      <c r="F1687" t="n">
        <v>12</v>
      </c>
      <c r="G1687" t="n">
        <v>0.15</v>
      </c>
      <c r="H1687">
        <f>E1687*F1687*(1-G1687)</f>
        <v/>
      </c>
      <c r="I1687">
        <f>XLOOKUP(D1687,Products!$A$2:$A$15,Products!$B$2:$B$15,"Not found")</f>
        <v/>
      </c>
    </row>
    <row r="1688">
      <c r="A1688" t="n">
        <v>106007</v>
      </c>
      <c r="B1688" s="1" t="n">
        <v>45801</v>
      </c>
      <c r="C1688" t="inlineStr">
        <is>
          <t>S02</t>
        </is>
      </c>
      <c r="D1688" t="inlineStr">
        <is>
          <t>P104</t>
        </is>
      </c>
      <c r="E1688" t="n">
        <v>1</v>
      </c>
      <c r="F1688" t="n">
        <v>189</v>
      </c>
      <c r="G1688" t="n">
        <v>0</v>
      </c>
      <c r="H1688">
        <f>E1688*F1688*(1-G1688)</f>
        <v/>
      </c>
      <c r="I1688">
        <f>XLOOKUP(D1688,Products!$A$2:$A$15,Products!$B$2:$B$15,"Not found")</f>
        <v/>
      </c>
    </row>
    <row r="1689">
      <c r="A1689" t="n">
        <v>106008</v>
      </c>
      <c r="B1689" s="1" t="n">
        <v>45801</v>
      </c>
      <c r="C1689" t="inlineStr">
        <is>
          <t>S02</t>
        </is>
      </c>
      <c r="D1689" t="inlineStr">
        <is>
          <t>P102</t>
        </is>
      </c>
      <c r="E1689" t="n">
        <v>1</v>
      </c>
      <c r="F1689" t="n">
        <v>14.5</v>
      </c>
      <c r="G1689" t="n">
        <v>0.1</v>
      </c>
      <c r="H1689">
        <f>E1689*F1689*(1-G1689)</f>
        <v/>
      </c>
      <c r="I1689">
        <f>XLOOKUP(D1689,Products!$A$2:$A$15,Products!$B$2:$B$15,"Not found")</f>
        <v/>
      </c>
    </row>
    <row r="1690">
      <c r="A1690" t="n">
        <v>106009</v>
      </c>
      <c r="B1690" s="1" t="n">
        <v>45801</v>
      </c>
      <c r="C1690" t="inlineStr">
        <is>
          <t>S05</t>
        </is>
      </c>
      <c r="D1690" t="inlineStr">
        <is>
          <t>P303</t>
        </is>
      </c>
      <c r="E1690" t="n">
        <v>3</v>
      </c>
      <c r="F1690" t="n">
        <v>12</v>
      </c>
      <c r="G1690" t="n">
        <v>0</v>
      </c>
      <c r="H1690">
        <f>E1690*F1690*(1-G1690)</f>
        <v/>
      </c>
      <c r="I1690">
        <f>XLOOKUP(D1690,Products!$A$2:$A$15,Products!$B$2:$B$15,"Not found")</f>
        <v/>
      </c>
    </row>
    <row r="1691">
      <c r="A1691" t="n">
        <v>106010</v>
      </c>
      <c r="B1691" s="1" t="n">
        <v>45801</v>
      </c>
      <c r="C1691" t="inlineStr">
        <is>
          <t>S05</t>
        </is>
      </c>
      <c r="D1691" t="inlineStr">
        <is>
          <t>P102</t>
        </is>
      </c>
      <c r="E1691" t="n">
        <v>3</v>
      </c>
      <c r="F1691" t="n">
        <v>14.5</v>
      </c>
      <c r="G1691" t="n">
        <v>0.1</v>
      </c>
      <c r="H1691">
        <f>E1691*F1691*(1-G1691)</f>
        <v/>
      </c>
      <c r="I1691">
        <f>XLOOKUP(D1691,Products!$A$2:$A$15,Products!$B$2:$B$15,"Not found")</f>
        <v/>
      </c>
    </row>
    <row r="1692">
      <c r="A1692" t="n">
        <v>106011</v>
      </c>
      <c r="B1692" s="1" t="n">
        <v>45801</v>
      </c>
      <c r="C1692" t="inlineStr">
        <is>
          <t>S05</t>
        </is>
      </c>
      <c r="D1692" t="inlineStr">
        <is>
          <t>P103</t>
        </is>
      </c>
      <c r="E1692" t="n">
        <v>1</v>
      </c>
      <c r="F1692" t="n">
        <v>29</v>
      </c>
      <c r="G1692" t="n">
        <v>0.1</v>
      </c>
      <c r="H1692">
        <f>E1692*F1692*(1-G1692)</f>
        <v/>
      </c>
      <c r="I1692">
        <f>XLOOKUP(D1692,Products!$A$2:$A$15,Products!$B$2:$B$15,"Not found")</f>
        <v/>
      </c>
    </row>
    <row r="1693">
      <c r="A1693" t="n">
        <v>106012</v>
      </c>
      <c r="B1693" s="1" t="n">
        <v>45801</v>
      </c>
      <c r="C1693" t="inlineStr">
        <is>
          <t>S05</t>
        </is>
      </c>
      <c r="D1693" t="inlineStr">
        <is>
          <t>P102</t>
        </is>
      </c>
      <c r="E1693" t="n">
        <v>2</v>
      </c>
      <c r="F1693" t="n">
        <v>14.5</v>
      </c>
      <c r="G1693" t="n">
        <v>0</v>
      </c>
      <c r="H1693">
        <f>E1693*F1693*(1-G1693)</f>
        <v/>
      </c>
      <c r="I1693">
        <f>XLOOKUP(D1693,Products!$A$2:$A$15,Products!$B$2:$B$15,"Not found")</f>
        <v/>
      </c>
    </row>
    <row r="1694">
      <c r="A1694" t="n">
        <v>106013</v>
      </c>
      <c r="B1694" s="1" t="n">
        <v>45801</v>
      </c>
      <c r="C1694" t="inlineStr">
        <is>
          <t>S06</t>
        </is>
      </c>
      <c r="D1694" t="inlineStr">
        <is>
          <t>P302</t>
        </is>
      </c>
      <c r="E1694" t="n">
        <v>1</v>
      </c>
      <c r="F1694" t="n">
        <v>24</v>
      </c>
      <c r="G1694" t="n">
        <v>0.2</v>
      </c>
      <c r="H1694">
        <f>E1694*F1694*(1-G1694)</f>
        <v/>
      </c>
      <c r="I1694">
        <f>XLOOKUP(D1694,Products!$A$2:$A$15,Products!$B$2:$B$15,"Not found")</f>
        <v/>
      </c>
    </row>
    <row r="1695">
      <c r="A1695" t="n">
        <v>106014</v>
      </c>
      <c r="B1695" s="1" t="n">
        <v>45801</v>
      </c>
      <c r="C1695" t="inlineStr">
        <is>
          <t>S06</t>
        </is>
      </c>
      <c r="D1695" t="inlineStr">
        <is>
          <t>P203</t>
        </is>
      </c>
      <c r="E1695" t="n">
        <v>1</v>
      </c>
      <c r="F1695" t="n">
        <v>19.5</v>
      </c>
      <c r="G1695" t="n">
        <v>0.2</v>
      </c>
      <c r="H1695">
        <f>E1695*F1695*(1-G1695)</f>
        <v/>
      </c>
      <c r="I1695">
        <f>XLOOKUP(D1695,Products!$A$2:$A$15,Products!$B$2:$B$15,"Not found")</f>
        <v/>
      </c>
    </row>
    <row r="1696">
      <c r="A1696" t="n">
        <v>106015</v>
      </c>
      <c r="B1696" s="1" t="n">
        <v>45801</v>
      </c>
      <c r="C1696" t="inlineStr">
        <is>
          <t>S06</t>
        </is>
      </c>
      <c r="D1696" t="inlineStr">
        <is>
          <t>P303</t>
        </is>
      </c>
      <c r="E1696" t="n">
        <v>3</v>
      </c>
      <c r="F1696" t="n">
        <v>12</v>
      </c>
      <c r="G1696" t="n">
        <v>0</v>
      </c>
      <c r="H1696">
        <f>E1696*F1696*(1-G1696)</f>
        <v/>
      </c>
      <c r="I1696">
        <f>XLOOKUP(D1696,Products!$A$2:$A$15,Products!$B$2:$B$15,"Not found")</f>
        <v/>
      </c>
    </row>
    <row r="1697">
      <c r="A1697" t="n">
        <v>106016</v>
      </c>
      <c r="B1697" s="1" t="n">
        <v>45802</v>
      </c>
      <c r="C1697" t="inlineStr">
        <is>
          <t>S02</t>
        </is>
      </c>
      <c r="D1697" t="inlineStr">
        <is>
          <t>P102</t>
        </is>
      </c>
      <c r="E1697" t="n">
        <v>2</v>
      </c>
      <c r="F1697" t="n">
        <v>14.5</v>
      </c>
      <c r="G1697" t="n">
        <v>0.15</v>
      </c>
      <c r="H1697">
        <f>E1697*F1697*(1-G1697)</f>
        <v/>
      </c>
      <c r="I1697">
        <f>XLOOKUP(D1697,Products!$A$2:$A$15,Products!$B$2:$B$15,"Not found")</f>
        <v/>
      </c>
    </row>
    <row r="1698">
      <c r="A1698" t="n">
        <v>106017</v>
      </c>
      <c r="B1698" s="1" t="n">
        <v>45802</v>
      </c>
      <c r="C1698" t="inlineStr">
        <is>
          <t>S02</t>
        </is>
      </c>
      <c r="D1698" t="inlineStr">
        <is>
          <t>P302</t>
        </is>
      </c>
      <c r="E1698" t="n">
        <v>1</v>
      </c>
      <c r="F1698" t="n">
        <v>24</v>
      </c>
      <c r="G1698" t="n">
        <v>0.2</v>
      </c>
      <c r="H1698">
        <f>E1698*F1698*(1-G1698)</f>
        <v/>
      </c>
      <c r="I1698">
        <f>XLOOKUP(D1698,Products!$A$2:$A$15,Products!$B$2:$B$15,"Not found")</f>
        <v/>
      </c>
    </row>
    <row r="1699">
      <c r="A1699" t="n">
        <v>106018</v>
      </c>
      <c r="B1699" s="1" t="n">
        <v>45802</v>
      </c>
      <c r="C1699" t="inlineStr">
        <is>
          <t>S02</t>
        </is>
      </c>
      <c r="D1699" t="inlineStr">
        <is>
          <t>P104</t>
        </is>
      </c>
      <c r="E1699" t="n">
        <v>1</v>
      </c>
      <c r="F1699" t="n">
        <v>189</v>
      </c>
      <c r="G1699" t="n">
        <v>0</v>
      </c>
      <c r="H1699">
        <f>E1699*F1699*(1-G1699)</f>
        <v/>
      </c>
      <c r="I1699">
        <f>XLOOKUP(D1699,Products!$A$2:$A$15,Products!$B$2:$B$15,"Not found")</f>
        <v/>
      </c>
    </row>
    <row r="1700">
      <c r="A1700" t="n">
        <v>106019</v>
      </c>
      <c r="B1700" s="1" t="n">
        <v>45802</v>
      </c>
      <c r="C1700" t="inlineStr">
        <is>
          <t>S03</t>
        </is>
      </c>
      <c r="D1700" t="inlineStr">
        <is>
          <t>P103</t>
        </is>
      </c>
      <c r="E1700" t="n">
        <v>1</v>
      </c>
      <c r="F1700" t="n">
        <v>29</v>
      </c>
      <c r="G1700" t="n">
        <v>0</v>
      </c>
      <c r="H1700">
        <f>E1700*F1700*(1-G1700)</f>
        <v/>
      </c>
      <c r="I1700">
        <f>XLOOKUP(D1700,Products!$A$2:$A$15,Products!$B$2:$B$15,"Not found")</f>
        <v/>
      </c>
    </row>
    <row r="1701">
      <c r="A1701" t="n">
        <v>106020</v>
      </c>
      <c r="B1701" s="1" t="n">
        <v>45802</v>
      </c>
      <c r="C1701" t="inlineStr">
        <is>
          <t>S04</t>
        </is>
      </c>
      <c r="D1701" t="inlineStr">
        <is>
          <t>P102</t>
        </is>
      </c>
      <c r="E1701" t="n">
        <v>2</v>
      </c>
      <c r="F1701" t="n">
        <v>14.5</v>
      </c>
      <c r="G1701" t="n">
        <v>0</v>
      </c>
      <c r="H1701">
        <f>E1701*F1701*(1-G1701)</f>
        <v/>
      </c>
      <c r="I1701">
        <f>XLOOKUP(D1701,Products!$A$2:$A$15,Products!$B$2:$B$15,"Not found")</f>
        <v/>
      </c>
    </row>
    <row r="1702">
      <c r="A1702" t="n">
        <v>106021</v>
      </c>
      <c r="B1702" s="1" t="n">
        <v>45802</v>
      </c>
      <c r="C1702" t="inlineStr">
        <is>
          <t>S04</t>
        </is>
      </c>
      <c r="D1702" t="inlineStr">
        <is>
          <t>P202</t>
        </is>
      </c>
      <c r="E1702" t="n">
        <v>1</v>
      </c>
      <c r="F1702" t="n">
        <v>79</v>
      </c>
      <c r="G1702" t="n">
        <v>0</v>
      </c>
      <c r="H1702">
        <f>E1702*F1702*(1-G1702)</f>
        <v/>
      </c>
      <c r="I1702">
        <f>XLOOKUP(D1702,Products!$A$2:$A$15,Products!$B$2:$B$15,"Not found")</f>
        <v/>
      </c>
    </row>
    <row r="1703">
      <c r="A1703" t="n">
        <v>106022</v>
      </c>
      <c r="B1703" s="1" t="n">
        <v>45802</v>
      </c>
      <c r="C1703" t="inlineStr">
        <is>
          <t>S04</t>
        </is>
      </c>
      <c r="D1703" t="inlineStr">
        <is>
          <t>P101</t>
        </is>
      </c>
      <c r="E1703" t="n">
        <v>1</v>
      </c>
      <c r="F1703" t="n">
        <v>39</v>
      </c>
      <c r="G1703" t="n">
        <v>0.15</v>
      </c>
      <c r="H1703">
        <f>E1703*F1703*(1-G1703)</f>
        <v/>
      </c>
      <c r="I1703">
        <f>XLOOKUP(D1703,Products!$A$2:$A$15,Products!$B$2:$B$15,"Not found")</f>
        <v/>
      </c>
    </row>
    <row r="1704">
      <c r="A1704" t="n">
        <v>106023</v>
      </c>
      <c r="B1704" s="1" t="n">
        <v>45802</v>
      </c>
      <c r="C1704" t="inlineStr">
        <is>
          <t>S05</t>
        </is>
      </c>
      <c r="D1704" t="inlineStr">
        <is>
          <t>P203</t>
        </is>
      </c>
      <c r="E1704" t="n">
        <v>4</v>
      </c>
      <c r="F1704" t="n">
        <v>19.5</v>
      </c>
      <c r="G1704" t="n">
        <v>0.2</v>
      </c>
      <c r="H1704">
        <f>E1704*F1704*(1-G1704)</f>
        <v/>
      </c>
      <c r="I1704">
        <f>XLOOKUP(D1704,Products!$A$2:$A$15,Products!$B$2:$B$15,"Not found")</f>
        <v/>
      </c>
    </row>
    <row r="1705">
      <c r="A1705" t="n">
        <v>106024</v>
      </c>
      <c r="B1705" s="1" t="n">
        <v>45802</v>
      </c>
      <c r="C1705" t="inlineStr">
        <is>
          <t>S06</t>
        </is>
      </c>
      <c r="D1705" t="inlineStr">
        <is>
          <t>P302</t>
        </is>
      </c>
      <c r="E1705" t="n">
        <v>2</v>
      </c>
      <c r="F1705" t="n">
        <v>24</v>
      </c>
      <c r="G1705" t="n">
        <v>0</v>
      </c>
      <c r="H1705">
        <f>E1705*F1705*(1-G1705)</f>
        <v/>
      </c>
      <c r="I1705">
        <f>XLOOKUP(D1705,Products!$A$2:$A$15,Products!$B$2:$B$15,"Not found")</f>
        <v/>
      </c>
    </row>
    <row r="1706">
      <c r="A1706" t="n">
        <v>106025</v>
      </c>
      <c r="B1706" s="1" t="n">
        <v>45802</v>
      </c>
      <c r="C1706" t="inlineStr">
        <is>
          <t>S06</t>
        </is>
      </c>
      <c r="D1706" t="inlineStr">
        <is>
          <t>P203</t>
        </is>
      </c>
      <c r="E1706" t="n">
        <v>2</v>
      </c>
      <c r="F1706" t="n">
        <v>19.5</v>
      </c>
      <c r="G1706" t="n">
        <v>0.1</v>
      </c>
      <c r="H1706">
        <f>E1706*F1706*(1-G1706)</f>
        <v/>
      </c>
      <c r="I1706">
        <f>XLOOKUP(D1706,Products!$A$2:$A$15,Products!$B$2:$B$15,"Not found")</f>
        <v/>
      </c>
    </row>
    <row r="1707">
      <c r="A1707" t="n">
        <v>106026</v>
      </c>
      <c r="B1707" s="1" t="n">
        <v>45803</v>
      </c>
      <c r="C1707" t="inlineStr">
        <is>
          <t>S02</t>
        </is>
      </c>
      <c r="D1707" t="inlineStr">
        <is>
          <t>P303</t>
        </is>
      </c>
      <c r="E1707" t="n">
        <v>2</v>
      </c>
      <c r="F1707" t="n">
        <v>12</v>
      </c>
      <c r="G1707" t="n">
        <v>0.1</v>
      </c>
      <c r="H1707">
        <f>E1707*F1707*(1-G1707)</f>
        <v/>
      </c>
      <c r="I1707">
        <f>XLOOKUP(D1707,Products!$A$2:$A$15,Products!$B$2:$B$15,"Not found")</f>
        <v/>
      </c>
    </row>
    <row r="1708">
      <c r="A1708" t="n">
        <v>106027</v>
      </c>
      <c r="B1708" s="1" t="n">
        <v>45803</v>
      </c>
      <c r="C1708" t="inlineStr">
        <is>
          <t>S03</t>
        </is>
      </c>
      <c r="D1708" t="inlineStr">
        <is>
          <t>P101</t>
        </is>
      </c>
      <c r="E1708" t="n">
        <v>3</v>
      </c>
      <c r="F1708" t="n">
        <v>39</v>
      </c>
      <c r="G1708" t="n">
        <v>0</v>
      </c>
      <c r="H1708">
        <f>E1708*F1708*(1-G1708)</f>
        <v/>
      </c>
      <c r="I1708">
        <f>XLOOKUP(D1708,Products!$A$2:$A$15,Products!$B$2:$B$15,"Not found")</f>
        <v/>
      </c>
    </row>
    <row r="1709">
      <c r="A1709" t="n">
        <v>106028</v>
      </c>
      <c r="B1709" s="1" t="n">
        <v>45803</v>
      </c>
      <c r="C1709" t="inlineStr">
        <is>
          <t>S04</t>
        </is>
      </c>
      <c r="D1709" t="inlineStr">
        <is>
          <t>P103</t>
        </is>
      </c>
      <c r="E1709" t="n">
        <v>4</v>
      </c>
      <c r="F1709" t="n">
        <v>29</v>
      </c>
      <c r="G1709" t="n">
        <v>0.1</v>
      </c>
      <c r="H1709">
        <f>E1709*F1709*(1-G1709)</f>
        <v/>
      </c>
      <c r="I1709">
        <f>XLOOKUP(D1709,Products!$A$2:$A$15,Products!$B$2:$B$15,"Not found")</f>
        <v/>
      </c>
    </row>
    <row r="1710">
      <c r="A1710" t="n">
        <v>106029</v>
      </c>
      <c r="B1710" s="1" t="n">
        <v>45803</v>
      </c>
      <c r="C1710" t="inlineStr">
        <is>
          <t>S06</t>
        </is>
      </c>
      <c r="D1710" t="inlineStr">
        <is>
          <t>P102</t>
        </is>
      </c>
      <c r="E1710" t="n">
        <v>1</v>
      </c>
      <c r="F1710" t="n">
        <v>14.5</v>
      </c>
      <c r="G1710" t="n">
        <v>0</v>
      </c>
      <c r="H1710">
        <f>E1710*F1710*(1-G1710)</f>
        <v/>
      </c>
      <c r="I1710">
        <f>XLOOKUP(D1710,Products!$A$2:$A$15,Products!$B$2:$B$15,"Not found")</f>
        <v/>
      </c>
    </row>
    <row r="1711">
      <c r="A1711" t="n">
        <v>106030</v>
      </c>
      <c r="B1711" s="1" t="n">
        <v>45804</v>
      </c>
      <c r="C1711" t="inlineStr">
        <is>
          <t>S04</t>
        </is>
      </c>
      <c r="D1711" t="inlineStr">
        <is>
          <t>P201</t>
        </is>
      </c>
      <c r="E1711" t="n">
        <v>1</v>
      </c>
      <c r="F1711" t="n">
        <v>149</v>
      </c>
      <c r="G1711" t="n">
        <v>0.2</v>
      </c>
      <c r="H1711">
        <f>E1711*F1711*(1-G1711)</f>
        <v/>
      </c>
      <c r="I1711">
        <f>XLOOKUP(D1711,Products!$A$2:$A$15,Products!$B$2:$B$15,"Not found")</f>
        <v/>
      </c>
    </row>
    <row r="1712">
      <c r="A1712" t="n">
        <v>106031</v>
      </c>
      <c r="B1712" s="1" t="n">
        <v>45804</v>
      </c>
      <c r="C1712" t="inlineStr">
        <is>
          <t>S04</t>
        </is>
      </c>
      <c r="D1712" t="inlineStr">
        <is>
          <t>P102</t>
        </is>
      </c>
      <c r="E1712" t="n">
        <v>4</v>
      </c>
      <c r="F1712" t="n">
        <v>14.5</v>
      </c>
      <c r="G1712" t="n">
        <v>0</v>
      </c>
      <c r="H1712">
        <f>E1712*F1712*(1-G1712)</f>
        <v/>
      </c>
      <c r="I1712">
        <f>XLOOKUP(D1712,Products!$A$2:$A$15,Products!$B$2:$B$15,"Not found")</f>
        <v/>
      </c>
    </row>
    <row r="1713">
      <c r="A1713" t="n">
        <v>106032</v>
      </c>
      <c r="B1713" s="1" t="n">
        <v>45804</v>
      </c>
      <c r="C1713" t="inlineStr">
        <is>
          <t>S05</t>
        </is>
      </c>
      <c r="D1713" t="inlineStr">
        <is>
          <t>P201</t>
        </is>
      </c>
      <c r="E1713" t="n">
        <v>1</v>
      </c>
      <c r="F1713" t="n">
        <v>149</v>
      </c>
      <c r="G1713" t="n">
        <v>0</v>
      </c>
      <c r="H1713">
        <f>E1713*F1713*(1-G1713)</f>
        <v/>
      </c>
      <c r="I1713">
        <f>XLOOKUP(D1713,Products!$A$2:$A$15,Products!$B$2:$B$15,"Not found")</f>
        <v/>
      </c>
    </row>
    <row r="1714">
      <c r="A1714" t="n">
        <v>106033</v>
      </c>
      <c r="B1714" s="1" t="n">
        <v>45805</v>
      </c>
      <c r="C1714" t="inlineStr">
        <is>
          <t>S01</t>
        </is>
      </c>
      <c r="D1714" t="inlineStr">
        <is>
          <t>P101</t>
        </is>
      </c>
      <c r="E1714" t="n">
        <v>2</v>
      </c>
      <c r="F1714" t="n">
        <v>39</v>
      </c>
      <c r="G1714" t="n">
        <v>0</v>
      </c>
      <c r="H1714">
        <f>E1714*F1714*(1-G1714)</f>
        <v/>
      </c>
      <c r="I1714">
        <f>XLOOKUP(D1714,Products!$A$2:$A$15,Products!$B$2:$B$15,"Not found")</f>
        <v/>
      </c>
    </row>
    <row r="1715">
      <c r="A1715" t="n">
        <v>106034</v>
      </c>
      <c r="B1715" s="1" t="n">
        <v>45805</v>
      </c>
      <c r="C1715" t="inlineStr">
        <is>
          <t>S02</t>
        </is>
      </c>
      <c r="D1715" t="inlineStr">
        <is>
          <t>P203</t>
        </is>
      </c>
      <c r="E1715" t="n">
        <v>4</v>
      </c>
      <c r="F1715" t="n">
        <v>19.5</v>
      </c>
      <c r="G1715" t="n">
        <v>0</v>
      </c>
      <c r="H1715">
        <f>E1715*F1715*(1-G1715)</f>
        <v/>
      </c>
      <c r="I1715">
        <f>XLOOKUP(D1715,Products!$A$2:$A$15,Products!$B$2:$B$15,"Not found")</f>
        <v/>
      </c>
    </row>
    <row r="1716">
      <c r="A1716" t="n">
        <v>106035</v>
      </c>
      <c r="B1716" s="1" t="n">
        <v>45805</v>
      </c>
      <c r="C1716" t="inlineStr">
        <is>
          <t>S02</t>
        </is>
      </c>
      <c r="D1716" t="inlineStr">
        <is>
          <t>P403</t>
        </is>
      </c>
      <c r="E1716" t="n">
        <v>4</v>
      </c>
      <c r="F1716" t="n">
        <v>89</v>
      </c>
      <c r="G1716" t="n">
        <v>0.2</v>
      </c>
      <c r="H1716">
        <f>E1716*F1716*(1-G1716)</f>
        <v/>
      </c>
      <c r="I1716">
        <f>XLOOKUP(D1716,Products!$A$2:$A$15,Products!$B$2:$B$15,"Not found")</f>
        <v/>
      </c>
    </row>
    <row r="1717">
      <c r="A1717" t="n">
        <v>106036</v>
      </c>
      <c r="B1717" s="1" t="n">
        <v>45805</v>
      </c>
      <c r="C1717" t="inlineStr">
        <is>
          <t>S03</t>
        </is>
      </c>
      <c r="D1717" t="inlineStr">
        <is>
          <t>P104</t>
        </is>
      </c>
      <c r="E1717" t="n">
        <v>1</v>
      </c>
      <c r="F1717" t="n">
        <v>189</v>
      </c>
      <c r="G1717" t="n">
        <v>0.15</v>
      </c>
      <c r="H1717">
        <f>E1717*F1717*(1-G1717)</f>
        <v/>
      </c>
      <c r="I1717">
        <f>XLOOKUP(D1717,Products!$A$2:$A$15,Products!$B$2:$B$15,"Not found")</f>
        <v/>
      </c>
    </row>
    <row r="1718">
      <c r="A1718" t="n">
        <v>106037</v>
      </c>
      <c r="B1718" s="1" t="n">
        <v>45805</v>
      </c>
      <c r="C1718" t="inlineStr">
        <is>
          <t>S04</t>
        </is>
      </c>
      <c r="D1718" t="inlineStr">
        <is>
          <t>P101</t>
        </is>
      </c>
      <c r="E1718" t="n">
        <v>1</v>
      </c>
      <c r="F1718" t="n">
        <v>39</v>
      </c>
      <c r="G1718" t="n">
        <v>0.1</v>
      </c>
      <c r="H1718">
        <f>E1718*F1718*(1-G1718)</f>
        <v/>
      </c>
      <c r="I1718">
        <f>XLOOKUP(D1718,Products!$A$2:$A$15,Products!$B$2:$B$15,"Not found")</f>
        <v/>
      </c>
    </row>
    <row r="1719">
      <c r="A1719" t="n">
        <v>106038</v>
      </c>
      <c r="B1719" s="1" t="n">
        <v>45805</v>
      </c>
      <c r="C1719" t="inlineStr">
        <is>
          <t>S04</t>
        </is>
      </c>
      <c r="D1719" t="inlineStr">
        <is>
          <t>P201</t>
        </is>
      </c>
      <c r="E1719" t="n">
        <v>1</v>
      </c>
      <c r="F1719" t="n">
        <v>149</v>
      </c>
      <c r="G1719" t="n">
        <v>0</v>
      </c>
      <c r="H1719">
        <f>E1719*F1719*(1-G1719)</f>
        <v/>
      </c>
      <c r="I1719">
        <f>XLOOKUP(D1719,Products!$A$2:$A$15,Products!$B$2:$B$15,"Not found")</f>
        <v/>
      </c>
    </row>
    <row r="1720">
      <c r="A1720" t="n">
        <v>106039</v>
      </c>
      <c r="B1720" s="1" t="n">
        <v>45805</v>
      </c>
      <c r="C1720" t="inlineStr">
        <is>
          <t>S04</t>
        </is>
      </c>
      <c r="D1720" t="inlineStr">
        <is>
          <t>P103</t>
        </is>
      </c>
      <c r="E1720" t="n">
        <v>4</v>
      </c>
      <c r="F1720" t="n">
        <v>29</v>
      </c>
      <c r="G1720" t="n">
        <v>0</v>
      </c>
      <c r="H1720">
        <f>E1720*F1720*(1-G1720)</f>
        <v/>
      </c>
      <c r="I1720">
        <f>XLOOKUP(D1720,Products!$A$2:$A$15,Products!$B$2:$B$15,"Not found")</f>
        <v/>
      </c>
    </row>
    <row r="1721">
      <c r="A1721" t="n">
        <v>106040</v>
      </c>
      <c r="B1721" s="1" t="n">
        <v>45805</v>
      </c>
      <c r="C1721" t="inlineStr">
        <is>
          <t>S04</t>
        </is>
      </c>
      <c r="D1721" t="inlineStr">
        <is>
          <t>P302</t>
        </is>
      </c>
      <c r="E1721" t="n">
        <v>1</v>
      </c>
      <c r="F1721" t="n">
        <v>24</v>
      </c>
      <c r="G1721" t="n">
        <v>0.15</v>
      </c>
      <c r="H1721">
        <f>E1721*F1721*(1-G1721)</f>
        <v/>
      </c>
      <c r="I1721">
        <f>XLOOKUP(D1721,Products!$A$2:$A$15,Products!$B$2:$B$15,"Not found")</f>
        <v/>
      </c>
    </row>
    <row r="1722">
      <c r="A1722" t="n">
        <v>106041</v>
      </c>
      <c r="B1722" s="1" t="n">
        <v>45805</v>
      </c>
      <c r="C1722" t="inlineStr">
        <is>
          <t>S05</t>
        </is>
      </c>
      <c r="D1722" t="inlineStr">
        <is>
          <t>P103</t>
        </is>
      </c>
      <c r="E1722" t="n">
        <v>1</v>
      </c>
      <c r="F1722" t="n">
        <v>29</v>
      </c>
      <c r="G1722" t="n">
        <v>0</v>
      </c>
      <c r="H1722">
        <f>E1722*F1722*(1-G1722)</f>
        <v/>
      </c>
      <c r="I1722">
        <f>XLOOKUP(D1722,Products!$A$2:$A$15,Products!$B$2:$B$15,"Not found")</f>
        <v/>
      </c>
    </row>
    <row r="1723">
      <c r="A1723" t="n">
        <v>106042</v>
      </c>
      <c r="B1723" s="1" t="n">
        <v>45805</v>
      </c>
      <c r="C1723" t="inlineStr">
        <is>
          <t>S06</t>
        </is>
      </c>
      <c r="D1723" t="inlineStr">
        <is>
          <t>P302</t>
        </is>
      </c>
      <c r="E1723" t="n">
        <v>3</v>
      </c>
      <c r="F1723" t="n">
        <v>24</v>
      </c>
      <c r="G1723" t="n">
        <v>0.15</v>
      </c>
      <c r="H1723">
        <f>E1723*F1723*(1-G1723)</f>
        <v/>
      </c>
      <c r="I1723">
        <f>XLOOKUP(D1723,Products!$A$2:$A$15,Products!$B$2:$B$15,"Not found")</f>
        <v/>
      </c>
    </row>
    <row r="1724">
      <c r="A1724" t="n">
        <v>106043</v>
      </c>
      <c r="B1724" s="1" t="n">
        <v>45806</v>
      </c>
      <c r="C1724" t="inlineStr">
        <is>
          <t>S02</t>
        </is>
      </c>
      <c r="D1724" t="inlineStr">
        <is>
          <t>P101</t>
        </is>
      </c>
      <c r="E1724" t="n">
        <v>3</v>
      </c>
      <c r="F1724" t="n">
        <v>39</v>
      </c>
      <c r="G1724" t="n">
        <v>0</v>
      </c>
      <c r="H1724">
        <f>E1724*F1724*(1-G1724)</f>
        <v/>
      </c>
      <c r="I1724">
        <f>XLOOKUP(D1724,Products!$A$2:$A$15,Products!$B$2:$B$15,"Not found")</f>
        <v/>
      </c>
    </row>
    <row r="1725">
      <c r="A1725" t="n">
        <v>106044</v>
      </c>
      <c r="B1725" s="1" t="n">
        <v>45806</v>
      </c>
      <c r="C1725" t="inlineStr">
        <is>
          <t>S02</t>
        </is>
      </c>
      <c r="D1725" t="inlineStr">
        <is>
          <t>P103</t>
        </is>
      </c>
      <c r="E1725" t="n">
        <v>1</v>
      </c>
      <c r="F1725" t="n">
        <v>29</v>
      </c>
      <c r="G1725" t="n">
        <v>0.1</v>
      </c>
      <c r="H1725">
        <f>E1725*F1725*(1-G1725)</f>
        <v/>
      </c>
      <c r="I1725">
        <f>XLOOKUP(D1725,Products!$A$2:$A$15,Products!$B$2:$B$15,"Not found")</f>
        <v/>
      </c>
    </row>
    <row r="1726">
      <c r="A1726" t="n">
        <v>106045</v>
      </c>
      <c r="B1726" s="1" t="n">
        <v>45806</v>
      </c>
      <c r="C1726" t="inlineStr">
        <is>
          <t>S04</t>
        </is>
      </c>
      <c r="D1726" t="inlineStr">
        <is>
          <t>P303</t>
        </is>
      </c>
      <c r="E1726" t="n">
        <v>4</v>
      </c>
      <c r="F1726" t="n">
        <v>12</v>
      </c>
      <c r="G1726" t="n">
        <v>0.2</v>
      </c>
      <c r="H1726">
        <f>E1726*F1726*(1-G1726)</f>
        <v/>
      </c>
      <c r="I1726">
        <f>XLOOKUP(D1726,Products!$A$2:$A$15,Products!$B$2:$B$15,"Not found")</f>
        <v/>
      </c>
    </row>
    <row r="1727">
      <c r="A1727" t="n">
        <v>106046</v>
      </c>
      <c r="B1727" s="1" t="n">
        <v>45806</v>
      </c>
      <c r="C1727" t="inlineStr">
        <is>
          <t>S04</t>
        </is>
      </c>
      <c r="D1727" t="inlineStr">
        <is>
          <t>P201</t>
        </is>
      </c>
      <c r="E1727" t="n">
        <v>1</v>
      </c>
      <c r="F1727" t="n">
        <v>149</v>
      </c>
      <c r="G1727" t="n">
        <v>0.15</v>
      </c>
      <c r="H1727">
        <f>E1727*F1727*(1-G1727)</f>
        <v/>
      </c>
      <c r="I1727">
        <f>XLOOKUP(D1727,Products!$A$2:$A$15,Products!$B$2:$B$15,"Not found")</f>
        <v/>
      </c>
    </row>
    <row r="1728">
      <c r="A1728" t="n">
        <v>106047</v>
      </c>
      <c r="B1728" s="1" t="n">
        <v>45806</v>
      </c>
      <c r="C1728" t="inlineStr">
        <is>
          <t>S06</t>
        </is>
      </c>
      <c r="D1728" t="inlineStr">
        <is>
          <t>P102</t>
        </is>
      </c>
      <c r="E1728" t="n">
        <v>2</v>
      </c>
      <c r="F1728" t="n">
        <v>14.5</v>
      </c>
      <c r="G1728" t="n">
        <v>0.15</v>
      </c>
      <c r="H1728">
        <f>E1728*F1728*(1-G1728)</f>
        <v/>
      </c>
      <c r="I1728">
        <f>XLOOKUP(D1728,Products!$A$2:$A$15,Products!$B$2:$B$15,"Not found")</f>
        <v/>
      </c>
    </row>
    <row r="1729">
      <c r="A1729" t="n">
        <v>106048</v>
      </c>
      <c r="B1729" s="1" t="n">
        <v>45807</v>
      </c>
      <c r="C1729" t="inlineStr">
        <is>
          <t>S02</t>
        </is>
      </c>
      <c r="D1729" t="inlineStr">
        <is>
          <t>P302</t>
        </is>
      </c>
      <c r="E1729" t="n">
        <v>3</v>
      </c>
      <c r="F1729" t="n">
        <v>24</v>
      </c>
      <c r="G1729" t="n">
        <v>0</v>
      </c>
      <c r="H1729">
        <f>E1729*F1729*(1-G1729)</f>
        <v/>
      </c>
      <c r="I1729">
        <f>XLOOKUP(D1729,Products!$A$2:$A$15,Products!$B$2:$B$15,"Not found")</f>
        <v/>
      </c>
    </row>
    <row r="1730">
      <c r="A1730" t="n">
        <v>106049</v>
      </c>
      <c r="B1730" s="1" t="n">
        <v>45807</v>
      </c>
      <c r="C1730" t="inlineStr">
        <is>
          <t>S06</t>
        </is>
      </c>
      <c r="D1730" t="inlineStr">
        <is>
          <t>P302</t>
        </is>
      </c>
      <c r="E1730" t="n">
        <v>2</v>
      </c>
      <c r="F1730" t="n">
        <v>24</v>
      </c>
      <c r="G1730" t="n">
        <v>0</v>
      </c>
      <c r="H1730">
        <f>E1730*F1730*(1-G1730)</f>
        <v/>
      </c>
      <c r="I1730">
        <f>XLOOKUP(D1730,Products!$A$2:$A$15,Products!$B$2:$B$15,"Not found")</f>
        <v/>
      </c>
    </row>
    <row r="1731">
      <c r="A1731" t="n">
        <v>106050</v>
      </c>
      <c r="B1731" s="1" t="n">
        <v>45808</v>
      </c>
      <c r="C1731" t="inlineStr">
        <is>
          <t>S01</t>
        </is>
      </c>
      <c r="D1731" t="inlineStr">
        <is>
          <t>P303</t>
        </is>
      </c>
      <c r="E1731" t="n">
        <v>1</v>
      </c>
      <c r="F1731" t="n">
        <v>12</v>
      </c>
      <c r="G1731" t="n">
        <v>0</v>
      </c>
      <c r="H1731">
        <f>E1731*F1731*(1-G1731)</f>
        <v/>
      </c>
      <c r="I1731">
        <f>XLOOKUP(D1731,Products!$A$2:$A$15,Products!$B$2:$B$15,"Not found")</f>
        <v/>
      </c>
    </row>
    <row r="1732">
      <c r="A1732" t="n">
        <v>106051</v>
      </c>
      <c r="B1732" s="1" t="n">
        <v>45808</v>
      </c>
      <c r="C1732" t="inlineStr">
        <is>
          <t>S02</t>
        </is>
      </c>
      <c r="D1732" t="inlineStr">
        <is>
          <t>P303</t>
        </is>
      </c>
      <c r="E1732" t="n">
        <v>1</v>
      </c>
      <c r="F1732" t="n">
        <v>12</v>
      </c>
      <c r="G1732" t="n">
        <v>0.15</v>
      </c>
      <c r="H1732">
        <f>E1732*F1732*(1-G1732)</f>
        <v/>
      </c>
      <c r="I1732">
        <f>XLOOKUP(D1732,Products!$A$2:$A$15,Products!$B$2:$B$15,"Not found")</f>
        <v/>
      </c>
    </row>
    <row r="1733">
      <c r="A1733" t="n">
        <v>106052</v>
      </c>
      <c r="B1733" s="1" t="n">
        <v>45808</v>
      </c>
      <c r="C1733" t="inlineStr">
        <is>
          <t>S04</t>
        </is>
      </c>
      <c r="D1733" t="inlineStr">
        <is>
          <t>P203</t>
        </is>
      </c>
      <c r="E1733" t="n">
        <v>4</v>
      </c>
      <c r="F1733" t="n">
        <v>19.5</v>
      </c>
      <c r="G1733" t="n">
        <v>0</v>
      </c>
      <c r="H1733">
        <f>E1733*F1733*(1-G1733)</f>
        <v/>
      </c>
      <c r="I1733">
        <f>XLOOKUP(D1733,Products!$A$2:$A$15,Products!$B$2:$B$15,"Not found")</f>
        <v/>
      </c>
    </row>
    <row r="1734">
      <c r="A1734" t="n">
        <v>106053</v>
      </c>
      <c r="B1734" s="1" t="n">
        <v>45808</v>
      </c>
      <c r="C1734" t="inlineStr">
        <is>
          <t>S04</t>
        </is>
      </c>
      <c r="D1734" t="inlineStr">
        <is>
          <t>P102</t>
        </is>
      </c>
      <c r="E1734" t="n">
        <v>2</v>
      </c>
      <c r="F1734" t="n">
        <v>14.5</v>
      </c>
      <c r="G1734" t="n">
        <v>0.15</v>
      </c>
      <c r="H1734">
        <f>E1734*F1734*(1-G1734)</f>
        <v/>
      </c>
      <c r="I1734">
        <f>XLOOKUP(D1734,Products!$A$2:$A$15,Products!$B$2:$B$15,"Not found")</f>
        <v/>
      </c>
    </row>
    <row r="1735">
      <c r="A1735" t="n">
        <v>106054</v>
      </c>
      <c r="B1735" s="1" t="n">
        <v>45809</v>
      </c>
      <c r="C1735" t="inlineStr">
        <is>
          <t>S02</t>
        </is>
      </c>
      <c r="D1735" t="inlineStr">
        <is>
          <t>P102</t>
        </is>
      </c>
      <c r="E1735" t="n">
        <v>1</v>
      </c>
      <c r="F1735" t="n">
        <v>14.5</v>
      </c>
      <c r="G1735" t="n">
        <v>0</v>
      </c>
      <c r="H1735">
        <f>E1735*F1735*(1-G1735)</f>
        <v/>
      </c>
      <c r="I1735">
        <f>XLOOKUP(D1735,Products!$A$2:$A$15,Products!$B$2:$B$15,"Not found")</f>
        <v/>
      </c>
    </row>
    <row r="1736">
      <c r="A1736" t="n">
        <v>106055</v>
      </c>
      <c r="B1736" s="1" t="n">
        <v>45809</v>
      </c>
      <c r="C1736" t="inlineStr">
        <is>
          <t>S02</t>
        </is>
      </c>
      <c r="D1736" t="inlineStr">
        <is>
          <t>P301</t>
        </is>
      </c>
      <c r="E1736" t="n">
        <v>1</v>
      </c>
      <c r="F1736" t="n">
        <v>119</v>
      </c>
      <c r="G1736" t="n">
        <v>0</v>
      </c>
      <c r="H1736">
        <f>E1736*F1736*(1-G1736)</f>
        <v/>
      </c>
      <c r="I1736">
        <f>XLOOKUP(D1736,Products!$A$2:$A$15,Products!$B$2:$B$15,"Not found")</f>
        <v/>
      </c>
    </row>
    <row r="1737">
      <c r="A1737" t="n">
        <v>106056</v>
      </c>
      <c r="B1737" s="1" t="n">
        <v>45809</v>
      </c>
      <c r="C1737" t="inlineStr">
        <is>
          <t>S02</t>
        </is>
      </c>
      <c r="D1737" t="inlineStr">
        <is>
          <t>P201</t>
        </is>
      </c>
      <c r="E1737" t="n">
        <v>1</v>
      </c>
      <c r="F1737" t="n">
        <v>149</v>
      </c>
      <c r="G1737" t="n">
        <v>0</v>
      </c>
      <c r="H1737">
        <f>E1737*F1737*(1-G1737)</f>
        <v/>
      </c>
      <c r="I1737">
        <f>XLOOKUP(D1737,Products!$A$2:$A$15,Products!$B$2:$B$15,"Not found")</f>
        <v/>
      </c>
    </row>
    <row r="1738">
      <c r="A1738" t="n">
        <v>106057</v>
      </c>
      <c r="B1738" s="1" t="n">
        <v>45809</v>
      </c>
      <c r="C1738" t="inlineStr">
        <is>
          <t>S02</t>
        </is>
      </c>
      <c r="D1738" t="inlineStr">
        <is>
          <t>P203</t>
        </is>
      </c>
      <c r="E1738" t="n">
        <v>2</v>
      </c>
      <c r="F1738" t="n">
        <v>19.5</v>
      </c>
      <c r="G1738" t="n">
        <v>0.2</v>
      </c>
      <c r="H1738">
        <f>E1738*F1738*(1-G1738)</f>
        <v/>
      </c>
      <c r="I1738">
        <f>XLOOKUP(D1738,Products!$A$2:$A$15,Products!$B$2:$B$15,"Not found")</f>
        <v/>
      </c>
    </row>
    <row r="1739">
      <c r="A1739" t="n">
        <v>106058</v>
      </c>
      <c r="B1739" s="1" t="n">
        <v>45809</v>
      </c>
      <c r="C1739" t="inlineStr">
        <is>
          <t>S05</t>
        </is>
      </c>
      <c r="D1739" t="inlineStr">
        <is>
          <t>P301</t>
        </is>
      </c>
      <c r="E1739" t="n">
        <v>1</v>
      </c>
      <c r="F1739" t="n">
        <v>119</v>
      </c>
      <c r="G1739" t="n">
        <v>0.2</v>
      </c>
      <c r="H1739">
        <f>E1739*F1739*(1-G1739)</f>
        <v/>
      </c>
      <c r="I1739">
        <f>XLOOKUP(D1739,Products!$A$2:$A$15,Products!$B$2:$B$15,"Not found")</f>
        <v/>
      </c>
    </row>
    <row r="1740">
      <c r="A1740" t="n">
        <v>106059</v>
      </c>
      <c r="B1740" s="1" t="n">
        <v>45809</v>
      </c>
      <c r="C1740" t="inlineStr">
        <is>
          <t>S06</t>
        </is>
      </c>
      <c r="D1740" t="inlineStr">
        <is>
          <t>P101</t>
        </is>
      </c>
      <c r="E1740" t="n">
        <v>1</v>
      </c>
      <c r="F1740" t="n">
        <v>39</v>
      </c>
      <c r="G1740" t="n">
        <v>0.2</v>
      </c>
      <c r="H1740">
        <f>E1740*F1740*(1-G1740)</f>
        <v/>
      </c>
      <c r="I1740">
        <f>XLOOKUP(D1740,Products!$A$2:$A$15,Products!$B$2:$B$15,"Not found")</f>
        <v/>
      </c>
    </row>
    <row r="1741">
      <c r="A1741" t="n">
        <v>106060</v>
      </c>
      <c r="B1741" s="1" t="n">
        <v>45809</v>
      </c>
      <c r="C1741" t="inlineStr">
        <is>
          <t>S06</t>
        </is>
      </c>
      <c r="D1741" t="inlineStr">
        <is>
          <t>P403</t>
        </is>
      </c>
      <c r="E1741" t="n">
        <v>2</v>
      </c>
      <c r="F1741" t="n">
        <v>89</v>
      </c>
      <c r="G1741" t="n">
        <v>0.2</v>
      </c>
      <c r="H1741">
        <f>E1741*F1741*(1-G1741)</f>
        <v/>
      </c>
      <c r="I1741">
        <f>XLOOKUP(D1741,Products!$A$2:$A$15,Products!$B$2:$B$15,"Not found")</f>
        <v/>
      </c>
    </row>
    <row r="1742">
      <c r="A1742" t="n">
        <v>106061</v>
      </c>
      <c r="B1742" s="1" t="n">
        <v>45810</v>
      </c>
      <c r="C1742" t="inlineStr">
        <is>
          <t>S01</t>
        </is>
      </c>
      <c r="D1742" t="inlineStr">
        <is>
          <t>P201</t>
        </is>
      </c>
      <c r="E1742" t="n">
        <v>1</v>
      </c>
      <c r="F1742" t="n">
        <v>149</v>
      </c>
      <c r="G1742" t="n">
        <v>0.1</v>
      </c>
      <c r="H1742">
        <f>E1742*F1742*(1-G1742)</f>
        <v/>
      </c>
      <c r="I1742">
        <f>XLOOKUP(D1742,Products!$A$2:$A$15,Products!$B$2:$B$15,"Not found")</f>
        <v/>
      </c>
    </row>
    <row r="1743">
      <c r="A1743" t="n">
        <v>106062</v>
      </c>
      <c r="B1743" s="1" t="n">
        <v>45810</v>
      </c>
      <c r="C1743" t="inlineStr">
        <is>
          <t>S01</t>
        </is>
      </c>
      <c r="D1743" t="inlineStr">
        <is>
          <t>P403</t>
        </is>
      </c>
      <c r="E1743" t="n">
        <v>2</v>
      </c>
      <c r="F1743" t="n">
        <v>89</v>
      </c>
      <c r="G1743" t="n">
        <v>0.2</v>
      </c>
      <c r="H1743">
        <f>E1743*F1743*(1-G1743)</f>
        <v/>
      </c>
      <c r="I1743">
        <f>XLOOKUP(D1743,Products!$A$2:$A$15,Products!$B$2:$B$15,"Not found")</f>
        <v/>
      </c>
    </row>
    <row r="1744">
      <c r="A1744" t="n">
        <v>106063</v>
      </c>
      <c r="B1744" s="1" t="n">
        <v>45810</v>
      </c>
      <c r="C1744" t="inlineStr">
        <is>
          <t>S03</t>
        </is>
      </c>
      <c r="D1744" t="inlineStr">
        <is>
          <t>P203</t>
        </is>
      </c>
      <c r="E1744" t="n">
        <v>1</v>
      </c>
      <c r="F1744" t="n">
        <v>19.5</v>
      </c>
      <c r="G1744" t="n">
        <v>0</v>
      </c>
      <c r="H1744">
        <f>E1744*F1744*(1-G1744)</f>
        <v/>
      </c>
      <c r="I1744">
        <f>XLOOKUP(D1744,Products!$A$2:$A$15,Products!$B$2:$B$15,"Not found")</f>
        <v/>
      </c>
    </row>
    <row r="1745">
      <c r="A1745" t="n">
        <v>106064</v>
      </c>
      <c r="B1745" s="1" t="n">
        <v>45810</v>
      </c>
      <c r="C1745" t="inlineStr">
        <is>
          <t>S03</t>
        </is>
      </c>
      <c r="D1745" t="inlineStr">
        <is>
          <t>P403</t>
        </is>
      </c>
      <c r="E1745" t="n">
        <v>2</v>
      </c>
      <c r="F1745" t="n">
        <v>89</v>
      </c>
      <c r="G1745" t="n">
        <v>0.2</v>
      </c>
      <c r="H1745">
        <f>E1745*F1745*(1-G1745)</f>
        <v/>
      </c>
      <c r="I1745">
        <f>XLOOKUP(D1745,Products!$A$2:$A$15,Products!$B$2:$B$15,"Not found")</f>
        <v/>
      </c>
    </row>
    <row r="1746">
      <c r="A1746" t="n">
        <v>106065</v>
      </c>
      <c r="B1746" s="1" t="n">
        <v>45810</v>
      </c>
      <c r="C1746" t="inlineStr">
        <is>
          <t>S05</t>
        </is>
      </c>
      <c r="D1746" t="inlineStr">
        <is>
          <t>P102</t>
        </is>
      </c>
      <c r="E1746" t="n">
        <v>1</v>
      </c>
      <c r="F1746" t="n">
        <v>14.5</v>
      </c>
      <c r="G1746" t="n">
        <v>0.1</v>
      </c>
      <c r="H1746">
        <f>E1746*F1746*(1-G1746)</f>
        <v/>
      </c>
      <c r="I1746">
        <f>XLOOKUP(D1746,Products!$A$2:$A$15,Products!$B$2:$B$15,"Not found")</f>
        <v/>
      </c>
    </row>
    <row r="1747">
      <c r="A1747" t="n">
        <v>106066</v>
      </c>
      <c r="B1747" s="1" t="n">
        <v>45810</v>
      </c>
      <c r="C1747" t="inlineStr">
        <is>
          <t>S05</t>
        </is>
      </c>
      <c r="D1747" t="inlineStr">
        <is>
          <t>P202</t>
        </is>
      </c>
      <c r="E1747" t="n">
        <v>1</v>
      </c>
      <c r="F1747" t="n">
        <v>79</v>
      </c>
      <c r="G1747" t="n">
        <v>0.15</v>
      </c>
      <c r="H1747">
        <f>E1747*F1747*(1-G1747)</f>
        <v/>
      </c>
      <c r="I1747">
        <f>XLOOKUP(D1747,Products!$A$2:$A$15,Products!$B$2:$B$15,"Not found")</f>
        <v/>
      </c>
    </row>
    <row r="1748">
      <c r="A1748" t="n">
        <v>106067</v>
      </c>
      <c r="B1748" s="1" t="n">
        <v>45811</v>
      </c>
      <c r="C1748" t="inlineStr">
        <is>
          <t>S01</t>
        </is>
      </c>
      <c r="D1748" t="inlineStr">
        <is>
          <t>P303</t>
        </is>
      </c>
      <c r="E1748" t="n">
        <v>1</v>
      </c>
      <c r="F1748" t="n">
        <v>12</v>
      </c>
      <c r="G1748" t="n">
        <v>0.15</v>
      </c>
      <c r="H1748">
        <f>E1748*F1748*(1-G1748)</f>
        <v/>
      </c>
      <c r="I1748">
        <f>XLOOKUP(D1748,Products!$A$2:$A$15,Products!$B$2:$B$15,"Not found")</f>
        <v/>
      </c>
    </row>
    <row r="1749">
      <c r="A1749" t="n">
        <v>106068</v>
      </c>
      <c r="B1749" s="1" t="n">
        <v>45811</v>
      </c>
      <c r="C1749" t="inlineStr">
        <is>
          <t>S03</t>
        </is>
      </c>
      <c r="D1749" t="inlineStr">
        <is>
          <t>P102</t>
        </is>
      </c>
      <c r="E1749" t="n">
        <v>4</v>
      </c>
      <c r="F1749" t="n">
        <v>14.5</v>
      </c>
      <c r="G1749" t="n">
        <v>0.1</v>
      </c>
      <c r="H1749">
        <f>E1749*F1749*(1-G1749)</f>
        <v/>
      </c>
      <c r="I1749">
        <f>XLOOKUP(D1749,Products!$A$2:$A$15,Products!$B$2:$B$15,"Not found")</f>
        <v/>
      </c>
    </row>
    <row r="1750">
      <c r="A1750" t="n">
        <v>106069</v>
      </c>
      <c r="B1750" s="1" t="n">
        <v>45811</v>
      </c>
      <c r="C1750" t="inlineStr">
        <is>
          <t>S04</t>
        </is>
      </c>
      <c r="D1750" t="inlineStr">
        <is>
          <t>P401</t>
        </is>
      </c>
      <c r="E1750" t="n">
        <v>1</v>
      </c>
      <c r="F1750" t="n">
        <v>549</v>
      </c>
      <c r="G1750" t="n">
        <v>0.2</v>
      </c>
      <c r="H1750">
        <f>E1750*F1750*(1-G1750)</f>
        <v/>
      </c>
      <c r="I1750">
        <f>XLOOKUP(D1750,Products!$A$2:$A$15,Products!$B$2:$B$15,"Not found")</f>
        <v/>
      </c>
    </row>
    <row r="1751">
      <c r="A1751" t="n">
        <v>106070</v>
      </c>
      <c r="B1751" s="1" t="n">
        <v>45811</v>
      </c>
      <c r="C1751" t="inlineStr">
        <is>
          <t>S05</t>
        </is>
      </c>
      <c r="D1751" t="inlineStr">
        <is>
          <t>P101</t>
        </is>
      </c>
      <c r="E1751" t="n">
        <v>3</v>
      </c>
      <c r="F1751" t="n">
        <v>39</v>
      </c>
      <c r="G1751" t="n">
        <v>0.1</v>
      </c>
      <c r="H1751">
        <f>E1751*F1751*(1-G1751)</f>
        <v/>
      </c>
      <c r="I1751">
        <f>XLOOKUP(D1751,Products!$A$2:$A$15,Products!$B$2:$B$15,"Not found")</f>
        <v/>
      </c>
    </row>
    <row r="1752">
      <c r="A1752" t="n">
        <v>106071</v>
      </c>
      <c r="B1752" s="1" t="n">
        <v>45812</v>
      </c>
      <c r="C1752" t="inlineStr">
        <is>
          <t>S01</t>
        </is>
      </c>
      <c r="D1752" t="inlineStr">
        <is>
          <t>P203</t>
        </is>
      </c>
      <c r="E1752" t="n">
        <v>1</v>
      </c>
      <c r="F1752" t="n">
        <v>19.5</v>
      </c>
      <c r="G1752" t="n">
        <v>0.1</v>
      </c>
      <c r="H1752">
        <f>E1752*F1752*(1-G1752)</f>
        <v/>
      </c>
      <c r="I1752">
        <f>XLOOKUP(D1752,Products!$A$2:$A$15,Products!$B$2:$B$15,"Not found")</f>
        <v/>
      </c>
    </row>
    <row r="1753">
      <c r="A1753" t="n">
        <v>106072</v>
      </c>
      <c r="B1753" s="1" t="n">
        <v>45812</v>
      </c>
      <c r="C1753" t="inlineStr">
        <is>
          <t>S02</t>
        </is>
      </c>
      <c r="D1753" t="inlineStr">
        <is>
          <t>P103</t>
        </is>
      </c>
      <c r="E1753" t="n">
        <v>1</v>
      </c>
      <c r="F1753" t="n">
        <v>29</v>
      </c>
      <c r="G1753" t="n">
        <v>0.1</v>
      </c>
      <c r="H1753">
        <f>E1753*F1753*(1-G1753)</f>
        <v/>
      </c>
      <c r="I1753">
        <f>XLOOKUP(D1753,Products!$A$2:$A$15,Products!$B$2:$B$15,"Not found")</f>
        <v/>
      </c>
    </row>
    <row r="1754">
      <c r="A1754" t="n">
        <v>106073</v>
      </c>
      <c r="B1754" s="1" t="n">
        <v>45812</v>
      </c>
      <c r="C1754" t="inlineStr">
        <is>
          <t>S03</t>
        </is>
      </c>
      <c r="D1754" t="inlineStr">
        <is>
          <t>P303</t>
        </is>
      </c>
      <c r="E1754" t="n">
        <v>3</v>
      </c>
      <c r="F1754" t="n">
        <v>12</v>
      </c>
      <c r="G1754" t="n">
        <v>0.15</v>
      </c>
      <c r="H1754">
        <f>E1754*F1754*(1-G1754)</f>
        <v/>
      </c>
      <c r="I1754">
        <f>XLOOKUP(D1754,Products!$A$2:$A$15,Products!$B$2:$B$15,"Not found")</f>
        <v/>
      </c>
    </row>
    <row r="1755">
      <c r="A1755" t="n">
        <v>106074</v>
      </c>
      <c r="B1755" s="1" t="n">
        <v>45812</v>
      </c>
      <c r="C1755" t="inlineStr">
        <is>
          <t>S03</t>
        </is>
      </c>
      <c r="D1755" t="inlineStr">
        <is>
          <t>P301</t>
        </is>
      </c>
      <c r="E1755" t="n">
        <v>1</v>
      </c>
      <c r="F1755" t="n">
        <v>119</v>
      </c>
      <c r="G1755" t="n">
        <v>0.15</v>
      </c>
      <c r="H1755">
        <f>E1755*F1755*(1-G1755)</f>
        <v/>
      </c>
      <c r="I1755">
        <f>XLOOKUP(D1755,Products!$A$2:$A$15,Products!$B$2:$B$15,"Not found")</f>
        <v/>
      </c>
    </row>
    <row r="1756">
      <c r="A1756" t="n">
        <v>106075</v>
      </c>
      <c r="B1756" s="1" t="n">
        <v>45812</v>
      </c>
      <c r="C1756" t="inlineStr">
        <is>
          <t>S06</t>
        </is>
      </c>
      <c r="D1756" t="inlineStr">
        <is>
          <t>P103</t>
        </is>
      </c>
      <c r="E1756" t="n">
        <v>2</v>
      </c>
      <c r="F1756" t="n">
        <v>29</v>
      </c>
      <c r="G1756" t="n">
        <v>0</v>
      </c>
      <c r="H1756">
        <f>E1756*F1756*(1-G1756)</f>
        <v/>
      </c>
      <c r="I1756">
        <f>XLOOKUP(D1756,Products!$A$2:$A$15,Products!$B$2:$B$15,"Not found")</f>
        <v/>
      </c>
    </row>
    <row r="1757">
      <c r="A1757" t="n">
        <v>106076</v>
      </c>
      <c r="B1757" s="1" t="n">
        <v>45812</v>
      </c>
      <c r="C1757" t="inlineStr">
        <is>
          <t>S06</t>
        </is>
      </c>
      <c r="D1757" t="inlineStr">
        <is>
          <t>P102</t>
        </is>
      </c>
      <c r="E1757" t="n">
        <v>1</v>
      </c>
      <c r="F1757" t="n">
        <v>14.5</v>
      </c>
      <c r="G1757" t="n">
        <v>0.2</v>
      </c>
      <c r="H1757">
        <f>E1757*F1757*(1-G1757)</f>
        <v/>
      </c>
      <c r="I1757">
        <f>XLOOKUP(D1757,Products!$A$2:$A$15,Products!$B$2:$B$15,"Not found")</f>
        <v/>
      </c>
    </row>
    <row r="1758">
      <c r="A1758" t="n">
        <v>106077</v>
      </c>
      <c r="B1758" s="1" t="n">
        <v>45813</v>
      </c>
      <c r="C1758" t="inlineStr">
        <is>
          <t>S02</t>
        </is>
      </c>
      <c r="D1758" t="inlineStr">
        <is>
          <t>P201</t>
        </is>
      </c>
      <c r="E1758" t="n">
        <v>1</v>
      </c>
      <c r="F1758" t="n">
        <v>149</v>
      </c>
      <c r="G1758" t="n">
        <v>0</v>
      </c>
      <c r="H1758">
        <f>E1758*F1758*(1-G1758)</f>
        <v/>
      </c>
      <c r="I1758">
        <f>XLOOKUP(D1758,Products!$A$2:$A$15,Products!$B$2:$B$15,"Not found")</f>
        <v/>
      </c>
    </row>
    <row r="1759">
      <c r="A1759" t="n">
        <v>106078</v>
      </c>
      <c r="B1759" s="1" t="n">
        <v>45813</v>
      </c>
      <c r="C1759" t="inlineStr">
        <is>
          <t>S03</t>
        </is>
      </c>
      <c r="D1759" t="inlineStr">
        <is>
          <t>P203</t>
        </is>
      </c>
      <c r="E1759" t="n">
        <v>1</v>
      </c>
      <c r="F1759" t="n">
        <v>19.5</v>
      </c>
      <c r="G1759" t="n">
        <v>0.1</v>
      </c>
      <c r="H1759">
        <f>E1759*F1759*(1-G1759)</f>
        <v/>
      </c>
      <c r="I1759">
        <f>XLOOKUP(D1759,Products!$A$2:$A$15,Products!$B$2:$B$15,"Not found")</f>
        <v/>
      </c>
    </row>
    <row r="1760">
      <c r="A1760" t="n">
        <v>106079</v>
      </c>
      <c r="B1760" s="1" t="n">
        <v>45813</v>
      </c>
      <c r="C1760" t="inlineStr">
        <is>
          <t>S03</t>
        </is>
      </c>
      <c r="D1760" t="inlineStr">
        <is>
          <t>P101</t>
        </is>
      </c>
      <c r="E1760" t="n">
        <v>2</v>
      </c>
      <c r="F1760" t="n">
        <v>39</v>
      </c>
      <c r="G1760" t="n">
        <v>0.2</v>
      </c>
      <c r="H1760">
        <f>E1760*F1760*(1-G1760)</f>
        <v/>
      </c>
      <c r="I1760">
        <f>XLOOKUP(D1760,Products!$A$2:$A$15,Products!$B$2:$B$15,"Not found")</f>
        <v/>
      </c>
    </row>
    <row r="1761">
      <c r="A1761" t="n">
        <v>106080</v>
      </c>
      <c r="B1761" s="1" t="n">
        <v>45813</v>
      </c>
      <c r="C1761" t="inlineStr">
        <is>
          <t>S03</t>
        </is>
      </c>
      <c r="D1761" t="inlineStr">
        <is>
          <t>P203</t>
        </is>
      </c>
      <c r="E1761" t="n">
        <v>4</v>
      </c>
      <c r="F1761" t="n">
        <v>19.5</v>
      </c>
      <c r="G1761" t="n">
        <v>0.1</v>
      </c>
      <c r="H1761">
        <f>E1761*F1761*(1-G1761)</f>
        <v/>
      </c>
      <c r="I1761">
        <f>XLOOKUP(D1761,Products!$A$2:$A$15,Products!$B$2:$B$15,"Not found")</f>
        <v/>
      </c>
    </row>
    <row r="1762">
      <c r="A1762" t="n">
        <v>106081</v>
      </c>
      <c r="B1762" s="1" t="n">
        <v>45813</v>
      </c>
      <c r="C1762" t="inlineStr">
        <is>
          <t>S04</t>
        </is>
      </c>
      <c r="D1762" t="inlineStr">
        <is>
          <t>P303</t>
        </is>
      </c>
      <c r="E1762" t="n">
        <v>2</v>
      </c>
      <c r="F1762" t="n">
        <v>12</v>
      </c>
      <c r="G1762" t="n">
        <v>0.2</v>
      </c>
      <c r="H1762">
        <f>E1762*F1762*(1-G1762)</f>
        <v/>
      </c>
      <c r="I1762">
        <f>XLOOKUP(D1762,Products!$A$2:$A$15,Products!$B$2:$B$15,"Not found")</f>
        <v/>
      </c>
    </row>
    <row r="1763">
      <c r="A1763" t="n">
        <v>106082</v>
      </c>
      <c r="B1763" s="1" t="n">
        <v>45813</v>
      </c>
      <c r="C1763" t="inlineStr">
        <is>
          <t>S04</t>
        </is>
      </c>
      <c r="D1763" t="inlineStr">
        <is>
          <t>P201</t>
        </is>
      </c>
      <c r="E1763" t="n">
        <v>1</v>
      </c>
      <c r="F1763" t="n">
        <v>149</v>
      </c>
      <c r="G1763" t="n">
        <v>0</v>
      </c>
      <c r="H1763">
        <f>E1763*F1763*(1-G1763)</f>
        <v/>
      </c>
      <c r="I1763">
        <f>XLOOKUP(D1763,Products!$A$2:$A$15,Products!$B$2:$B$15,"Not found")</f>
        <v/>
      </c>
    </row>
    <row r="1764">
      <c r="A1764" t="n">
        <v>106083</v>
      </c>
      <c r="B1764" s="1" t="n">
        <v>45813</v>
      </c>
      <c r="C1764" t="inlineStr">
        <is>
          <t>S04</t>
        </is>
      </c>
      <c r="D1764" t="inlineStr">
        <is>
          <t>P203</t>
        </is>
      </c>
      <c r="E1764" t="n">
        <v>1</v>
      </c>
      <c r="F1764" t="n">
        <v>19.5</v>
      </c>
      <c r="G1764" t="n">
        <v>0</v>
      </c>
      <c r="H1764">
        <f>E1764*F1764*(1-G1764)</f>
        <v/>
      </c>
      <c r="I1764">
        <f>XLOOKUP(D1764,Products!$A$2:$A$15,Products!$B$2:$B$15,"Not found")</f>
        <v/>
      </c>
    </row>
    <row r="1765">
      <c r="A1765" t="n">
        <v>106084</v>
      </c>
      <c r="B1765" s="1" t="n">
        <v>45813</v>
      </c>
      <c r="C1765" t="inlineStr">
        <is>
          <t>S05</t>
        </is>
      </c>
      <c r="D1765" t="inlineStr">
        <is>
          <t>P201</t>
        </is>
      </c>
      <c r="E1765" t="n">
        <v>1</v>
      </c>
      <c r="F1765" t="n">
        <v>149</v>
      </c>
      <c r="G1765" t="n">
        <v>0.2</v>
      </c>
      <c r="H1765">
        <f>E1765*F1765*(1-G1765)</f>
        <v/>
      </c>
      <c r="I1765">
        <f>XLOOKUP(D1765,Products!$A$2:$A$15,Products!$B$2:$B$15,"Not found")</f>
        <v/>
      </c>
    </row>
    <row r="1766">
      <c r="A1766" t="n">
        <v>106085</v>
      </c>
      <c r="B1766" s="1" t="n">
        <v>45813</v>
      </c>
      <c r="C1766" t="inlineStr">
        <is>
          <t>S05</t>
        </is>
      </c>
      <c r="D1766" t="inlineStr">
        <is>
          <t>P103</t>
        </is>
      </c>
      <c r="E1766" t="n">
        <v>1</v>
      </c>
      <c r="F1766" t="n">
        <v>29</v>
      </c>
      <c r="G1766" t="n">
        <v>0</v>
      </c>
      <c r="H1766">
        <f>E1766*F1766*(1-G1766)</f>
        <v/>
      </c>
      <c r="I1766">
        <f>XLOOKUP(D1766,Products!$A$2:$A$15,Products!$B$2:$B$15,"Not found")</f>
        <v/>
      </c>
    </row>
    <row r="1767">
      <c r="A1767" t="n">
        <v>106086</v>
      </c>
      <c r="B1767" s="1" t="n">
        <v>45814</v>
      </c>
      <c r="C1767" t="inlineStr">
        <is>
          <t>S01</t>
        </is>
      </c>
      <c r="D1767" t="inlineStr">
        <is>
          <t>P204</t>
        </is>
      </c>
      <c r="E1767" t="n">
        <v>1</v>
      </c>
      <c r="F1767" t="n">
        <v>229</v>
      </c>
      <c r="G1767" t="n">
        <v>0</v>
      </c>
      <c r="H1767">
        <f>E1767*F1767*(1-G1767)</f>
        <v/>
      </c>
      <c r="I1767">
        <f>XLOOKUP(D1767,Products!$A$2:$A$15,Products!$B$2:$B$15,"Not found")</f>
        <v/>
      </c>
    </row>
    <row r="1768">
      <c r="A1768" t="n">
        <v>106087</v>
      </c>
      <c r="B1768" s="1" t="n">
        <v>45814</v>
      </c>
      <c r="C1768" t="inlineStr">
        <is>
          <t>S01</t>
        </is>
      </c>
      <c r="D1768" t="inlineStr">
        <is>
          <t>P401</t>
        </is>
      </c>
      <c r="E1768" t="n">
        <v>1</v>
      </c>
      <c r="F1768" t="n">
        <v>549</v>
      </c>
      <c r="G1768" t="n">
        <v>0.2</v>
      </c>
      <c r="H1768">
        <f>E1768*F1768*(1-G1768)</f>
        <v/>
      </c>
      <c r="I1768">
        <f>XLOOKUP(D1768,Products!$A$2:$A$15,Products!$B$2:$B$15,"Not found")</f>
        <v/>
      </c>
    </row>
    <row r="1769">
      <c r="A1769" t="n">
        <v>106088</v>
      </c>
      <c r="B1769" s="1" t="n">
        <v>45814</v>
      </c>
      <c r="C1769" t="inlineStr">
        <is>
          <t>S01</t>
        </is>
      </c>
      <c r="D1769" t="inlineStr">
        <is>
          <t>P103</t>
        </is>
      </c>
      <c r="E1769" t="n">
        <v>4</v>
      </c>
      <c r="F1769" t="n">
        <v>29</v>
      </c>
      <c r="G1769" t="n">
        <v>0.15</v>
      </c>
      <c r="H1769">
        <f>E1769*F1769*(1-G1769)</f>
        <v/>
      </c>
      <c r="I1769">
        <f>XLOOKUP(D1769,Products!$A$2:$A$15,Products!$B$2:$B$15,"Not found")</f>
        <v/>
      </c>
    </row>
    <row r="1770">
      <c r="A1770" t="n">
        <v>106089</v>
      </c>
      <c r="B1770" s="1" t="n">
        <v>45814</v>
      </c>
      <c r="C1770" t="inlineStr">
        <is>
          <t>S02</t>
        </is>
      </c>
      <c r="D1770" t="inlineStr">
        <is>
          <t>P102</t>
        </is>
      </c>
      <c r="E1770" t="n">
        <v>1</v>
      </c>
      <c r="F1770" t="n">
        <v>14.5</v>
      </c>
      <c r="G1770" t="n">
        <v>0</v>
      </c>
      <c r="H1770">
        <f>E1770*F1770*(1-G1770)</f>
        <v/>
      </c>
      <c r="I1770">
        <f>XLOOKUP(D1770,Products!$A$2:$A$15,Products!$B$2:$B$15,"Not found")</f>
        <v/>
      </c>
    </row>
    <row r="1771">
      <c r="A1771" t="n">
        <v>106090</v>
      </c>
      <c r="B1771" s="1" t="n">
        <v>45814</v>
      </c>
      <c r="C1771" t="inlineStr">
        <is>
          <t>S04</t>
        </is>
      </c>
      <c r="D1771" t="inlineStr">
        <is>
          <t>P101</t>
        </is>
      </c>
      <c r="E1771" t="n">
        <v>3</v>
      </c>
      <c r="F1771" t="n">
        <v>39</v>
      </c>
      <c r="G1771" t="n">
        <v>0</v>
      </c>
      <c r="H1771">
        <f>E1771*F1771*(1-G1771)</f>
        <v/>
      </c>
      <c r="I1771">
        <f>XLOOKUP(D1771,Products!$A$2:$A$15,Products!$B$2:$B$15,"Not found")</f>
        <v/>
      </c>
    </row>
    <row r="1772">
      <c r="A1772" t="n">
        <v>106091</v>
      </c>
      <c r="B1772" s="1" t="n">
        <v>45814</v>
      </c>
      <c r="C1772" t="inlineStr">
        <is>
          <t>S04</t>
        </is>
      </c>
      <c r="D1772" t="inlineStr">
        <is>
          <t>P301</t>
        </is>
      </c>
      <c r="E1772" t="n">
        <v>1</v>
      </c>
      <c r="F1772" t="n">
        <v>119</v>
      </c>
      <c r="G1772" t="n">
        <v>0.1</v>
      </c>
      <c r="H1772">
        <f>E1772*F1772*(1-G1772)</f>
        <v/>
      </c>
      <c r="I1772">
        <f>XLOOKUP(D1772,Products!$A$2:$A$15,Products!$B$2:$B$15,"Not found")</f>
        <v/>
      </c>
    </row>
    <row r="1773">
      <c r="A1773" t="n">
        <v>106092</v>
      </c>
      <c r="B1773" s="1" t="n">
        <v>45814</v>
      </c>
      <c r="C1773" t="inlineStr">
        <is>
          <t>S04</t>
        </is>
      </c>
      <c r="D1773" t="inlineStr">
        <is>
          <t>P102</t>
        </is>
      </c>
      <c r="E1773" t="n">
        <v>1</v>
      </c>
      <c r="F1773" t="n">
        <v>14.5</v>
      </c>
      <c r="G1773" t="n">
        <v>0</v>
      </c>
      <c r="H1773">
        <f>E1773*F1773*(1-G1773)</f>
        <v/>
      </c>
      <c r="I1773">
        <f>XLOOKUP(D1773,Products!$A$2:$A$15,Products!$B$2:$B$15,"Not found")</f>
        <v/>
      </c>
    </row>
    <row r="1774">
      <c r="A1774" t="n">
        <v>106093</v>
      </c>
      <c r="B1774" s="1" t="n">
        <v>45814</v>
      </c>
      <c r="C1774" t="inlineStr">
        <is>
          <t>S05</t>
        </is>
      </c>
      <c r="D1774" t="inlineStr">
        <is>
          <t>P403</t>
        </is>
      </c>
      <c r="E1774" t="n">
        <v>3</v>
      </c>
      <c r="F1774" t="n">
        <v>89</v>
      </c>
      <c r="G1774" t="n">
        <v>0.2</v>
      </c>
      <c r="H1774">
        <f>E1774*F1774*(1-G1774)</f>
        <v/>
      </c>
      <c r="I1774">
        <f>XLOOKUP(D1774,Products!$A$2:$A$15,Products!$B$2:$B$15,"Not found")</f>
        <v/>
      </c>
    </row>
    <row r="1775">
      <c r="A1775" t="n">
        <v>106094</v>
      </c>
      <c r="B1775" s="1" t="n">
        <v>45814</v>
      </c>
      <c r="C1775" t="inlineStr">
        <is>
          <t>S05</t>
        </is>
      </c>
      <c r="D1775" t="inlineStr">
        <is>
          <t>P302</t>
        </is>
      </c>
      <c r="E1775" t="n">
        <v>1</v>
      </c>
      <c r="F1775" t="n">
        <v>24</v>
      </c>
      <c r="G1775" t="n">
        <v>0.1</v>
      </c>
      <c r="H1775">
        <f>E1775*F1775*(1-G1775)</f>
        <v/>
      </c>
      <c r="I1775">
        <f>XLOOKUP(D1775,Products!$A$2:$A$15,Products!$B$2:$B$15,"Not found")</f>
        <v/>
      </c>
    </row>
    <row r="1776">
      <c r="A1776" t="n">
        <v>106095</v>
      </c>
      <c r="B1776" s="1" t="n">
        <v>45815</v>
      </c>
      <c r="C1776" t="inlineStr">
        <is>
          <t>S01</t>
        </is>
      </c>
      <c r="D1776" t="inlineStr">
        <is>
          <t>P101</t>
        </is>
      </c>
      <c r="E1776" t="n">
        <v>4</v>
      </c>
      <c r="F1776" t="n">
        <v>39</v>
      </c>
      <c r="G1776" t="n">
        <v>0.1</v>
      </c>
      <c r="H1776">
        <f>E1776*F1776*(1-G1776)</f>
        <v/>
      </c>
      <c r="I1776">
        <f>XLOOKUP(D1776,Products!$A$2:$A$15,Products!$B$2:$B$15,"Not found")</f>
        <v/>
      </c>
    </row>
    <row r="1777">
      <c r="A1777" t="n">
        <v>106096</v>
      </c>
      <c r="B1777" s="1" t="n">
        <v>45815</v>
      </c>
      <c r="C1777" t="inlineStr">
        <is>
          <t>S02</t>
        </is>
      </c>
      <c r="D1777" t="inlineStr">
        <is>
          <t>P204</t>
        </is>
      </c>
      <c r="E1777" t="n">
        <v>1</v>
      </c>
      <c r="F1777" t="n">
        <v>229</v>
      </c>
      <c r="G1777" t="n">
        <v>0.1</v>
      </c>
      <c r="H1777">
        <f>E1777*F1777*(1-G1777)</f>
        <v/>
      </c>
      <c r="I1777">
        <f>XLOOKUP(D1777,Products!$A$2:$A$15,Products!$B$2:$B$15,"Not found")</f>
        <v/>
      </c>
    </row>
    <row r="1778">
      <c r="A1778" t="n">
        <v>106097</v>
      </c>
      <c r="B1778" s="1" t="n">
        <v>45815</v>
      </c>
      <c r="C1778" t="inlineStr">
        <is>
          <t>S03</t>
        </is>
      </c>
      <c r="D1778" t="inlineStr">
        <is>
          <t>P201</t>
        </is>
      </c>
      <c r="E1778" t="n">
        <v>1</v>
      </c>
      <c r="F1778" t="n">
        <v>149</v>
      </c>
      <c r="G1778" t="n">
        <v>0</v>
      </c>
      <c r="H1778">
        <f>E1778*F1778*(1-G1778)</f>
        <v/>
      </c>
      <c r="I1778">
        <f>XLOOKUP(D1778,Products!$A$2:$A$15,Products!$B$2:$B$15,"Not found")</f>
        <v/>
      </c>
    </row>
    <row r="1779">
      <c r="A1779" t="n">
        <v>106098</v>
      </c>
      <c r="B1779" s="1" t="n">
        <v>45815</v>
      </c>
      <c r="C1779" t="inlineStr">
        <is>
          <t>S04</t>
        </is>
      </c>
      <c r="D1779" t="inlineStr">
        <is>
          <t>P203</t>
        </is>
      </c>
      <c r="E1779" t="n">
        <v>3</v>
      </c>
      <c r="F1779" t="n">
        <v>19.5</v>
      </c>
      <c r="G1779" t="n">
        <v>0</v>
      </c>
      <c r="H1779">
        <f>E1779*F1779*(1-G1779)</f>
        <v/>
      </c>
      <c r="I1779">
        <f>XLOOKUP(D1779,Products!$A$2:$A$15,Products!$B$2:$B$15,"Not found")</f>
        <v/>
      </c>
    </row>
    <row r="1780">
      <c r="A1780" t="n">
        <v>106099</v>
      </c>
      <c r="B1780" s="1" t="n">
        <v>45816</v>
      </c>
      <c r="C1780" t="inlineStr">
        <is>
          <t>S01</t>
        </is>
      </c>
      <c r="D1780" t="inlineStr">
        <is>
          <t>P302</t>
        </is>
      </c>
      <c r="E1780" t="n">
        <v>1</v>
      </c>
      <c r="F1780" t="n">
        <v>24</v>
      </c>
      <c r="G1780" t="n">
        <v>0</v>
      </c>
      <c r="H1780">
        <f>E1780*F1780*(1-G1780)</f>
        <v/>
      </c>
      <c r="I1780">
        <f>XLOOKUP(D1780,Products!$A$2:$A$15,Products!$B$2:$B$15,"Not found")</f>
        <v/>
      </c>
    </row>
    <row r="1781">
      <c r="A1781" t="n">
        <v>106100</v>
      </c>
      <c r="B1781" s="1" t="n">
        <v>45816</v>
      </c>
      <c r="C1781" t="inlineStr">
        <is>
          <t>S01</t>
        </is>
      </c>
      <c r="D1781" t="inlineStr">
        <is>
          <t>P201</t>
        </is>
      </c>
      <c r="E1781" t="n">
        <v>1</v>
      </c>
      <c r="F1781" t="n">
        <v>149</v>
      </c>
      <c r="G1781" t="n">
        <v>0.15</v>
      </c>
      <c r="H1781">
        <f>E1781*F1781*(1-G1781)</f>
        <v/>
      </c>
      <c r="I1781">
        <f>XLOOKUP(D1781,Products!$A$2:$A$15,Products!$B$2:$B$15,"Not found")</f>
        <v/>
      </c>
    </row>
    <row r="1782">
      <c r="A1782" t="n">
        <v>106101</v>
      </c>
      <c r="B1782" s="1" t="n">
        <v>45816</v>
      </c>
      <c r="C1782" t="inlineStr">
        <is>
          <t>S02</t>
        </is>
      </c>
      <c r="D1782" t="inlineStr">
        <is>
          <t>P301</t>
        </is>
      </c>
      <c r="E1782" t="n">
        <v>1</v>
      </c>
      <c r="F1782" t="n">
        <v>119</v>
      </c>
      <c r="G1782" t="n">
        <v>0</v>
      </c>
      <c r="H1782">
        <f>E1782*F1782*(1-G1782)</f>
        <v/>
      </c>
      <c r="I1782">
        <f>XLOOKUP(D1782,Products!$A$2:$A$15,Products!$B$2:$B$15,"Not found")</f>
        <v/>
      </c>
    </row>
    <row r="1783">
      <c r="A1783" t="n">
        <v>106102</v>
      </c>
      <c r="B1783" s="1" t="n">
        <v>45816</v>
      </c>
      <c r="C1783" t="inlineStr">
        <is>
          <t>S03</t>
        </is>
      </c>
      <c r="D1783" t="inlineStr">
        <is>
          <t>P102</t>
        </is>
      </c>
      <c r="E1783" t="n">
        <v>4</v>
      </c>
      <c r="F1783" t="n">
        <v>14.5</v>
      </c>
      <c r="G1783" t="n">
        <v>0</v>
      </c>
      <c r="H1783">
        <f>E1783*F1783*(1-G1783)</f>
        <v/>
      </c>
      <c r="I1783">
        <f>XLOOKUP(D1783,Products!$A$2:$A$15,Products!$B$2:$B$15,"Not found")</f>
        <v/>
      </c>
    </row>
    <row r="1784">
      <c r="A1784" t="n">
        <v>106103</v>
      </c>
      <c r="B1784" s="1" t="n">
        <v>45816</v>
      </c>
      <c r="C1784" t="inlineStr">
        <is>
          <t>S03</t>
        </is>
      </c>
      <c r="D1784" t="inlineStr">
        <is>
          <t>P101</t>
        </is>
      </c>
      <c r="E1784" t="n">
        <v>4</v>
      </c>
      <c r="F1784" t="n">
        <v>39</v>
      </c>
      <c r="G1784" t="n">
        <v>0.15</v>
      </c>
      <c r="H1784">
        <f>E1784*F1784*(1-G1784)</f>
        <v/>
      </c>
      <c r="I1784">
        <f>XLOOKUP(D1784,Products!$A$2:$A$15,Products!$B$2:$B$15,"Not found")</f>
        <v/>
      </c>
    </row>
    <row r="1785">
      <c r="A1785" t="n">
        <v>106104</v>
      </c>
      <c r="B1785" s="1" t="n">
        <v>45816</v>
      </c>
      <c r="C1785" t="inlineStr">
        <is>
          <t>S05</t>
        </is>
      </c>
      <c r="D1785" t="inlineStr">
        <is>
          <t>P302</t>
        </is>
      </c>
      <c r="E1785" t="n">
        <v>1</v>
      </c>
      <c r="F1785" t="n">
        <v>24</v>
      </c>
      <c r="G1785" t="n">
        <v>0.1</v>
      </c>
      <c r="H1785">
        <f>E1785*F1785*(1-G1785)</f>
        <v/>
      </c>
      <c r="I1785">
        <f>XLOOKUP(D1785,Products!$A$2:$A$15,Products!$B$2:$B$15,"Not found")</f>
        <v/>
      </c>
    </row>
    <row r="1786">
      <c r="A1786" t="n">
        <v>106105</v>
      </c>
      <c r="B1786" s="1" t="n">
        <v>45816</v>
      </c>
      <c r="C1786" t="inlineStr">
        <is>
          <t>S05</t>
        </is>
      </c>
      <c r="D1786" t="inlineStr">
        <is>
          <t>P302</t>
        </is>
      </c>
      <c r="E1786" t="n">
        <v>2</v>
      </c>
      <c r="F1786" t="n">
        <v>24</v>
      </c>
      <c r="G1786" t="n">
        <v>0</v>
      </c>
      <c r="H1786">
        <f>E1786*F1786*(1-G1786)</f>
        <v/>
      </c>
      <c r="I1786">
        <f>XLOOKUP(D1786,Products!$A$2:$A$15,Products!$B$2:$B$15,"Not found")</f>
        <v/>
      </c>
    </row>
    <row r="1787">
      <c r="A1787" t="n">
        <v>106106</v>
      </c>
      <c r="B1787" s="1" t="n">
        <v>45816</v>
      </c>
      <c r="C1787" t="inlineStr">
        <is>
          <t>S05</t>
        </is>
      </c>
      <c r="D1787" t="inlineStr">
        <is>
          <t>P302</t>
        </is>
      </c>
      <c r="E1787" t="n">
        <v>1</v>
      </c>
      <c r="F1787" t="n">
        <v>24</v>
      </c>
      <c r="G1787" t="n">
        <v>0</v>
      </c>
      <c r="H1787">
        <f>E1787*F1787*(1-G1787)</f>
        <v/>
      </c>
      <c r="I1787">
        <f>XLOOKUP(D1787,Products!$A$2:$A$15,Products!$B$2:$B$15,"Not found")</f>
        <v/>
      </c>
    </row>
    <row r="1788">
      <c r="A1788" t="n">
        <v>106107</v>
      </c>
      <c r="B1788" s="1" t="n">
        <v>45816</v>
      </c>
      <c r="C1788" t="inlineStr">
        <is>
          <t>S06</t>
        </is>
      </c>
      <c r="D1788" t="inlineStr">
        <is>
          <t>P104</t>
        </is>
      </c>
      <c r="E1788" t="n">
        <v>1</v>
      </c>
      <c r="F1788" t="n">
        <v>189</v>
      </c>
      <c r="G1788" t="n">
        <v>0.2</v>
      </c>
      <c r="H1788">
        <f>E1788*F1788*(1-G1788)</f>
        <v/>
      </c>
      <c r="I1788">
        <f>XLOOKUP(D1788,Products!$A$2:$A$15,Products!$B$2:$B$15,"Not found")</f>
        <v/>
      </c>
    </row>
    <row r="1789">
      <c r="A1789" t="n">
        <v>106108</v>
      </c>
      <c r="B1789" s="1" t="n">
        <v>45817</v>
      </c>
      <c r="C1789" t="inlineStr">
        <is>
          <t>S01</t>
        </is>
      </c>
      <c r="D1789" t="inlineStr">
        <is>
          <t>P203</t>
        </is>
      </c>
      <c r="E1789" t="n">
        <v>3</v>
      </c>
      <c r="F1789" t="n">
        <v>19.5</v>
      </c>
      <c r="G1789" t="n">
        <v>0.15</v>
      </c>
      <c r="H1789">
        <f>E1789*F1789*(1-G1789)</f>
        <v/>
      </c>
      <c r="I1789">
        <f>XLOOKUP(D1789,Products!$A$2:$A$15,Products!$B$2:$B$15,"Not found")</f>
        <v/>
      </c>
    </row>
    <row r="1790">
      <c r="A1790" t="n">
        <v>106109</v>
      </c>
      <c r="B1790" s="1" t="n">
        <v>45817</v>
      </c>
      <c r="C1790" t="inlineStr">
        <is>
          <t>S01</t>
        </is>
      </c>
      <c r="D1790" t="inlineStr">
        <is>
          <t>P302</t>
        </is>
      </c>
      <c r="E1790" t="n">
        <v>3</v>
      </c>
      <c r="F1790" t="n">
        <v>24</v>
      </c>
      <c r="G1790" t="n">
        <v>0.1</v>
      </c>
      <c r="H1790">
        <f>E1790*F1790*(1-G1790)</f>
        <v/>
      </c>
      <c r="I1790">
        <f>XLOOKUP(D1790,Products!$A$2:$A$15,Products!$B$2:$B$15,"Not found")</f>
        <v/>
      </c>
    </row>
    <row r="1791">
      <c r="A1791" t="n">
        <v>106110</v>
      </c>
      <c r="B1791" s="1" t="n">
        <v>45817</v>
      </c>
      <c r="C1791" t="inlineStr">
        <is>
          <t>S01</t>
        </is>
      </c>
      <c r="D1791" t="inlineStr">
        <is>
          <t>P303</t>
        </is>
      </c>
      <c r="E1791" t="n">
        <v>3</v>
      </c>
      <c r="F1791" t="n">
        <v>12</v>
      </c>
      <c r="G1791" t="n">
        <v>0.15</v>
      </c>
      <c r="H1791">
        <f>E1791*F1791*(1-G1791)</f>
        <v/>
      </c>
      <c r="I1791">
        <f>XLOOKUP(D1791,Products!$A$2:$A$15,Products!$B$2:$B$15,"Not found")</f>
        <v/>
      </c>
    </row>
    <row r="1792">
      <c r="A1792" t="n">
        <v>106111</v>
      </c>
      <c r="B1792" s="1" t="n">
        <v>45817</v>
      </c>
      <c r="C1792" t="inlineStr">
        <is>
          <t>S02</t>
        </is>
      </c>
      <c r="D1792" t="inlineStr">
        <is>
          <t>P201</t>
        </is>
      </c>
      <c r="E1792" t="n">
        <v>1</v>
      </c>
      <c r="F1792" t="n">
        <v>149</v>
      </c>
      <c r="G1792" t="n">
        <v>0.15</v>
      </c>
      <c r="H1792">
        <f>E1792*F1792*(1-G1792)</f>
        <v/>
      </c>
      <c r="I1792">
        <f>XLOOKUP(D1792,Products!$A$2:$A$15,Products!$B$2:$B$15,"Not found")</f>
        <v/>
      </c>
    </row>
    <row r="1793">
      <c r="A1793" t="n">
        <v>106112</v>
      </c>
      <c r="B1793" s="1" t="n">
        <v>45817</v>
      </c>
      <c r="C1793" t="inlineStr">
        <is>
          <t>S02</t>
        </is>
      </c>
      <c r="D1793" t="inlineStr">
        <is>
          <t>P103</t>
        </is>
      </c>
      <c r="E1793" t="n">
        <v>2</v>
      </c>
      <c r="F1793" t="n">
        <v>29</v>
      </c>
      <c r="G1793" t="n">
        <v>0</v>
      </c>
      <c r="H1793">
        <f>E1793*F1793*(1-G1793)</f>
        <v/>
      </c>
      <c r="I1793">
        <f>XLOOKUP(D1793,Products!$A$2:$A$15,Products!$B$2:$B$15,"Not found")</f>
        <v/>
      </c>
    </row>
    <row r="1794">
      <c r="A1794" t="n">
        <v>106113</v>
      </c>
      <c r="B1794" s="1" t="n">
        <v>45817</v>
      </c>
      <c r="C1794" t="inlineStr">
        <is>
          <t>S05</t>
        </is>
      </c>
      <c r="D1794" t="inlineStr">
        <is>
          <t>P102</t>
        </is>
      </c>
      <c r="E1794" t="n">
        <v>4</v>
      </c>
      <c r="F1794" t="n">
        <v>14.5</v>
      </c>
      <c r="G1794" t="n">
        <v>0</v>
      </c>
      <c r="H1794">
        <f>E1794*F1794*(1-G1794)</f>
        <v/>
      </c>
      <c r="I1794">
        <f>XLOOKUP(D1794,Products!$A$2:$A$15,Products!$B$2:$B$15,"Not found")</f>
        <v/>
      </c>
    </row>
    <row r="1795">
      <c r="A1795" t="n">
        <v>106114</v>
      </c>
      <c r="B1795" s="1" t="n">
        <v>45817</v>
      </c>
      <c r="C1795" t="inlineStr">
        <is>
          <t>S05</t>
        </is>
      </c>
      <c r="D1795" t="inlineStr">
        <is>
          <t>P203</t>
        </is>
      </c>
      <c r="E1795" t="n">
        <v>1</v>
      </c>
      <c r="F1795" t="n">
        <v>19.5</v>
      </c>
      <c r="G1795" t="n">
        <v>0</v>
      </c>
      <c r="H1795">
        <f>E1795*F1795*(1-G1795)</f>
        <v/>
      </c>
      <c r="I1795">
        <f>XLOOKUP(D1795,Products!$A$2:$A$15,Products!$B$2:$B$15,"Not found")</f>
        <v/>
      </c>
    </row>
    <row r="1796">
      <c r="A1796" t="n">
        <v>106115</v>
      </c>
      <c r="B1796" s="1" t="n">
        <v>45817</v>
      </c>
      <c r="C1796" t="inlineStr">
        <is>
          <t>S05</t>
        </is>
      </c>
      <c r="D1796" t="inlineStr">
        <is>
          <t>P102</t>
        </is>
      </c>
      <c r="E1796" t="n">
        <v>1</v>
      </c>
      <c r="F1796" t="n">
        <v>14.5</v>
      </c>
      <c r="G1796" t="n">
        <v>0</v>
      </c>
      <c r="H1796">
        <f>E1796*F1796*(1-G1796)</f>
        <v/>
      </c>
      <c r="I1796">
        <f>XLOOKUP(D1796,Products!$A$2:$A$15,Products!$B$2:$B$15,"Not found")</f>
        <v/>
      </c>
    </row>
    <row r="1797">
      <c r="A1797" t="n">
        <v>106116</v>
      </c>
      <c r="B1797" s="1" t="n">
        <v>45817</v>
      </c>
      <c r="C1797" t="inlineStr">
        <is>
          <t>S05</t>
        </is>
      </c>
      <c r="D1797" t="inlineStr">
        <is>
          <t>P204</t>
        </is>
      </c>
      <c r="E1797" t="n">
        <v>1</v>
      </c>
      <c r="F1797" t="n">
        <v>229</v>
      </c>
      <c r="G1797" t="n">
        <v>0</v>
      </c>
      <c r="H1797">
        <f>E1797*F1797*(1-G1797)</f>
        <v/>
      </c>
      <c r="I1797">
        <f>XLOOKUP(D1797,Products!$A$2:$A$15,Products!$B$2:$B$15,"Not found")</f>
        <v/>
      </c>
    </row>
    <row r="1798">
      <c r="A1798" t="n">
        <v>106117</v>
      </c>
      <c r="B1798" s="1" t="n">
        <v>45818</v>
      </c>
      <c r="C1798" t="inlineStr">
        <is>
          <t>S02</t>
        </is>
      </c>
      <c r="D1798" t="inlineStr">
        <is>
          <t>P302</t>
        </is>
      </c>
      <c r="E1798" t="n">
        <v>1</v>
      </c>
      <c r="F1798" t="n">
        <v>24</v>
      </c>
      <c r="G1798" t="n">
        <v>0</v>
      </c>
      <c r="H1798">
        <f>E1798*F1798*(1-G1798)</f>
        <v/>
      </c>
      <c r="I1798">
        <f>XLOOKUP(D1798,Products!$A$2:$A$15,Products!$B$2:$B$15,"Not found")</f>
        <v/>
      </c>
    </row>
    <row r="1799">
      <c r="A1799" t="n">
        <v>106118</v>
      </c>
      <c r="B1799" s="1" t="n">
        <v>45818</v>
      </c>
      <c r="C1799" t="inlineStr">
        <is>
          <t>S04</t>
        </is>
      </c>
      <c r="D1799" t="inlineStr">
        <is>
          <t>P103</t>
        </is>
      </c>
      <c r="E1799" t="n">
        <v>4</v>
      </c>
      <c r="F1799" t="n">
        <v>29</v>
      </c>
      <c r="G1799" t="n">
        <v>0.15</v>
      </c>
      <c r="H1799">
        <f>E1799*F1799*(1-G1799)</f>
        <v/>
      </c>
      <c r="I1799">
        <f>XLOOKUP(D1799,Products!$A$2:$A$15,Products!$B$2:$B$15,"Not found")</f>
        <v/>
      </c>
    </row>
    <row r="1800">
      <c r="A1800" t="n">
        <v>106119</v>
      </c>
      <c r="B1800" s="1" t="n">
        <v>45818</v>
      </c>
      <c r="C1800" t="inlineStr">
        <is>
          <t>S04</t>
        </is>
      </c>
      <c r="D1800" t="inlineStr">
        <is>
          <t>P103</t>
        </is>
      </c>
      <c r="E1800" t="n">
        <v>1</v>
      </c>
      <c r="F1800" t="n">
        <v>29</v>
      </c>
      <c r="G1800" t="n">
        <v>0</v>
      </c>
      <c r="H1800">
        <f>E1800*F1800*(1-G1800)</f>
        <v/>
      </c>
      <c r="I1800">
        <f>XLOOKUP(D1800,Products!$A$2:$A$15,Products!$B$2:$B$15,"Not found")</f>
        <v/>
      </c>
    </row>
    <row r="1801">
      <c r="A1801" t="n">
        <v>106120</v>
      </c>
      <c r="B1801" s="1" t="n">
        <v>45818</v>
      </c>
      <c r="C1801" t="inlineStr">
        <is>
          <t>S06</t>
        </is>
      </c>
      <c r="D1801" t="inlineStr">
        <is>
          <t>P204</t>
        </is>
      </c>
      <c r="E1801" t="n">
        <v>1</v>
      </c>
      <c r="F1801" t="n">
        <v>229</v>
      </c>
      <c r="G1801" t="n">
        <v>0.1</v>
      </c>
      <c r="H1801">
        <f>E1801*F1801*(1-G1801)</f>
        <v/>
      </c>
      <c r="I1801">
        <f>XLOOKUP(D1801,Products!$A$2:$A$15,Products!$B$2:$B$15,"Not found")</f>
        <v/>
      </c>
    </row>
    <row r="1802">
      <c r="A1802" t="n">
        <v>106121</v>
      </c>
      <c r="B1802" s="1" t="n">
        <v>45818</v>
      </c>
      <c r="C1802" t="inlineStr">
        <is>
          <t>S06</t>
        </is>
      </c>
      <c r="D1802" t="inlineStr">
        <is>
          <t>P103</t>
        </is>
      </c>
      <c r="E1802" t="n">
        <v>3</v>
      </c>
      <c r="F1802" t="n">
        <v>29</v>
      </c>
      <c r="G1802" t="n">
        <v>0.2</v>
      </c>
      <c r="H1802">
        <f>E1802*F1802*(1-G1802)</f>
        <v/>
      </c>
      <c r="I1802">
        <f>XLOOKUP(D1802,Products!$A$2:$A$15,Products!$B$2:$B$15,"Not found")</f>
        <v/>
      </c>
    </row>
    <row r="1803">
      <c r="A1803" t="n">
        <v>106122</v>
      </c>
      <c r="B1803" s="1" t="n">
        <v>45819</v>
      </c>
      <c r="C1803" t="inlineStr">
        <is>
          <t>S01</t>
        </is>
      </c>
      <c r="D1803" t="inlineStr">
        <is>
          <t>P203</t>
        </is>
      </c>
      <c r="E1803" t="n">
        <v>3</v>
      </c>
      <c r="F1803" t="n">
        <v>19.5</v>
      </c>
      <c r="G1803" t="n">
        <v>0</v>
      </c>
      <c r="H1803">
        <f>E1803*F1803*(1-G1803)</f>
        <v/>
      </c>
      <c r="I1803">
        <f>XLOOKUP(D1803,Products!$A$2:$A$15,Products!$B$2:$B$15,"Not found")</f>
        <v/>
      </c>
    </row>
    <row r="1804">
      <c r="A1804" t="n">
        <v>106123</v>
      </c>
      <c r="B1804" s="1" t="n">
        <v>45819</v>
      </c>
      <c r="C1804" t="inlineStr">
        <is>
          <t>S02</t>
        </is>
      </c>
      <c r="D1804" t="inlineStr">
        <is>
          <t>P103</t>
        </is>
      </c>
      <c r="E1804" t="n">
        <v>2</v>
      </c>
      <c r="F1804" t="n">
        <v>29</v>
      </c>
      <c r="G1804" t="n">
        <v>0</v>
      </c>
      <c r="H1804">
        <f>E1804*F1804*(1-G1804)</f>
        <v/>
      </c>
      <c r="I1804">
        <f>XLOOKUP(D1804,Products!$A$2:$A$15,Products!$B$2:$B$15,"Not found")</f>
        <v/>
      </c>
    </row>
    <row r="1805">
      <c r="A1805" t="n">
        <v>106124</v>
      </c>
      <c r="B1805" s="1" t="n">
        <v>45819</v>
      </c>
      <c r="C1805" t="inlineStr">
        <is>
          <t>S02</t>
        </is>
      </c>
      <c r="D1805" t="inlineStr">
        <is>
          <t>P201</t>
        </is>
      </c>
      <c r="E1805" t="n">
        <v>1</v>
      </c>
      <c r="F1805" t="n">
        <v>149</v>
      </c>
      <c r="G1805" t="n">
        <v>0</v>
      </c>
      <c r="H1805">
        <f>E1805*F1805*(1-G1805)</f>
        <v/>
      </c>
      <c r="I1805">
        <f>XLOOKUP(D1805,Products!$A$2:$A$15,Products!$B$2:$B$15,"Not found")</f>
        <v/>
      </c>
    </row>
    <row r="1806">
      <c r="A1806" t="n">
        <v>106125</v>
      </c>
      <c r="B1806" s="1" t="n">
        <v>45819</v>
      </c>
      <c r="C1806" t="inlineStr">
        <is>
          <t>S03</t>
        </is>
      </c>
      <c r="D1806" t="inlineStr">
        <is>
          <t>P201</t>
        </is>
      </c>
      <c r="E1806" t="n">
        <v>1</v>
      </c>
      <c r="F1806" t="n">
        <v>149</v>
      </c>
      <c r="G1806" t="n">
        <v>0</v>
      </c>
      <c r="H1806">
        <f>E1806*F1806*(1-G1806)</f>
        <v/>
      </c>
      <c r="I1806">
        <f>XLOOKUP(D1806,Products!$A$2:$A$15,Products!$B$2:$B$15,"Not found")</f>
        <v/>
      </c>
    </row>
    <row r="1807">
      <c r="A1807" t="n">
        <v>106126</v>
      </c>
      <c r="B1807" s="1" t="n">
        <v>45819</v>
      </c>
      <c r="C1807" t="inlineStr">
        <is>
          <t>S04</t>
        </is>
      </c>
      <c r="D1807" t="inlineStr">
        <is>
          <t>P203</t>
        </is>
      </c>
      <c r="E1807" t="n">
        <v>1</v>
      </c>
      <c r="F1807" t="n">
        <v>19.5</v>
      </c>
      <c r="G1807" t="n">
        <v>0.15</v>
      </c>
      <c r="H1807">
        <f>E1807*F1807*(1-G1807)</f>
        <v/>
      </c>
      <c r="I1807">
        <f>XLOOKUP(D1807,Products!$A$2:$A$15,Products!$B$2:$B$15,"Not found")</f>
        <v/>
      </c>
    </row>
    <row r="1808">
      <c r="A1808" t="n">
        <v>106127</v>
      </c>
      <c r="B1808" s="1" t="n">
        <v>45819</v>
      </c>
      <c r="C1808" t="inlineStr">
        <is>
          <t>S04</t>
        </is>
      </c>
      <c r="D1808" t="inlineStr">
        <is>
          <t>P303</t>
        </is>
      </c>
      <c r="E1808" t="n">
        <v>2</v>
      </c>
      <c r="F1808" t="n">
        <v>12</v>
      </c>
      <c r="G1808" t="n">
        <v>0.1</v>
      </c>
      <c r="H1808">
        <f>E1808*F1808*(1-G1808)</f>
        <v/>
      </c>
      <c r="I1808">
        <f>XLOOKUP(D1808,Products!$A$2:$A$15,Products!$B$2:$B$15,"Not found")</f>
        <v/>
      </c>
    </row>
    <row r="1809">
      <c r="A1809" t="n">
        <v>106128</v>
      </c>
      <c r="B1809" s="1" t="n">
        <v>45819</v>
      </c>
      <c r="C1809" t="inlineStr">
        <is>
          <t>S06</t>
        </is>
      </c>
      <c r="D1809" t="inlineStr">
        <is>
          <t>P303</t>
        </is>
      </c>
      <c r="E1809" t="n">
        <v>1</v>
      </c>
      <c r="F1809" t="n">
        <v>12</v>
      </c>
      <c r="G1809" t="n">
        <v>0</v>
      </c>
      <c r="H1809">
        <f>E1809*F1809*(1-G1809)</f>
        <v/>
      </c>
      <c r="I1809">
        <f>XLOOKUP(D1809,Products!$A$2:$A$15,Products!$B$2:$B$15,"Not found")</f>
        <v/>
      </c>
    </row>
    <row r="1810">
      <c r="A1810" t="n">
        <v>106129</v>
      </c>
      <c r="B1810" s="1" t="n">
        <v>45819</v>
      </c>
      <c r="C1810" t="inlineStr">
        <is>
          <t>S06</t>
        </is>
      </c>
      <c r="D1810" t="inlineStr">
        <is>
          <t>P201</t>
        </is>
      </c>
      <c r="E1810" t="n">
        <v>1</v>
      </c>
      <c r="F1810" t="n">
        <v>149</v>
      </c>
      <c r="G1810" t="n">
        <v>0.2</v>
      </c>
      <c r="H1810">
        <f>E1810*F1810*(1-G1810)</f>
        <v/>
      </c>
      <c r="I1810">
        <f>XLOOKUP(D1810,Products!$A$2:$A$15,Products!$B$2:$B$15,"Not found")</f>
        <v/>
      </c>
    </row>
    <row r="1811">
      <c r="A1811" t="n">
        <v>106130</v>
      </c>
      <c r="B1811" s="1" t="n">
        <v>45820</v>
      </c>
      <c r="C1811" t="inlineStr">
        <is>
          <t>S04</t>
        </is>
      </c>
      <c r="D1811" t="inlineStr">
        <is>
          <t>P104</t>
        </is>
      </c>
      <c r="E1811" t="n">
        <v>1</v>
      </c>
      <c r="F1811" t="n">
        <v>189</v>
      </c>
      <c r="G1811" t="n">
        <v>0.1</v>
      </c>
      <c r="H1811">
        <f>E1811*F1811*(1-G1811)</f>
        <v/>
      </c>
      <c r="I1811">
        <f>XLOOKUP(D1811,Products!$A$2:$A$15,Products!$B$2:$B$15,"Not found")</f>
        <v/>
      </c>
    </row>
    <row r="1812">
      <c r="A1812" t="n">
        <v>106131</v>
      </c>
      <c r="B1812" s="1" t="n">
        <v>45820</v>
      </c>
      <c r="C1812" t="inlineStr">
        <is>
          <t>S04</t>
        </is>
      </c>
      <c r="D1812" t="inlineStr">
        <is>
          <t>P303</t>
        </is>
      </c>
      <c r="E1812" t="n">
        <v>1</v>
      </c>
      <c r="F1812" t="n">
        <v>12</v>
      </c>
      <c r="G1812" t="n">
        <v>0.15</v>
      </c>
      <c r="H1812">
        <f>E1812*F1812*(1-G1812)</f>
        <v/>
      </c>
      <c r="I1812">
        <f>XLOOKUP(D1812,Products!$A$2:$A$15,Products!$B$2:$B$15,"Not found")</f>
        <v/>
      </c>
    </row>
    <row r="1813">
      <c r="A1813" t="n">
        <v>106132</v>
      </c>
      <c r="B1813" s="1" t="n">
        <v>45820</v>
      </c>
      <c r="C1813" t="inlineStr">
        <is>
          <t>S04</t>
        </is>
      </c>
      <c r="D1813" t="inlineStr">
        <is>
          <t>P403</t>
        </is>
      </c>
      <c r="E1813" t="n">
        <v>2</v>
      </c>
      <c r="F1813" t="n">
        <v>89</v>
      </c>
      <c r="G1813" t="n">
        <v>0.2</v>
      </c>
      <c r="H1813">
        <f>E1813*F1813*(1-G1813)</f>
        <v/>
      </c>
      <c r="I1813">
        <f>XLOOKUP(D1813,Products!$A$2:$A$15,Products!$B$2:$B$15,"Not found")</f>
        <v/>
      </c>
    </row>
    <row r="1814">
      <c r="A1814" t="n">
        <v>106133</v>
      </c>
      <c r="B1814" s="1" t="n">
        <v>45820</v>
      </c>
      <c r="C1814" t="inlineStr">
        <is>
          <t>S05</t>
        </is>
      </c>
      <c r="D1814" t="inlineStr">
        <is>
          <t>P101</t>
        </is>
      </c>
      <c r="E1814" t="n">
        <v>2</v>
      </c>
      <c r="F1814" t="n">
        <v>39</v>
      </c>
      <c r="G1814" t="n">
        <v>0.1</v>
      </c>
      <c r="H1814">
        <f>E1814*F1814*(1-G1814)</f>
        <v/>
      </c>
      <c r="I1814">
        <f>XLOOKUP(D1814,Products!$A$2:$A$15,Products!$B$2:$B$15,"Not found")</f>
        <v/>
      </c>
    </row>
    <row r="1815">
      <c r="A1815" t="n">
        <v>106134</v>
      </c>
      <c r="B1815" s="1" t="n">
        <v>45820</v>
      </c>
      <c r="C1815" t="inlineStr">
        <is>
          <t>S06</t>
        </is>
      </c>
      <c r="D1815" t="inlineStr">
        <is>
          <t>P102</t>
        </is>
      </c>
      <c r="E1815" t="n">
        <v>2</v>
      </c>
      <c r="F1815" t="n">
        <v>14.5</v>
      </c>
      <c r="G1815" t="n">
        <v>0.2</v>
      </c>
      <c r="H1815">
        <f>E1815*F1815*(1-G1815)</f>
        <v/>
      </c>
      <c r="I1815">
        <f>XLOOKUP(D1815,Products!$A$2:$A$15,Products!$B$2:$B$15,"Not found")</f>
        <v/>
      </c>
    </row>
    <row r="1816">
      <c r="A1816" t="n">
        <v>106135</v>
      </c>
      <c r="B1816" s="1" t="n">
        <v>45821</v>
      </c>
      <c r="C1816" t="inlineStr">
        <is>
          <t>S01</t>
        </is>
      </c>
      <c r="D1816" t="inlineStr">
        <is>
          <t>P303</t>
        </is>
      </c>
      <c r="E1816" t="n">
        <v>3</v>
      </c>
      <c r="F1816" t="n">
        <v>12</v>
      </c>
      <c r="G1816" t="n">
        <v>0</v>
      </c>
      <c r="H1816">
        <f>E1816*F1816*(1-G1816)</f>
        <v/>
      </c>
      <c r="I1816">
        <f>XLOOKUP(D1816,Products!$A$2:$A$15,Products!$B$2:$B$15,"Not found")</f>
        <v/>
      </c>
    </row>
    <row r="1817">
      <c r="A1817" t="n">
        <v>106136</v>
      </c>
      <c r="B1817" s="1" t="n">
        <v>45821</v>
      </c>
      <c r="C1817" t="inlineStr">
        <is>
          <t>S03</t>
        </is>
      </c>
      <c r="D1817" t="inlineStr">
        <is>
          <t>P302</t>
        </is>
      </c>
      <c r="E1817" t="n">
        <v>1</v>
      </c>
      <c r="F1817" t="n">
        <v>24</v>
      </c>
      <c r="G1817" t="n">
        <v>0</v>
      </c>
      <c r="H1817">
        <f>E1817*F1817*(1-G1817)</f>
        <v/>
      </c>
      <c r="I1817">
        <f>XLOOKUP(D1817,Products!$A$2:$A$15,Products!$B$2:$B$15,"Not found")</f>
        <v/>
      </c>
    </row>
    <row r="1818">
      <c r="A1818" t="n">
        <v>106137</v>
      </c>
      <c r="B1818" s="1" t="n">
        <v>45821</v>
      </c>
      <c r="C1818" t="inlineStr">
        <is>
          <t>S04</t>
        </is>
      </c>
      <c r="D1818" t="inlineStr">
        <is>
          <t>P103</t>
        </is>
      </c>
      <c r="E1818" t="n">
        <v>4</v>
      </c>
      <c r="F1818" t="n">
        <v>29</v>
      </c>
      <c r="G1818" t="n">
        <v>0</v>
      </c>
      <c r="H1818">
        <f>E1818*F1818*(1-G1818)</f>
        <v/>
      </c>
      <c r="I1818">
        <f>XLOOKUP(D1818,Products!$A$2:$A$15,Products!$B$2:$B$15,"Not found")</f>
        <v/>
      </c>
    </row>
    <row r="1819">
      <c r="A1819" t="n">
        <v>106138</v>
      </c>
      <c r="B1819" s="1" t="n">
        <v>45822</v>
      </c>
      <c r="C1819" t="inlineStr">
        <is>
          <t>S01</t>
        </is>
      </c>
      <c r="D1819" t="inlineStr">
        <is>
          <t>P101</t>
        </is>
      </c>
      <c r="E1819" t="n">
        <v>3</v>
      </c>
      <c r="F1819" t="n">
        <v>39</v>
      </c>
      <c r="G1819" t="n">
        <v>0.1</v>
      </c>
      <c r="H1819">
        <f>E1819*F1819*(1-G1819)</f>
        <v/>
      </c>
      <c r="I1819">
        <f>XLOOKUP(D1819,Products!$A$2:$A$15,Products!$B$2:$B$15,"Not found")</f>
        <v/>
      </c>
    </row>
    <row r="1820">
      <c r="A1820" t="n">
        <v>106139</v>
      </c>
      <c r="B1820" s="1" t="n">
        <v>45822</v>
      </c>
      <c r="C1820" t="inlineStr">
        <is>
          <t>S01</t>
        </is>
      </c>
      <c r="D1820" t="inlineStr">
        <is>
          <t>P101</t>
        </is>
      </c>
      <c r="E1820" t="n">
        <v>4</v>
      </c>
      <c r="F1820" t="n">
        <v>39</v>
      </c>
      <c r="G1820" t="n">
        <v>0</v>
      </c>
      <c r="H1820">
        <f>E1820*F1820*(1-G1820)</f>
        <v/>
      </c>
      <c r="I1820">
        <f>XLOOKUP(D1820,Products!$A$2:$A$15,Products!$B$2:$B$15,"Not found")</f>
        <v/>
      </c>
    </row>
    <row r="1821">
      <c r="A1821" t="n">
        <v>106140</v>
      </c>
      <c r="B1821" s="1" t="n">
        <v>45822</v>
      </c>
      <c r="C1821" t="inlineStr">
        <is>
          <t>S02</t>
        </is>
      </c>
      <c r="D1821" t="inlineStr">
        <is>
          <t>P402</t>
        </is>
      </c>
      <c r="E1821" t="n">
        <v>1</v>
      </c>
      <c r="F1821" t="n">
        <v>699</v>
      </c>
      <c r="G1821" t="n">
        <v>0.2</v>
      </c>
      <c r="H1821">
        <f>E1821*F1821*(1-G1821)</f>
        <v/>
      </c>
      <c r="I1821">
        <f>XLOOKUP(D1821,Products!$A$2:$A$15,Products!$B$2:$B$15,"Not found")</f>
        <v/>
      </c>
    </row>
    <row r="1822">
      <c r="A1822" t="n">
        <v>106141</v>
      </c>
      <c r="B1822" s="1" t="n">
        <v>45822</v>
      </c>
      <c r="C1822" t="inlineStr">
        <is>
          <t>S02</t>
        </is>
      </c>
      <c r="D1822" t="inlineStr">
        <is>
          <t>P101</t>
        </is>
      </c>
      <c r="E1822" t="n">
        <v>1</v>
      </c>
      <c r="F1822" t="n">
        <v>39</v>
      </c>
      <c r="G1822" t="n">
        <v>0.15</v>
      </c>
      <c r="H1822">
        <f>E1822*F1822*(1-G1822)</f>
        <v/>
      </c>
      <c r="I1822">
        <f>XLOOKUP(D1822,Products!$A$2:$A$15,Products!$B$2:$B$15,"Not found")</f>
        <v/>
      </c>
    </row>
    <row r="1823">
      <c r="A1823" t="n">
        <v>106142</v>
      </c>
      <c r="B1823" s="1" t="n">
        <v>45822</v>
      </c>
      <c r="C1823" t="inlineStr">
        <is>
          <t>S03</t>
        </is>
      </c>
      <c r="D1823" t="inlineStr">
        <is>
          <t>P102</t>
        </is>
      </c>
      <c r="E1823" t="n">
        <v>3</v>
      </c>
      <c r="F1823" t="n">
        <v>14.5</v>
      </c>
      <c r="G1823" t="n">
        <v>0.2</v>
      </c>
      <c r="H1823">
        <f>E1823*F1823*(1-G1823)</f>
        <v/>
      </c>
      <c r="I1823">
        <f>XLOOKUP(D1823,Products!$A$2:$A$15,Products!$B$2:$B$15,"Not found")</f>
        <v/>
      </c>
    </row>
    <row r="1824">
      <c r="A1824" t="n">
        <v>106143</v>
      </c>
      <c r="B1824" s="1" t="n">
        <v>45822</v>
      </c>
      <c r="C1824" t="inlineStr">
        <is>
          <t>S05</t>
        </is>
      </c>
      <c r="D1824" t="inlineStr">
        <is>
          <t>P203</t>
        </is>
      </c>
      <c r="E1824" t="n">
        <v>2</v>
      </c>
      <c r="F1824" t="n">
        <v>19.5</v>
      </c>
      <c r="G1824" t="n">
        <v>0</v>
      </c>
      <c r="H1824">
        <f>E1824*F1824*(1-G1824)</f>
        <v/>
      </c>
      <c r="I1824">
        <f>XLOOKUP(D1824,Products!$A$2:$A$15,Products!$B$2:$B$15,"Not found")</f>
        <v/>
      </c>
    </row>
    <row r="1825">
      <c r="A1825" t="n">
        <v>106144</v>
      </c>
      <c r="B1825" s="1" t="n">
        <v>45822</v>
      </c>
      <c r="C1825" t="inlineStr">
        <is>
          <t>S05</t>
        </is>
      </c>
      <c r="D1825" t="inlineStr">
        <is>
          <t>P302</t>
        </is>
      </c>
      <c r="E1825" t="n">
        <v>4</v>
      </c>
      <c r="F1825" t="n">
        <v>24</v>
      </c>
      <c r="G1825" t="n">
        <v>0.15</v>
      </c>
      <c r="H1825">
        <f>E1825*F1825*(1-G1825)</f>
        <v/>
      </c>
      <c r="I1825">
        <f>XLOOKUP(D1825,Products!$A$2:$A$15,Products!$B$2:$B$15,"Not found")</f>
        <v/>
      </c>
    </row>
    <row r="1826">
      <c r="A1826" t="n">
        <v>106145</v>
      </c>
      <c r="B1826" s="1" t="n">
        <v>45822</v>
      </c>
      <c r="C1826" t="inlineStr">
        <is>
          <t>S06</t>
        </is>
      </c>
      <c r="D1826" t="inlineStr">
        <is>
          <t>P204</t>
        </is>
      </c>
      <c r="E1826" t="n">
        <v>1</v>
      </c>
      <c r="F1826" t="n">
        <v>229</v>
      </c>
      <c r="G1826" t="n">
        <v>0</v>
      </c>
      <c r="H1826">
        <f>E1826*F1826*(1-G1826)</f>
        <v/>
      </c>
      <c r="I1826">
        <f>XLOOKUP(D1826,Products!$A$2:$A$15,Products!$B$2:$B$15,"Not found")</f>
        <v/>
      </c>
    </row>
    <row r="1827">
      <c r="A1827" t="n">
        <v>106146</v>
      </c>
      <c r="B1827" s="1" t="n">
        <v>45822</v>
      </c>
      <c r="C1827" t="inlineStr">
        <is>
          <t>S06</t>
        </is>
      </c>
      <c r="D1827" t="inlineStr">
        <is>
          <t>P301</t>
        </is>
      </c>
      <c r="E1827" t="n">
        <v>1</v>
      </c>
      <c r="F1827" t="n">
        <v>119</v>
      </c>
      <c r="G1827" t="n">
        <v>0.2</v>
      </c>
      <c r="H1827">
        <f>E1827*F1827*(1-G1827)</f>
        <v/>
      </c>
      <c r="I1827">
        <f>XLOOKUP(D1827,Products!$A$2:$A$15,Products!$B$2:$B$15,"Not found")</f>
        <v/>
      </c>
    </row>
    <row r="1828">
      <c r="A1828" t="n">
        <v>106147</v>
      </c>
      <c r="B1828" s="1" t="n">
        <v>45822</v>
      </c>
      <c r="C1828" t="inlineStr">
        <is>
          <t>S06</t>
        </is>
      </c>
      <c r="D1828" t="inlineStr">
        <is>
          <t>P203</t>
        </is>
      </c>
      <c r="E1828" t="n">
        <v>1</v>
      </c>
      <c r="F1828" t="n">
        <v>19.5</v>
      </c>
      <c r="G1828" t="n">
        <v>0.2</v>
      </c>
      <c r="H1828">
        <f>E1828*F1828*(1-G1828)</f>
        <v/>
      </c>
      <c r="I1828">
        <f>XLOOKUP(D1828,Products!$A$2:$A$15,Products!$B$2:$B$15,"Not found")</f>
        <v/>
      </c>
    </row>
    <row r="1829">
      <c r="A1829" t="n">
        <v>106148</v>
      </c>
      <c r="B1829" s="1" t="n">
        <v>45823</v>
      </c>
      <c r="C1829" t="inlineStr">
        <is>
          <t>S02</t>
        </is>
      </c>
      <c r="D1829" t="inlineStr">
        <is>
          <t>P102</t>
        </is>
      </c>
      <c r="E1829" t="n">
        <v>1</v>
      </c>
      <c r="F1829" t="n">
        <v>14.5</v>
      </c>
      <c r="G1829" t="n">
        <v>0</v>
      </c>
      <c r="H1829">
        <f>E1829*F1829*(1-G1829)</f>
        <v/>
      </c>
      <c r="I1829">
        <f>XLOOKUP(D1829,Products!$A$2:$A$15,Products!$B$2:$B$15,"Not found")</f>
        <v/>
      </c>
    </row>
    <row r="1830">
      <c r="A1830" t="n">
        <v>106149</v>
      </c>
      <c r="B1830" s="1" t="n">
        <v>45823</v>
      </c>
      <c r="C1830" t="inlineStr">
        <is>
          <t>S03</t>
        </is>
      </c>
      <c r="D1830" t="inlineStr">
        <is>
          <t>P302</t>
        </is>
      </c>
      <c r="E1830" t="n">
        <v>2</v>
      </c>
      <c r="F1830" t="n">
        <v>24</v>
      </c>
      <c r="G1830" t="n">
        <v>0</v>
      </c>
      <c r="H1830">
        <f>E1830*F1830*(1-G1830)</f>
        <v/>
      </c>
      <c r="I1830">
        <f>XLOOKUP(D1830,Products!$A$2:$A$15,Products!$B$2:$B$15,"Not found")</f>
        <v/>
      </c>
    </row>
    <row r="1831">
      <c r="A1831" t="n">
        <v>106150</v>
      </c>
      <c r="B1831" s="1" t="n">
        <v>45823</v>
      </c>
      <c r="C1831" t="inlineStr">
        <is>
          <t>S03</t>
        </is>
      </c>
      <c r="D1831" t="inlineStr">
        <is>
          <t>P203</t>
        </is>
      </c>
      <c r="E1831" t="n">
        <v>1</v>
      </c>
      <c r="F1831" t="n">
        <v>19.5</v>
      </c>
      <c r="G1831" t="n">
        <v>0</v>
      </c>
      <c r="H1831">
        <f>E1831*F1831*(1-G1831)</f>
        <v/>
      </c>
      <c r="I1831">
        <f>XLOOKUP(D1831,Products!$A$2:$A$15,Products!$B$2:$B$15,"Not found")</f>
        <v/>
      </c>
    </row>
    <row r="1832">
      <c r="A1832" t="n">
        <v>106151</v>
      </c>
      <c r="B1832" s="1" t="n">
        <v>45823</v>
      </c>
      <c r="C1832" t="inlineStr">
        <is>
          <t>S04</t>
        </is>
      </c>
      <c r="D1832" t="inlineStr">
        <is>
          <t>P203</t>
        </is>
      </c>
      <c r="E1832" t="n">
        <v>2</v>
      </c>
      <c r="F1832" t="n">
        <v>19.5</v>
      </c>
      <c r="G1832" t="n">
        <v>0</v>
      </c>
      <c r="H1832">
        <f>E1832*F1832*(1-G1832)</f>
        <v/>
      </c>
      <c r="I1832">
        <f>XLOOKUP(D1832,Products!$A$2:$A$15,Products!$B$2:$B$15,"Not found")</f>
        <v/>
      </c>
    </row>
    <row r="1833">
      <c r="A1833" t="n">
        <v>106152</v>
      </c>
      <c r="B1833" s="1" t="n">
        <v>45823</v>
      </c>
      <c r="C1833" t="inlineStr">
        <is>
          <t>S05</t>
        </is>
      </c>
      <c r="D1833" t="inlineStr">
        <is>
          <t>P402</t>
        </is>
      </c>
      <c r="E1833" t="n">
        <v>1</v>
      </c>
      <c r="F1833" t="n">
        <v>699</v>
      </c>
      <c r="G1833" t="n">
        <v>0.2</v>
      </c>
      <c r="H1833">
        <f>E1833*F1833*(1-G1833)</f>
        <v/>
      </c>
      <c r="I1833">
        <f>XLOOKUP(D1833,Products!$A$2:$A$15,Products!$B$2:$B$15,"Not found")</f>
        <v/>
      </c>
    </row>
    <row r="1834">
      <c r="A1834" t="n">
        <v>106153</v>
      </c>
      <c r="B1834" s="1" t="n">
        <v>45823</v>
      </c>
      <c r="C1834" t="inlineStr">
        <is>
          <t>S05</t>
        </is>
      </c>
      <c r="D1834" t="inlineStr">
        <is>
          <t>P102</t>
        </is>
      </c>
      <c r="E1834" t="n">
        <v>4</v>
      </c>
      <c r="F1834" t="n">
        <v>14.5</v>
      </c>
      <c r="G1834" t="n">
        <v>0</v>
      </c>
      <c r="H1834">
        <f>E1834*F1834*(1-G1834)</f>
        <v/>
      </c>
      <c r="I1834">
        <f>XLOOKUP(D1834,Products!$A$2:$A$15,Products!$B$2:$B$15,"Not found")</f>
        <v/>
      </c>
    </row>
    <row r="1835">
      <c r="A1835" t="n">
        <v>106154</v>
      </c>
      <c r="B1835" s="1" t="n">
        <v>45824</v>
      </c>
      <c r="C1835" t="inlineStr">
        <is>
          <t>S01</t>
        </is>
      </c>
      <c r="D1835" t="inlineStr">
        <is>
          <t>P302</t>
        </is>
      </c>
      <c r="E1835" t="n">
        <v>1</v>
      </c>
      <c r="F1835" t="n">
        <v>24</v>
      </c>
      <c r="G1835" t="n">
        <v>0</v>
      </c>
      <c r="H1835">
        <f>E1835*F1835*(1-G1835)</f>
        <v/>
      </c>
      <c r="I1835">
        <f>XLOOKUP(D1835,Products!$A$2:$A$15,Products!$B$2:$B$15,"Not found")</f>
        <v/>
      </c>
    </row>
    <row r="1836">
      <c r="A1836" t="n">
        <v>106155</v>
      </c>
      <c r="B1836" s="1" t="n">
        <v>45824</v>
      </c>
      <c r="C1836" t="inlineStr">
        <is>
          <t>S01</t>
        </is>
      </c>
      <c r="D1836" t="inlineStr">
        <is>
          <t>P203</t>
        </is>
      </c>
      <c r="E1836" t="n">
        <v>2</v>
      </c>
      <c r="F1836" t="n">
        <v>19.5</v>
      </c>
      <c r="G1836" t="n">
        <v>0</v>
      </c>
      <c r="H1836">
        <f>E1836*F1836*(1-G1836)</f>
        <v/>
      </c>
      <c r="I1836">
        <f>XLOOKUP(D1836,Products!$A$2:$A$15,Products!$B$2:$B$15,"Not found")</f>
        <v/>
      </c>
    </row>
    <row r="1837">
      <c r="A1837" t="n">
        <v>106156</v>
      </c>
      <c r="B1837" s="1" t="n">
        <v>45824</v>
      </c>
      <c r="C1837" t="inlineStr">
        <is>
          <t>S02</t>
        </is>
      </c>
      <c r="D1837" t="inlineStr">
        <is>
          <t>P102</t>
        </is>
      </c>
      <c r="E1837" t="n">
        <v>2</v>
      </c>
      <c r="F1837" t="n">
        <v>14.5</v>
      </c>
      <c r="G1837" t="n">
        <v>0</v>
      </c>
      <c r="H1837">
        <f>E1837*F1837*(1-G1837)</f>
        <v/>
      </c>
      <c r="I1837">
        <f>XLOOKUP(D1837,Products!$A$2:$A$15,Products!$B$2:$B$15,"Not found")</f>
        <v/>
      </c>
    </row>
    <row r="1838">
      <c r="A1838" t="n">
        <v>106157</v>
      </c>
      <c r="B1838" s="1" t="n">
        <v>45824</v>
      </c>
      <c r="C1838" t="inlineStr">
        <is>
          <t>S02</t>
        </is>
      </c>
      <c r="D1838" t="inlineStr">
        <is>
          <t>P202</t>
        </is>
      </c>
      <c r="E1838" t="n">
        <v>4</v>
      </c>
      <c r="F1838" t="n">
        <v>79</v>
      </c>
      <c r="G1838" t="n">
        <v>0</v>
      </c>
      <c r="H1838">
        <f>E1838*F1838*(1-G1838)</f>
        <v/>
      </c>
      <c r="I1838">
        <f>XLOOKUP(D1838,Products!$A$2:$A$15,Products!$B$2:$B$15,"Not found")</f>
        <v/>
      </c>
    </row>
    <row r="1839">
      <c r="A1839" t="n">
        <v>106158</v>
      </c>
      <c r="B1839" s="1" t="n">
        <v>45824</v>
      </c>
      <c r="C1839" t="inlineStr">
        <is>
          <t>S03</t>
        </is>
      </c>
      <c r="D1839" t="inlineStr">
        <is>
          <t>P101</t>
        </is>
      </c>
      <c r="E1839" t="n">
        <v>2</v>
      </c>
      <c r="F1839" t="n">
        <v>39</v>
      </c>
      <c r="G1839" t="n">
        <v>0.2</v>
      </c>
      <c r="H1839">
        <f>E1839*F1839*(1-G1839)</f>
        <v/>
      </c>
      <c r="I1839">
        <f>XLOOKUP(D1839,Products!$A$2:$A$15,Products!$B$2:$B$15,"Not found")</f>
        <v/>
      </c>
    </row>
    <row r="1840">
      <c r="A1840" t="n">
        <v>106159</v>
      </c>
      <c r="B1840" s="1" t="n">
        <v>45824</v>
      </c>
      <c r="C1840" t="inlineStr">
        <is>
          <t>S04</t>
        </is>
      </c>
      <c r="D1840" t="inlineStr">
        <is>
          <t>P301</t>
        </is>
      </c>
      <c r="E1840" t="n">
        <v>1</v>
      </c>
      <c r="F1840" t="n">
        <v>119</v>
      </c>
      <c r="G1840" t="n">
        <v>0.1</v>
      </c>
      <c r="H1840">
        <f>E1840*F1840*(1-G1840)</f>
        <v/>
      </c>
      <c r="I1840">
        <f>XLOOKUP(D1840,Products!$A$2:$A$15,Products!$B$2:$B$15,"Not found")</f>
        <v/>
      </c>
    </row>
    <row r="1841">
      <c r="A1841" t="n">
        <v>106160</v>
      </c>
      <c r="B1841" s="1" t="n">
        <v>45824</v>
      </c>
      <c r="C1841" t="inlineStr">
        <is>
          <t>S04</t>
        </is>
      </c>
      <c r="D1841" t="inlineStr">
        <is>
          <t>P301</t>
        </is>
      </c>
      <c r="E1841" t="n">
        <v>1</v>
      </c>
      <c r="F1841" t="n">
        <v>119</v>
      </c>
      <c r="G1841" t="n">
        <v>0</v>
      </c>
      <c r="H1841">
        <f>E1841*F1841*(1-G1841)</f>
        <v/>
      </c>
      <c r="I1841">
        <f>XLOOKUP(D1841,Products!$A$2:$A$15,Products!$B$2:$B$15,"Not found")</f>
        <v/>
      </c>
    </row>
    <row r="1842">
      <c r="A1842" t="n">
        <v>106161</v>
      </c>
      <c r="B1842" s="1" t="n">
        <v>45824</v>
      </c>
      <c r="C1842" t="inlineStr">
        <is>
          <t>S04</t>
        </is>
      </c>
      <c r="D1842" t="inlineStr">
        <is>
          <t>P103</t>
        </is>
      </c>
      <c r="E1842" t="n">
        <v>2</v>
      </c>
      <c r="F1842" t="n">
        <v>29</v>
      </c>
      <c r="G1842" t="n">
        <v>0.1</v>
      </c>
      <c r="H1842">
        <f>E1842*F1842*(1-G1842)</f>
        <v/>
      </c>
      <c r="I1842">
        <f>XLOOKUP(D1842,Products!$A$2:$A$15,Products!$B$2:$B$15,"Not found")</f>
        <v/>
      </c>
    </row>
    <row r="1843">
      <c r="A1843" t="n">
        <v>106162</v>
      </c>
      <c r="B1843" s="1" t="n">
        <v>45824</v>
      </c>
      <c r="C1843" t="inlineStr">
        <is>
          <t>S04</t>
        </is>
      </c>
      <c r="D1843" t="inlineStr">
        <is>
          <t>P103</t>
        </is>
      </c>
      <c r="E1843" t="n">
        <v>2</v>
      </c>
      <c r="F1843" t="n">
        <v>29</v>
      </c>
      <c r="G1843" t="n">
        <v>0</v>
      </c>
      <c r="H1843">
        <f>E1843*F1843*(1-G1843)</f>
        <v/>
      </c>
      <c r="I1843">
        <f>XLOOKUP(D1843,Products!$A$2:$A$15,Products!$B$2:$B$15,"Not found")</f>
        <v/>
      </c>
    </row>
    <row r="1844">
      <c r="A1844" t="n">
        <v>106163</v>
      </c>
      <c r="B1844" s="1" t="n">
        <v>45824</v>
      </c>
      <c r="C1844" t="inlineStr">
        <is>
          <t>S04</t>
        </is>
      </c>
      <c r="D1844" t="inlineStr">
        <is>
          <t>P102</t>
        </is>
      </c>
      <c r="E1844" t="n">
        <v>3</v>
      </c>
      <c r="F1844" t="n">
        <v>14.5</v>
      </c>
      <c r="G1844" t="n">
        <v>0</v>
      </c>
      <c r="H1844">
        <f>E1844*F1844*(1-G1844)</f>
        <v/>
      </c>
      <c r="I1844">
        <f>XLOOKUP(D1844,Products!$A$2:$A$15,Products!$B$2:$B$15,"Not found")</f>
        <v/>
      </c>
    </row>
    <row r="1845">
      <c r="A1845" t="n">
        <v>106164</v>
      </c>
      <c r="B1845" s="1" t="n">
        <v>45825</v>
      </c>
      <c r="C1845" t="inlineStr">
        <is>
          <t>S01</t>
        </is>
      </c>
      <c r="D1845" t="inlineStr">
        <is>
          <t>P102</t>
        </is>
      </c>
      <c r="E1845" t="n">
        <v>3</v>
      </c>
      <c r="F1845" t="n">
        <v>14.5</v>
      </c>
      <c r="G1845" t="n">
        <v>0.1</v>
      </c>
      <c r="H1845">
        <f>E1845*F1845*(1-G1845)</f>
        <v/>
      </c>
      <c r="I1845">
        <f>XLOOKUP(D1845,Products!$A$2:$A$15,Products!$B$2:$B$15,"Not found")</f>
        <v/>
      </c>
    </row>
    <row r="1846">
      <c r="A1846" t="n">
        <v>106165</v>
      </c>
      <c r="B1846" s="1" t="n">
        <v>45825</v>
      </c>
      <c r="C1846" t="inlineStr">
        <is>
          <t>S02</t>
        </is>
      </c>
      <c r="D1846" t="inlineStr">
        <is>
          <t>P101</t>
        </is>
      </c>
      <c r="E1846" t="n">
        <v>4</v>
      </c>
      <c r="F1846" t="n">
        <v>39</v>
      </c>
      <c r="G1846" t="n">
        <v>0</v>
      </c>
      <c r="H1846">
        <f>E1846*F1846*(1-G1846)</f>
        <v/>
      </c>
      <c r="I1846">
        <f>XLOOKUP(D1846,Products!$A$2:$A$15,Products!$B$2:$B$15,"Not found")</f>
        <v/>
      </c>
    </row>
    <row r="1847">
      <c r="A1847" t="n">
        <v>106166</v>
      </c>
      <c r="B1847" s="1" t="n">
        <v>45825</v>
      </c>
      <c r="C1847" t="inlineStr">
        <is>
          <t>S02</t>
        </is>
      </c>
      <c r="D1847" t="inlineStr">
        <is>
          <t>P203</t>
        </is>
      </c>
      <c r="E1847" t="n">
        <v>2</v>
      </c>
      <c r="F1847" t="n">
        <v>19.5</v>
      </c>
      <c r="G1847" t="n">
        <v>0</v>
      </c>
      <c r="H1847">
        <f>E1847*F1847*(1-G1847)</f>
        <v/>
      </c>
      <c r="I1847">
        <f>XLOOKUP(D1847,Products!$A$2:$A$15,Products!$B$2:$B$15,"Not found")</f>
        <v/>
      </c>
    </row>
    <row r="1848">
      <c r="A1848" t="n">
        <v>106167</v>
      </c>
      <c r="B1848" s="1" t="n">
        <v>45825</v>
      </c>
      <c r="C1848" t="inlineStr">
        <is>
          <t>S04</t>
        </is>
      </c>
      <c r="D1848" t="inlineStr">
        <is>
          <t>P403</t>
        </is>
      </c>
      <c r="E1848" t="n">
        <v>2</v>
      </c>
      <c r="F1848" t="n">
        <v>89</v>
      </c>
      <c r="G1848" t="n">
        <v>0.2</v>
      </c>
      <c r="H1848">
        <f>E1848*F1848*(1-G1848)</f>
        <v/>
      </c>
      <c r="I1848">
        <f>XLOOKUP(D1848,Products!$A$2:$A$15,Products!$B$2:$B$15,"Not found")</f>
        <v/>
      </c>
    </row>
    <row r="1849">
      <c r="A1849" t="n">
        <v>106168</v>
      </c>
      <c r="B1849" s="1" t="n">
        <v>45825</v>
      </c>
      <c r="C1849" t="inlineStr">
        <is>
          <t>S05</t>
        </is>
      </c>
      <c r="D1849" t="inlineStr">
        <is>
          <t>P201</t>
        </is>
      </c>
      <c r="E1849" t="n">
        <v>1</v>
      </c>
      <c r="F1849" t="n">
        <v>149</v>
      </c>
      <c r="G1849" t="n">
        <v>0.15</v>
      </c>
      <c r="H1849">
        <f>E1849*F1849*(1-G1849)</f>
        <v/>
      </c>
      <c r="I1849">
        <f>XLOOKUP(D1849,Products!$A$2:$A$15,Products!$B$2:$B$15,"Not found")</f>
        <v/>
      </c>
    </row>
    <row r="1850">
      <c r="A1850" t="n">
        <v>106169</v>
      </c>
      <c r="B1850" s="1" t="n">
        <v>45826</v>
      </c>
      <c r="C1850" t="inlineStr">
        <is>
          <t>S01</t>
        </is>
      </c>
      <c r="D1850" t="inlineStr">
        <is>
          <t>P102</t>
        </is>
      </c>
      <c r="E1850" t="n">
        <v>2</v>
      </c>
      <c r="F1850" t="n">
        <v>14.5</v>
      </c>
      <c r="G1850" t="n">
        <v>0.2</v>
      </c>
      <c r="H1850">
        <f>E1850*F1850*(1-G1850)</f>
        <v/>
      </c>
      <c r="I1850">
        <f>XLOOKUP(D1850,Products!$A$2:$A$15,Products!$B$2:$B$15,"Not found")</f>
        <v/>
      </c>
    </row>
    <row r="1851">
      <c r="A1851" t="n">
        <v>106170</v>
      </c>
      <c r="B1851" s="1" t="n">
        <v>45826</v>
      </c>
      <c r="C1851" t="inlineStr">
        <is>
          <t>S01</t>
        </is>
      </c>
      <c r="D1851" t="inlineStr">
        <is>
          <t>P102</t>
        </is>
      </c>
      <c r="E1851" t="n">
        <v>4</v>
      </c>
      <c r="F1851" t="n">
        <v>14.5</v>
      </c>
      <c r="G1851" t="n">
        <v>0.15</v>
      </c>
      <c r="H1851">
        <f>E1851*F1851*(1-G1851)</f>
        <v/>
      </c>
      <c r="I1851">
        <f>XLOOKUP(D1851,Products!$A$2:$A$15,Products!$B$2:$B$15,"Not found")</f>
        <v/>
      </c>
    </row>
    <row r="1852">
      <c r="A1852" t="n">
        <v>106171</v>
      </c>
      <c r="B1852" s="1" t="n">
        <v>45826</v>
      </c>
      <c r="C1852" t="inlineStr">
        <is>
          <t>S01</t>
        </is>
      </c>
      <c r="D1852" t="inlineStr">
        <is>
          <t>P203</t>
        </is>
      </c>
      <c r="E1852" t="n">
        <v>2</v>
      </c>
      <c r="F1852" t="n">
        <v>19.5</v>
      </c>
      <c r="G1852" t="n">
        <v>0</v>
      </c>
      <c r="H1852">
        <f>E1852*F1852*(1-G1852)</f>
        <v/>
      </c>
      <c r="I1852">
        <f>XLOOKUP(D1852,Products!$A$2:$A$15,Products!$B$2:$B$15,"Not found")</f>
        <v/>
      </c>
    </row>
    <row r="1853">
      <c r="A1853" t="n">
        <v>106172</v>
      </c>
      <c r="B1853" s="1" t="n">
        <v>45826</v>
      </c>
      <c r="C1853" t="inlineStr">
        <is>
          <t>S02</t>
        </is>
      </c>
      <c r="D1853" t="inlineStr">
        <is>
          <t>P101</t>
        </is>
      </c>
      <c r="E1853" t="n">
        <v>1</v>
      </c>
      <c r="F1853" t="n">
        <v>39</v>
      </c>
      <c r="G1853" t="n">
        <v>0</v>
      </c>
      <c r="H1853">
        <f>E1853*F1853*(1-G1853)</f>
        <v/>
      </c>
      <c r="I1853">
        <f>XLOOKUP(D1853,Products!$A$2:$A$15,Products!$B$2:$B$15,"Not found")</f>
        <v/>
      </c>
    </row>
    <row r="1854">
      <c r="A1854" t="n">
        <v>106173</v>
      </c>
      <c r="B1854" s="1" t="n">
        <v>45826</v>
      </c>
      <c r="C1854" t="inlineStr">
        <is>
          <t>S02</t>
        </is>
      </c>
      <c r="D1854" t="inlineStr">
        <is>
          <t>P102</t>
        </is>
      </c>
      <c r="E1854" t="n">
        <v>3</v>
      </c>
      <c r="F1854" t="n">
        <v>14.5</v>
      </c>
      <c r="G1854" t="n">
        <v>0.1</v>
      </c>
      <c r="H1854">
        <f>E1854*F1854*(1-G1854)</f>
        <v/>
      </c>
      <c r="I1854">
        <f>XLOOKUP(D1854,Products!$A$2:$A$15,Products!$B$2:$B$15,"Not found")</f>
        <v/>
      </c>
    </row>
    <row r="1855">
      <c r="A1855" t="n">
        <v>106174</v>
      </c>
      <c r="B1855" s="1" t="n">
        <v>45826</v>
      </c>
      <c r="C1855" t="inlineStr">
        <is>
          <t>S04</t>
        </is>
      </c>
      <c r="D1855" t="inlineStr">
        <is>
          <t>P303</t>
        </is>
      </c>
      <c r="E1855" t="n">
        <v>1</v>
      </c>
      <c r="F1855" t="n">
        <v>12</v>
      </c>
      <c r="G1855" t="n">
        <v>0.2</v>
      </c>
      <c r="H1855">
        <f>E1855*F1855*(1-G1855)</f>
        <v/>
      </c>
      <c r="I1855">
        <f>XLOOKUP(D1855,Products!$A$2:$A$15,Products!$B$2:$B$15,"Not found")</f>
        <v/>
      </c>
    </row>
    <row r="1856">
      <c r="A1856" t="n">
        <v>106175</v>
      </c>
      <c r="B1856" s="1" t="n">
        <v>45826</v>
      </c>
      <c r="C1856" t="inlineStr">
        <is>
          <t>S04</t>
        </is>
      </c>
      <c r="D1856" t="inlineStr">
        <is>
          <t>P202</t>
        </is>
      </c>
      <c r="E1856" t="n">
        <v>2</v>
      </c>
      <c r="F1856" t="n">
        <v>79</v>
      </c>
      <c r="G1856" t="n">
        <v>0.1</v>
      </c>
      <c r="H1856">
        <f>E1856*F1856*(1-G1856)</f>
        <v/>
      </c>
      <c r="I1856">
        <f>XLOOKUP(D1856,Products!$A$2:$A$15,Products!$B$2:$B$15,"Not found")</f>
        <v/>
      </c>
    </row>
    <row r="1857">
      <c r="A1857" t="n">
        <v>106176</v>
      </c>
      <c r="B1857" s="1" t="n">
        <v>45826</v>
      </c>
      <c r="C1857" t="inlineStr">
        <is>
          <t>S04</t>
        </is>
      </c>
      <c r="D1857" t="inlineStr">
        <is>
          <t>P302</t>
        </is>
      </c>
      <c r="E1857" t="n">
        <v>1</v>
      </c>
      <c r="F1857" t="n">
        <v>24</v>
      </c>
      <c r="G1857" t="n">
        <v>0</v>
      </c>
      <c r="H1857">
        <f>E1857*F1857*(1-G1857)</f>
        <v/>
      </c>
      <c r="I1857">
        <f>XLOOKUP(D1857,Products!$A$2:$A$15,Products!$B$2:$B$15,"Not found")</f>
        <v/>
      </c>
    </row>
    <row r="1858">
      <c r="A1858" t="n">
        <v>106177</v>
      </c>
      <c r="B1858" s="1" t="n">
        <v>45826</v>
      </c>
      <c r="C1858" t="inlineStr">
        <is>
          <t>S04</t>
        </is>
      </c>
      <c r="D1858" t="inlineStr">
        <is>
          <t>P101</t>
        </is>
      </c>
      <c r="E1858" t="n">
        <v>1</v>
      </c>
      <c r="F1858" t="n">
        <v>39</v>
      </c>
      <c r="G1858" t="n">
        <v>0.2</v>
      </c>
      <c r="H1858">
        <f>E1858*F1858*(1-G1858)</f>
        <v/>
      </c>
      <c r="I1858">
        <f>XLOOKUP(D1858,Products!$A$2:$A$15,Products!$B$2:$B$15,"Not found")</f>
        <v/>
      </c>
    </row>
    <row r="1859">
      <c r="A1859" t="n">
        <v>106178</v>
      </c>
      <c r="B1859" s="1" t="n">
        <v>45826</v>
      </c>
      <c r="C1859" t="inlineStr">
        <is>
          <t>S05</t>
        </is>
      </c>
      <c r="D1859" t="inlineStr">
        <is>
          <t>P103</t>
        </is>
      </c>
      <c r="E1859" t="n">
        <v>1</v>
      </c>
      <c r="F1859" t="n">
        <v>29</v>
      </c>
      <c r="G1859" t="n">
        <v>0.15</v>
      </c>
      <c r="H1859">
        <f>E1859*F1859*(1-G1859)</f>
        <v/>
      </c>
      <c r="I1859">
        <f>XLOOKUP(D1859,Products!$A$2:$A$15,Products!$B$2:$B$15,"Not found")</f>
        <v/>
      </c>
    </row>
    <row r="1860">
      <c r="A1860" t="n">
        <v>106179</v>
      </c>
      <c r="B1860" s="1" t="n">
        <v>45826</v>
      </c>
      <c r="C1860" t="inlineStr">
        <is>
          <t>S05</t>
        </is>
      </c>
      <c r="D1860" t="inlineStr">
        <is>
          <t>P303</t>
        </is>
      </c>
      <c r="E1860" t="n">
        <v>1</v>
      </c>
      <c r="F1860" t="n">
        <v>12</v>
      </c>
      <c r="G1860" t="n">
        <v>0</v>
      </c>
      <c r="H1860">
        <f>E1860*F1860*(1-G1860)</f>
        <v/>
      </c>
      <c r="I1860">
        <f>XLOOKUP(D1860,Products!$A$2:$A$15,Products!$B$2:$B$15,"Not found")</f>
        <v/>
      </c>
    </row>
    <row r="1861">
      <c r="A1861" t="n">
        <v>106180</v>
      </c>
      <c r="B1861" s="1" t="n">
        <v>45827</v>
      </c>
      <c r="C1861" t="inlineStr">
        <is>
          <t>S01</t>
        </is>
      </c>
      <c r="D1861" t="inlineStr">
        <is>
          <t>P101</t>
        </is>
      </c>
      <c r="E1861" t="n">
        <v>1</v>
      </c>
      <c r="F1861" t="n">
        <v>39</v>
      </c>
      <c r="G1861" t="n">
        <v>0</v>
      </c>
      <c r="H1861">
        <f>E1861*F1861*(1-G1861)</f>
        <v/>
      </c>
      <c r="I1861">
        <f>XLOOKUP(D1861,Products!$A$2:$A$15,Products!$B$2:$B$15,"Not found")</f>
        <v/>
      </c>
    </row>
    <row r="1862">
      <c r="A1862" t="n">
        <v>106181</v>
      </c>
      <c r="B1862" s="1" t="n">
        <v>45827</v>
      </c>
      <c r="C1862" t="inlineStr">
        <is>
          <t>S03</t>
        </is>
      </c>
      <c r="D1862" t="inlineStr">
        <is>
          <t>P302</t>
        </is>
      </c>
      <c r="E1862" t="n">
        <v>1</v>
      </c>
      <c r="F1862" t="n">
        <v>24</v>
      </c>
      <c r="G1862" t="n">
        <v>0</v>
      </c>
      <c r="H1862">
        <f>E1862*F1862*(1-G1862)</f>
        <v/>
      </c>
      <c r="I1862">
        <f>XLOOKUP(D1862,Products!$A$2:$A$15,Products!$B$2:$B$15,"Not found")</f>
        <v/>
      </c>
    </row>
    <row r="1863">
      <c r="A1863" t="n">
        <v>106182</v>
      </c>
      <c r="B1863" s="1" t="n">
        <v>45827</v>
      </c>
      <c r="C1863" t="inlineStr">
        <is>
          <t>S04</t>
        </is>
      </c>
      <c r="D1863" t="inlineStr">
        <is>
          <t>P303</t>
        </is>
      </c>
      <c r="E1863" t="n">
        <v>2</v>
      </c>
      <c r="F1863" t="n">
        <v>12</v>
      </c>
      <c r="G1863" t="n">
        <v>0</v>
      </c>
      <c r="H1863">
        <f>E1863*F1863*(1-G1863)</f>
        <v/>
      </c>
      <c r="I1863">
        <f>XLOOKUP(D1863,Products!$A$2:$A$15,Products!$B$2:$B$15,"Not found")</f>
        <v/>
      </c>
    </row>
    <row r="1864">
      <c r="A1864" t="n">
        <v>106183</v>
      </c>
      <c r="B1864" s="1" t="n">
        <v>45827</v>
      </c>
      <c r="C1864" t="inlineStr">
        <is>
          <t>S05</t>
        </is>
      </c>
      <c r="D1864" t="inlineStr">
        <is>
          <t>P102</t>
        </is>
      </c>
      <c r="E1864" t="n">
        <v>1</v>
      </c>
      <c r="F1864" t="n">
        <v>14.5</v>
      </c>
      <c r="G1864" t="n">
        <v>0</v>
      </c>
      <c r="H1864">
        <f>E1864*F1864*(1-G1864)</f>
        <v/>
      </c>
      <c r="I1864">
        <f>XLOOKUP(D1864,Products!$A$2:$A$15,Products!$B$2:$B$15,"Not found")</f>
        <v/>
      </c>
    </row>
    <row r="1865">
      <c r="A1865" t="n">
        <v>106184</v>
      </c>
      <c r="B1865" s="1" t="n">
        <v>45828</v>
      </c>
      <c r="C1865" t="inlineStr">
        <is>
          <t>S01</t>
        </is>
      </c>
      <c r="D1865" t="inlineStr">
        <is>
          <t>P104</t>
        </is>
      </c>
      <c r="E1865" t="n">
        <v>1</v>
      </c>
      <c r="F1865" t="n">
        <v>189</v>
      </c>
      <c r="G1865" t="n">
        <v>0.2</v>
      </c>
      <c r="H1865">
        <f>E1865*F1865*(1-G1865)</f>
        <v/>
      </c>
      <c r="I1865">
        <f>XLOOKUP(D1865,Products!$A$2:$A$15,Products!$B$2:$B$15,"Not found")</f>
        <v/>
      </c>
    </row>
    <row r="1866">
      <c r="A1866" t="n">
        <v>106185</v>
      </c>
      <c r="B1866" s="1" t="n">
        <v>45828</v>
      </c>
      <c r="C1866" t="inlineStr">
        <is>
          <t>S02</t>
        </is>
      </c>
      <c r="D1866" t="inlineStr">
        <is>
          <t>P101</t>
        </is>
      </c>
      <c r="E1866" t="n">
        <v>1</v>
      </c>
      <c r="F1866" t="n">
        <v>39</v>
      </c>
      <c r="G1866" t="n">
        <v>0</v>
      </c>
      <c r="H1866">
        <f>E1866*F1866*(1-G1866)</f>
        <v/>
      </c>
      <c r="I1866">
        <f>XLOOKUP(D1866,Products!$A$2:$A$15,Products!$B$2:$B$15,"Not found")</f>
        <v/>
      </c>
    </row>
    <row r="1867">
      <c r="A1867" t="n">
        <v>106186</v>
      </c>
      <c r="B1867" s="1" t="n">
        <v>45828</v>
      </c>
      <c r="C1867" t="inlineStr">
        <is>
          <t>S03</t>
        </is>
      </c>
      <c r="D1867" t="inlineStr">
        <is>
          <t>P104</t>
        </is>
      </c>
      <c r="E1867" t="n">
        <v>1</v>
      </c>
      <c r="F1867" t="n">
        <v>189</v>
      </c>
      <c r="G1867" t="n">
        <v>0.15</v>
      </c>
      <c r="H1867">
        <f>E1867*F1867*(1-G1867)</f>
        <v/>
      </c>
      <c r="I1867">
        <f>XLOOKUP(D1867,Products!$A$2:$A$15,Products!$B$2:$B$15,"Not found")</f>
        <v/>
      </c>
    </row>
    <row r="1868">
      <c r="A1868" t="n">
        <v>106187</v>
      </c>
      <c r="B1868" s="1" t="n">
        <v>45828</v>
      </c>
      <c r="C1868" t="inlineStr">
        <is>
          <t>S06</t>
        </is>
      </c>
      <c r="D1868" t="inlineStr">
        <is>
          <t>P303</t>
        </is>
      </c>
      <c r="E1868" t="n">
        <v>3</v>
      </c>
      <c r="F1868" t="n">
        <v>12</v>
      </c>
      <c r="G1868" t="n">
        <v>0</v>
      </c>
      <c r="H1868">
        <f>E1868*F1868*(1-G1868)</f>
        <v/>
      </c>
      <c r="I1868">
        <f>XLOOKUP(D1868,Products!$A$2:$A$15,Products!$B$2:$B$15,"Not found")</f>
        <v/>
      </c>
    </row>
    <row r="1869">
      <c r="A1869" t="n">
        <v>106188</v>
      </c>
      <c r="B1869" s="1" t="n">
        <v>45829</v>
      </c>
      <c r="C1869" t="inlineStr">
        <is>
          <t>S01</t>
        </is>
      </c>
      <c r="D1869" t="inlineStr">
        <is>
          <t>P303</t>
        </is>
      </c>
      <c r="E1869" t="n">
        <v>3</v>
      </c>
      <c r="F1869" t="n">
        <v>12</v>
      </c>
      <c r="G1869" t="n">
        <v>0</v>
      </c>
      <c r="H1869">
        <f>E1869*F1869*(1-G1869)</f>
        <v/>
      </c>
      <c r="I1869">
        <f>XLOOKUP(D1869,Products!$A$2:$A$15,Products!$B$2:$B$15,"Not found")</f>
        <v/>
      </c>
    </row>
    <row r="1870">
      <c r="A1870" t="n">
        <v>106189</v>
      </c>
      <c r="B1870" s="1" t="n">
        <v>45829</v>
      </c>
      <c r="C1870" t="inlineStr">
        <is>
          <t>S02</t>
        </is>
      </c>
      <c r="D1870" t="inlineStr">
        <is>
          <t>P103</t>
        </is>
      </c>
      <c r="E1870" t="n">
        <v>2</v>
      </c>
      <c r="F1870" t="n">
        <v>29</v>
      </c>
      <c r="G1870" t="n">
        <v>0.1</v>
      </c>
      <c r="H1870">
        <f>E1870*F1870*(1-G1870)</f>
        <v/>
      </c>
      <c r="I1870">
        <f>XLOOKUP(D1870,Products!$A$2:$A$15,Products!$B$2:$B$15,"Not found")</f>
        <v/>
      </c>
    </row>
    <row r="1871">
      <c r="A1871" t="n">
        <v>106190</v>
      </c>
      <c r="B1871" s="1" t="n">
        <v>45829</v>
      </c>
      <c r="C1871" t="inlineStr">
        <is>
          <t>S02</t>
        </is>
      </c>
      <c r="D1871" t="inlineStr">
        <is>
          <t>P201</t>
        </is>
      </c>
      <c r="E1871" t="n">
        <v>1</v>
      </c>
      <c r="F1871" t="n">
        <v>149</v>
      </c>
      <c r="G1871" t="n">
        <v>0.15</v>
      </c>
      <c r="H1871">
        <f>E1871*F1871*(1-G1871)</f>
        <v/>
      </c>
      <c r="I1871">
        <f>XLOOKUP(D1871,Products!$A$2:$A$15,Products!$B$2:$B$15,"Not found")</f>
        <v/>
      </c>
    </row>
    <row r="1872">
      <c r="A1872" t="n">
        <v>106191</v>
      </c>
      <c r="B1872" s="1" t="n">
        <v>45829</v>
      </c>
      <c r="C1872" t="inlineStr">
        <is>
          <t>S02</t>
        </is>
      </c>
      <c r="D1872" t="inlineStr">
        <is>
          <t>P301</t>
        </is>
      </c>
      <c r="E1872" t="n">
        <v>1</v>
      </c>
      <c r="F1872" t="n">
        <v>119</v>
      </c>
      <c r="G1872" t="n">
        <v>0</v>
      </c>
      <c r="H1872">
        <f>E1872*F1872*(1-G1872)</f>
        <v/>
      </c>
      <c r="I1872">
        <f>XLOOKUP(D1872,Products!$A$2:$A$15,Products!$B$2:$B$15,"Not found")</f>
        <v/>
      </c>
    </row>
    <row r="1873">
      <c r="A1873" t="n">
        <v>106192</v>
      </c>
      <c r="B1873" s="1" t="n">
        <v>45829</v>
      </c>
      <c r="C1873" t="inlineStr">
        <is>
          <t>S02</t>
        </is>
      </c>
      <c r="D1873" t="inlineStr">
        <is>
          <t>P101</t>
        </is>
      </c>
      <c r="E1873" t="n">
        <v>1</v>
      </c>
      <c r="F1873" t="n">
        <v>39</v>
      </c>
      <c r="G1873" t="n">
        <v>0.1</v>
      </c>
      <c r="H1873">
        <f>E1873*F1873*(1-G1873)</f>
        <v/>
      </c>
      <c r="I1873">
        <f>XLOOKUP(D1873,Products!$A$2:$A$15,Products!$B$2:$B$15,"Not found")</f>
        <v/>
      </c>
    </row>
    <row r="1874">
      <c r="A1874" t="n">
        <v>106193</v>
      </c>
      <c r="B1874" s="1" t="n">
        <v>45829</v>
      </c>
      <c r="C1874" t="inlineStr">
        <is>
          <t>S03</t>
        </is>
      </c>
      <c r="D1874" t="inlineStr">
        <is>
          <t>P203</t>
        </is>
      </c>
      <c r="E1874" t="n">
        <v>1</v>
      </c>
      <c r="F1874" t="n">
        <v>19.5</v>
      </c>
      <c r="G1874" t="n">
        <v>0.2</v>
      </c>
      <c r="H1874">
        <f>E1874*F1874*(1-G1874)</f>
        <v/>
      </c>
      <c r="I1874">
        <f>XLOOKUP(D1874,Products!$A$2:$A$15,Products!$B$2:$B$15,"Not found")</f>
        <v/>
      </c>
    </row>
    <row r="1875">
      <c r="A1875" t="n">
        <v>106194</v>
      </c>
      <c r="B1875" s="1" t="n">
        <v>45829</v>
      </c>
      <c r="C1875" t="inlineStr">
        <is>
          <t>S05</t>
        </is>
      </c>
      <c r="D1875" t="inlineStr">
        <is>
          <t>P303</t>
        </is>
      </c>
      <c r="E1875" t="n">
        <v>1</v>
      </c>
      <c r="F1875" t="n">
        <v>12</v>
      </c>
      <c r="G1875" t="n">
        <v>0</v>
      </c>
      <c r="H1875">
        <f>E1875*F1875*(1-G1875)</f>
        <v/>
      </c>
      <c r="I1875">
        <f>XLOOKUP(D1875,Products!$A$2:$A$15,Products!$B$2:$B$15,"Not found")</f>
        <v/>
      </c>
    </row>
    <row r="1876">
      <c r="A1876" t="n">
        <v>106195</v>
      </c>
      <c r="B1876" s="1" t="n">
        <v>45829</v>
      </c>
      <c r="C1876" t="inlineStr">
        <is>
          <t>S05</t>
        </is>
      </c>
      <c r="D1876" t="inlineStr">
        <is>
          <t>P202</t>
        </is>
      </c>
      <c r="E1876" t="n">
        <v>4</v>
      </c>
      <c r="F1876" t="n">
        <v>79</v>
      </c>
      <c r="G1876" t="n">
        <v>0</v>
      </c>
      <c r="H1876">
        <f>E1876*F1876*(1-G1876)</f>
        <v/>
      </c>
      <c r="I1876">
        <f>XLOOKUP(D1876,Products!$A$2:$A$15,Products!$B$2:$B$15,"Not found")</f>
        <v/>
      </c>
    </row>
    <row r="1877">
      <c r="A1877" t="n">
        <v>106196</v>
      </c>
      <c r="B1877" s="1" t="n">
        <v>45829</v>
      </c>
      <c r="C1877" t="inlineStr">
        <is>
          <t>S05</t>
        </is>
      </c>
      <c r="D1877" t="inlineStr">
        <is>
          <t>P103</t>
        </is>
      </c>
      <c r="E1877" t="n">
        <v>1</v>
      </c>
      <c r="F1877" t="n">
        <v>29</v>
      </c>
      <c r="G1877" t="n">
        <v>0</v>
      </c>
      <c r="H1877">
        <f>E1877*F1877*(1-G1877)</f>
        <v/>
      </c>
      <c r="I1877">
        <f>XLOOKUP(D1877,Products!$A$2:$A$15,Products!$B$2:$B$15,"Not found")</f>
        <v/>
      </c>
    </row>
    <row r="1878">
      <c r="A1878" t="n">
        <v>106197</v>
      </c>
      <c r="B1878" s="1" t="n">
        <v>45830</v>
      </c>
      <c r="C1878" t="inlineStr">
        <is>
          <t>S01</t>
        </is>
      </c>
      <c r="D1878" t="inlineStr">
        <is>
          <t>P103</t>
        </is>
      </c>
      <c r="E1878" t="n">
        <v>1</v>
      </c>
      <c r="F1878" t="n">
        <v>29</v>
      </c>
      <c r="G1878" t="n">
        <v>0.15</v>
      </c>
      <c r="H1878">
        <f>E1878*F1878*(1-G1878)</f>
        <v/>
      </c>
      <c r="I1878">
        <f>XLOOKUP(D1878,Products!$A$2:$A$15,Products!$B$2:$B$15,"Not found")</f>
        <v/>
      </c>
    </row>
    <row r="1879">
      <c r="A1879" t="n">
        <v>106198</v>
      </c>
      <c r="B1879" s="1" t="n">
        <v>45830</v>
      </c>
      <c r="C1879" t="inlineStr">
        <is>
          <t>S01</t>
        </is>
      </c>
      <c r="D1879" t="inlineStr">
        <is>
          <t>P101</t>
        </is>
      </c>
      <c r="E1879" t="n">
        <v>1</v>
      </c>
      <c r="F1879" t="n">
        <v>39</v>
      </c>
      <c r="G1879" t="n">
        <v>0</v>
      </c>
      <c r="H1879">
        <f>E1879*F1879*(1-G1879)</f>
        <v/>
      </c>
      <c r="I1879">
        <f>XLOOKUP(D1879,Products!$A$2:$A$15,Products!$B$2:$B$15,"Not found")</f>
        <v/>
      </c>
    </row>
    <row r="1880">
      <c r="A1880" t="n">
        <v>106199</v>
      </c>
      <c r="B1880" s="1" t="n">
        <v>45830</v>
      </c>
      <c r="C1880" t="inlineStr">
        <is>
          <t>S02</t>
        </is>
      </c>
      <c r="D1880" t="inlineStr">
        <is>
          <t>P103</t>
        </is>
      </c>
      <c r="E1880" t="n">
        <v>2</v>
      </c>
      <c r="F1880" t="n">
        <v>29</v>
      </c>
      <c r="G1880" t="n">
        <v>0</v>
      </c>
      <c r="H1880">
        <f>E1880*F1880*(1-G1880)</f>
        <v/>
      </c>
      <c r="I1880">
        <f>XLOOKUP(D1880,Products!$A$2:$A$15,Products!$B$2:$B$15,"Not found")</f>
        <v/>
      </c>
    </row>
    <row r="1881">
      <c r="A1881" t="n">
        <v>106200</v>
      </c>
      <c r="B1881" s="1" t="n">
        <v>45830</v>
      </c>
      <c r="C1881" t="inlineStr">
        <is>
          <t>S03</t>
        </is>
      </c>
      <c r="D1881" t="inlineStr">
        <is>
          <t>P302</t>
        </is>
      </c>
      <c r="E1881" t="n">
        <v>1</v>
      </c>
      <c r="F1881" t="n">
        <v>24</v>
      </c>
      <c r="G1881" t="n">
        <v>0</v>
      </c>
      <c r="H1881">
        <f>E1881*F1881*(1-G1881)</f>
        <v/>
      </c>
      <c r="I1881">
        <f>XLOOKUP(D1881,Products!$A$2:$A$15,Products!$B$2:$B$15,"Not found")</f>
        <v/>
      </c>
    </row>
    <row r="1882">
      <c r="A1882" t="n">
        <v>106201</v>
      </c>
      <c r="B1882" s="1" t="n">
        <v>45830</v>
      </c>
      <c r="C1882" t="inlineStr">
        <is>
          <t>S03</t>
        </is>
      </c>
      <c r="D1882" t="inlineStr">
        <is>
          <t>P302</t>
        </is>
      </c>
      <c r="E1882" t="n">
        <v>2</v>
      </c>
      <c r="F1882" t="n">
        <v>24</v>
      </c>
      <c r="G1882" t="n">
        <v>0</v>
      </c>
      <c r="H1882">
        <f>E1882*F1882*(1-G1882)</f>
        <v/>
      </c>
      <c r="I1882">
        <f>XLOOKUP(D1882,Products!$A$2:$A$15,Products!$B$2:$B$15,"Not found")</f>
        <v/>
      </c>
    </row>
    <row r="1883">
      <c r="A1883" t="n">
        <v>106202</v>
      </c>
      <c r="B1883" s="1" t="n">
        <v>45830</v>
      </c>
      <c r="C1883" t="inlineStr">
        <is>
          <t>S04</t>
        </is>
      </c>
      <c r="D1883" t="inlineStr">
        <is>
          <t>P201</t>
        </is>
      </c>
      <c r="E1883" t="n">
        <v>1</v>
      </c>
      <c r="F1883" t="n">
        <v>149</v>
      </c>
      <c r="G1883" t="n">
        <v>0.1</v>
      </c>
      <c r="H1883">
        <f>E1883*F1883*(1-G1883)</f>
        <v/>
      </c>
      <c r="I1883">
        <f>XLOOKUP(D1883,Products!$A$2:$A$15,Products!$B$2:$B$15,"Not found")</f>
        <v/>
      </c>
    </row>
    <row r="1884">
      <c r="A1884" t="n">
        <v>106203</v>
      </c>
      <c r="B1884" s="1" t="n">
        <v>45830</v>
      </c>
      <c r="C1884" t="inlineStr">
        <is>
          <t>S04</t>
        </is>
      </c>
      <c r="D1884" t="inlineStr">
        <is>
          <t>P101</t>
        </is>
      </c>
      <c r="E1884" t="n">
        <v>1</v>
      </c>
      <c r="F1884" t="n">
        <v>39</v>
      </c>
      <c r="G1884" t="n">
        <v>0</v>
      </c>
      <c r="H1884">
        <f>E1884*F1884*(1-G1884)</f>
        <v/>
      </c>
      <c r="I1884">
        <f>XLOOKUP(D1884,Products!$A$2:$A$15,Products!$B$2:$B$15,"Not found")</f>
        <v/>
      </c>
    </row>
    <row r="1885">
      <c r="A1885" t="n">
        <v>106204</v>
      </c>
      <c r="B1885" s="1" t="n">
        <v>45830</v>
      </c>
      <c r="C1885" t="inlineStr">
        <is>
          <t>S05</t>
        </is>
      </c>
      <c r="D1885" t="inlineStr">
        <is>
          <t>P101</t>
        </is>
      </c>
      <c r="E1885" t="n">
        <v>1</v>
      </c>
      <c r="F1885" t="n">
        <v>39</v>
      </c>
      <c r="G1885" t="n">
        <v>0</v>
      </c>
      <c r="H1885">
        <f>E1885*F1885*(1-G1885)</f>
        <v/>
      </c>
      <c r="I1885">
        <f>XLOOKUP(D1885,Products!$A$2:$A$15,Products!$B$2:$B$15,"Not found")</f>
        <v/>
      </c>
    </row>
    <row r="1886">
      <c r="A1886" t="n">
        <v>106205</v>
      </c>
      <c r="B1886" s="1" t="n">
        <v>45830</v>
      </c>
      <c r="C1886" t="inlineStr">
        <is>
          <t>S05</t>
        </is>
      </c>
      <c r="D1886" t="inlineStr">
        <is>
          <t>P302</t>
        </is>
      </c>
      <c r="E1886" t="n">
        <v>3</v>
      </c>
      <c r="F1886" t="n">
        <v>24</v>
      </c>
      <c r="G1886" t="n">
        <v>0</v>
      </c>
      <c r="H1886">
        <f>E1886*F1886*(1-G1886)</f>
        <v/>
      </c>
      <c r="I1886">
        <f>XLOOKUP(D1886,Products!$A$2:$A$15,Products!$B$2:$B$15,"Not found")</f>
        <v/>
      </c>
    </row>
    <row r="1887">
      <c r="A1887" t="n">
        <v>106206</v>
      </c>
      <c r="B1887" s="1" t="n">
        <v>45830</v>
      </c>
      <c r="C1887" t="inlineStr">
        <is>
          <t>S05</t>
        </is>
      </c>
      <c r="D1887" t="inlineStr">
        <is>
          <t>P102</t>
        </is>
      </c>
      <c r="E1887" t="n">
        <v>1</v>
      </c>
      <c r="F1887" t="n">
        <v>14.5</v>
      </c>
      <c r="G1887" t="n">
        <v>0</v>
      </c>
      <c r="H1887">
        <f>E1887*F1887*(1-G1887)</f>
        <v/>
      </c>
      <c r="I1887">
        <f>XLOOKUP(D1887,Products!$A$2:$A$15,Products!$B$2:$B$15,"Not found")</f>
        <v/>
      </c>
    </row>
    <row r="1888">
      <c r="A1888" t="n">
        <v>106207</v>
      </c>
      <c r="B1888" s="1" t="n">
        <v>45830</v>
      </c>
      <c r="C1888" t="inlineStr">
        <is>
          <t>S05</t>
        </is>
      </c>
      <c r="D1888" t="inlineStr">
        <is>
          <t>P103</t>
        </is>
      </c>
      <c r="E1888" t="n">
        <v>2</v>
      </c>
      <c r="F1888" t="n">
        <v>29</v>
      </c>
      <c r="G1888" t="n">
        <v>0</v>
      </c>
      <c r="H1888">
        <f>E1888*F1888*(1-G1888)</f>
        <v/>
      </c>
      <c r="I1888">
        <f>XLOOKUP(D1888,Products!$A$2:$A$15,Products!$B$2:$B$15,"Not found")</f>
        <v/>
      </c>
    </row>
    <row r="1889">
      <c r="A1889" t="n">
        <v>106208</v>
      </c>
      <c r="B1889" s="1" t="n">
        <v>45830</v>
      </c>
      <c r="C1889" t="inlineStr">
        <is>
          <t>S05</t>
        </is>
      </c>
      <c r="D1889" t="inlineStr">
        <is>
          <t>P101</t>
        </is>
      </c>
      <c r="E1889" t="n">
        <v>4</v>
      </c>
      <c r="F1889" t="n">
        <v>39</v>
      </c>
      <c r="G1889" t="n">
        <v>0</v>
      </c>
      <c r="H1889">
        <f>E1889*F1889*(1-G1889)</f>
        <v/>
      </c>
      <c r="I1889">
        <f>XLOOKUP(D1889,Products!$A$2:$A$15,Products!$B$2:$B$15,"Not found")</f>
        <v/>
      </c>
    </row>
    <row r="1890">
      <c r="A1890" t="n">
        <v>106209</v>
      </c>
      <c r="B1890" s="1" t="n">
        <v>45831</v>
      </c>
      <c r="C1890" t="inlineStr">
        <is>
          <t>S01</t>
        </is>
      </c>
      <c r="D1890" t="inlineStr">
        <is>
          <t>P101</t>
        </is>
      </c>
      <c r="E1890" t="n">
        <v>1</v>
      </c>
      <c r="F1890" t="n">
        <v>39</v>
      </c>
      <c r="G1890" t="n">
        <v>0</v>
      </c>
      <c r="H1890">
        <f>E1890*F1890*(1-G1890)</f>
        <v/>
      </c>
      <c r="I1890">
        <f>XLOOKUP(D1890,Products!$A$2:$A$15,Products!$B$2:$B$15,"Not found")</f>
        <v/>
      </c>
    </row>
    <row r="1891">
      <c r="A1891" t="n">
        <v>106210</v>
      </c>
      <c r="B1891" s="1" t="n">
        <v>45831</v>
      </c>
      <c r="C1891" t="inlineStr">
        <is>
          <t>S03</t>
        </is>
      </c>
      <c r="D1891" t="inlineStr">
        <is>
          <t>P102</t>
        </is>
      </c>
      <c r="E1891" t="n">
        <v>1</v>
      </c>
      <c r="F1891" t="n">
        <v>14.5</v>
      </c>
      <c r="G1891" t="n">
        <v>0.15</v>
      </c>
      <c r="H1891">
        <f>E1891*F1891*(1-G1891)</f>
        <v/>
      </c>
      <c r="I1891">
        <f>XLOOKUP(D1891,Products!$A$2:$A$15,Products!$B$2:$B$15,"Not found")</f>
        <v/>
      </c>
    </row>
    <row r="1892">
      <c r="A1892" t="n">
        <v>106211</v>
      </c>
      <c r="B1892" s="1" t="n">
        <v>45831</v>
      </c>
      <c r="C1892" t="inlineStr">
        <is>
          <t>S04</t>
        </is>
      </c>
      <c r="D1892" t="inlineStr">
        <is>
          <t>P303</t>
        </is>
      </c>
      <c r="E1892" t="n">
        <v>2</v>
      </c>
      <c r="F1892" t="n">
        <v>12</v>
      </c>
      <c r="G1892" t="n">
        <v>0.1</v>
      </c>
      <c r="H1892">
        <f>E1892*F1892*(1-G1892)</f>
        <v/>
      </c>
      <c r="I1892">
        <f>XLOOKUP(D1892,Products!$A$2:$A$15,Products!$B$2:$B$15,"Not found")</f>
        <v/>
      </c>
    </row>
    <row r="1893">
      <c r="A1893" t="n">
        <v>106212</v>
      </c>
      <c r="B1893" s="1" t="n">
        <v>45832</v>
      </c>
      <c r="C1893" t="inlineStr">
        <is>
          <t>S04</t>
        </is>
      </c>
      <c r="D1893" t="inlineStr">
        <is>
          <t>P201</t>
        </is>
      </c>
      <c r="E1893" t="n">
        <v>1</v>
      </c>
      <c r="F1893" t="n">
        <v>149</v>
      </c>
      <c r="G1893" t="n">
        <v>0</v>
      </c>
      <c r="H1893">
        <f>E1893*F1893*(1-G1893)</f>
        <v/>
      </c>
      <c r="I1893">
        <f>XLOOKUP(D1893,Products!$A$2:$A$15,Products!$B$2:$B$15,"Not found")</f>
        <v/>
      </c>
    </row>
    <row r="1894">
      <c r="A1894" t="n">
        <v>106213</v>
      </c>
      <c r="B1894" s="1" t="n">
        <v>45832</v>
      </c>
      <c r="C1894" t="inlineStr">
        <is>
          <t>S04</t>
        </is>
      </c>
      <c r="D1894" t="inlineStr">
        <is>
          <t>P102</t>
        </is>
      </c>
      <c r="E1894" t="n">
        <v>2</v>
      </c>
      <c r="F1894" t="n">
        <v>14.5</v>
      </c>
      <c r="G1894" t="n">
        <v>0</v>
      </c>
      <c r="H1894">
        <f>E1894*F1894*(1-G1894)</f>
        <v/>
      </c>
      <c r="I1894">
        <f>XLOOKUP(D1894,Products!$A$2:$A$15,Products!$B$2:$B$15,"Not found")</f>
        <v/>
      </c>
    </row>
    <row r="1895">
      <c r="A1895" t="n">
        <v>106214</v>
      </c>
      <c r="B1895" s="1" t="n">
        <v>45832</v>
      </c>
      <c r="C1895" t="inlineStr">
        <is>
          <t>S05</t>
        </is>
      </c>
      <c r="D1895" t="inlineStr">
        <is>
          <t>P102</t>
        </is>
      </c>
      <c r="E1895" t="n">
        <v>1</v>
      </c>
      <c r="F1895" t="n">
        <v>14.5</v>
      </c>
      <c r="G1895" t="n">
        <v>0</v>
      </c>
      <c r="H1895">
        <f>E1895*F1895*(1-G1895)</f>
        <v/>
      </c>
      <c r="I1895">
        <f>XLOOKUP(D1895,Products!$A$2:$A$15,Products!$B$2:$B$15,"Not found")</f>
        <v/>
      </c>
    </row>
    <row r="1896">
      <c r="A1896" t="n">
        <v>106215</v>
      </c>
      <c r="B1896" s="1" t="n">
        <v>45832</v>
      </c>
      <c r="C1896" t="inlineStr">
        <is>
          <t>S06</t>
        </is>
      </c>
      <c r="D1896" t="inlineStr">
        <is>
          <t>P302</t>
        </is>
      </c>
      <c r="E1896" t="n">
        <v>2</v>
      </c>
      <c r="F1896" t="n">
        <v>24</v>
      </c>
      <c r="G1896" t="n">
        <v>0.1</v>
      </c>
      <c r="H1896">
        <f>E1896*F1896*(1-G1896)</f>
        <v/>
      </c>
      <c r="I1896">
        <f>XLOOKUP(D1896,Products!$A$2:$A$15,Products!$B$2:$B$15,"Not found")</f>
        <v/>
      </c>
    </row>
    <row r="1897">
      <c r="A1897" t="n">
        <v>106216</v>
      </c>
      <c r="B1897" s="1" t="n">
        <v>45833</v>
      </c>
      <c r="C1897" t="inlineStr">
        <is>
          <t>S01</t>
        </is>
      </c>
      <c r="D1897" t="inlineStr">
        <is>
          <t>P101</t>
        </is>
      </c>
      <c r="E1897" t="n">
        <v>2</v>
      </c>
      <c r="F1897" t="n">
        <v>39</v>
      </c>
      <c r="G1897" t="n">
        <v>0</v>
      </c>
      <c r="H1897">
        <f>E1897*F1897*(1-G1897)</f>
        <v/>
      </c>
      <c r="I1897">
        <f>XLOOKUP(D1897,Products!$A$2:$A$15,Products!$B$2:$B$15,"Not found")</f>
        <v/>
      </c>
    </row>
    <row r="1898">
      <c r="A1898" t="n">
        <v>106217</v>
      </c>
      <c r="B1898" s="1" t="n">
        <v>45833</v>
      </c>
      <c r="C1898" t="inlineStr">
        <is>
          <t>S01</t>
        </is>
      </c>
      <c r="D1898" t="inlineStr">
        <is>
          <t>P101</t>
        </is>
      </c>
      <c r="E1898" t="n">
        <v>3</v>
      </c>
      <c r="F1898" t="n">
        <v>39</v>
      </c>
      <c r="G1898" t="n">
        <v>0</v>
      </c>
      <c r="H1898">
        <f>E1898*F1898*(1-G1898)</f>
        <v/>
      </c>
      <c r="I1898">
        <f>XLOOKUP(D1898,Products!$A$2:$A$15,Products!$B$2:$B$15,"Not found")</f>
        <v/>
      </c>
    </row>
    <row r="1899">
      <c r="A1899" t="n">
        <v>106218</v>
      </c>
      <c r="B1899" s="1" t="n">
        <v>45833</v>
      </c>
      <c r="C1899" t="inlineStr">
        <is>
          <t>S01</t>
        </is>
      </c>
      <c r="D1899" t="inlineStr">
        <is>
          <t>P101</t>
        </is>
      </c>
      <c r="E1899" t="n">
        <v>1</v>
      </c>
      <c r="F1899" t="n">
        <v>39</v>
      </c>
      <c r="G1899" t="n">
        <v>0</v>
      </c>
      <c r="H1899">
        <f>E1899*F1899*(1-G1899)</f>
        <v/>
      </c>
      <c r="I1899">
        <f>XLOOKUP(D1899,Products!$A$2:$A$15,Products!$B$2:$B$15,"Not found")</f>
        <v/>
      </c>
    </row>
    <row r="1900">
      <c r="A1900" t="n">
        <v>106219</v>
      </c>
      <c r="B1900" s="1" t="n">
        <v>45833</v>
      </c>
      <c r="C1900" t="inlineStr">
        <is>
          <t>S01</t>
        </is>
      </c>
      <c r="D1900" t="inlineStr">
        <is>
          <t>P203</t>
        </is>
      </c>
      <c r="E1900" t="n">
        <v>1</v>
      </c>
      <c r="F1900" t="n">
        <v>19.5</v>
      </c>
      <c r="G1900" t="n">
        <v>0.2</v>
      </c>
      <c r="H1900">
        <f>E1900*F1900*(1-G1900)</f>
        <v/>
      </c>
      <c r="I1900">
        <f>XLOOKUP(D1900,Products!$A$2:$A$15,Products!$B$2:$B$15,"Not found")</f>
        <v/>
      </c>
    </row>
    <row r="1901">
      <c r="A1901" t="n">
        <v>106220</v>
      </c>
      <c r="B1901" s="1" t="n">
        <v>45833</v>
      </c>
      <c r="C1901" t="inlineStr">
        <is>
          <t>S01</t>
        </is>
      </c>
      <c r="D1901" t="inlineStr">
        <is>
          <t>P101</t>
        </is>
      </c>
      <c r="E1901" t="n">
        <v>1</v>
      </c>
      <c r="F1901" t="n">
        <v>39</v>
      </c>
      <c r="G1901" t="n">
        <v>0</v>
      </c>
      <c r="H1901">
        <f>E1901*F1901*(1-G1901)</f>
        <v/>
      </c>
      <c r="I1901">
        <f>XLOOKUP(D1901,Products!$A$2:$A$15,Products!$B$2:$B$15,"Not found")</f>
        <v/>
      </c>
    </row>
    <row r="1902">
      <c r="A1902" t="n">
        <v>106221</v>
      </c>
      <c r="B1902" s="1" t="n">
        <v>45833</v>
      </c>
      <c r="C1902" t="inlineStr">
        <is>
          <t>S03</t>
        </is>
      </c>
      <c r="D1902" t="inlineStr">
        <is>
          <t>P104</t>
        </is>
      </c>
      <c r="E1902" t="n">
        <v>1</v>
      </c>
      <c r="F1902" t="n">
        <v>189</v>
      </c>
      <c r="G1902" t="n">
        <v>0</v>
      </c>
      <c r="H1902">
        <f>E1902*F1902*(1-G1902)</f>
        <v/>
      </c>
      <c r="I1902">
        <f>XLOOKUP(D1902,Products!$A$2:$A$15,Products!$B$2:$B$15,"Not found")</f>
        <v/>
      </c>
    </row>
    <row r="1903">
      <c r="A1903" t="n">
        <v>106222</v>
      </c>
      <c r="B1903" s="1" t="n">
        <v>45833</v>
      </c>
      <c r="C1903" t="inlineStr">
        <is>
          <t>S03</t>
        </is>
      </c>
      <c r="D1903" t="inlineStr">
        <is>
          <t>P103</t>
        </is>
      </c>
      <c r="E1903" t="n">
        <v>1</v>
      </c>
      <c r="F1903" t="n">
        <v>29</v>
      </c>
      <c r="G1903" t="n">
        <v>0</v>
      </c>
      <c r="H1903">
        <f>E1903*F1903*(1-G1903)</f>
        <v/>
      </c>
      <c r="I1903">
        <f>XLOOKUP(D1903,Products!$A$2:$A$15,Products!$B$2:$B$15,"Not found")</f>
        <v/>
      </c>
    </row>
    <row r="1904">
      <c r="A1904" t="n">
        <v>106223</v>
      </c>
      <c r="B1904" s="1" t="n">
        <v>45834</v>
      </c>
      <c r="C1904" t="inlineStr">
        <is>
          <t>S02</t>
        </is>
      </c>
      <c r="D1904" t="inlineStr">
        <is>
          <t>P102</t>
        </is>
      </c>
      <c r="E1904" t="n">
        <v>1</v>
      </c>
      <c r="F1904" t="n">
        <v>14.5</v>
      </c>
      <c r="G1904" t="n">
        <v>0</v>
      </c>
      <c r="H1904">
        <f>E1904*F1904*(1-G1904)</f>
        <v/>
      </c>
      <c r="I1904">
        <f>XLOOKUP(D1904,Products!$A$2:$A$15,Products!$B$2:$B$15,"Not found")</f>
        <v/>
      </c>
    </row>
    <row r="1905">
      <c r="A1905" t="n">
        <v>106224</v>
      </c>
      <c r="B1905" s="1" t="n">
        <v>45834</v>
      </c>
      <c r="C1905" t="inlineStr">
        <is>
          <t>S03</t>
        </is>
      </c>
      <c r="D1905" t="inlineStr">
        <is>
          <t>P403</t>
        </is>
      </c>
      <c r="E1905" t="n">
        <v>2</v>
      </c>
      <c r="F1905" t="n">
        <v>89</v>
      </c>
      <c r="G1905" t="n">
        <v>0.2</v>
      </c>
      <c r="H1905">
        <f>E1905*F1905*(1-G1905)</f>
        <v/>
      </c>
      <c r="I1905">
        <f>XLOOKUP(D1905,Products!$A$2:$A$15,Products!$B$2:$B$15,"Not found")</f>
        <v/>
      </c>
    </row>
    <row r="1906">
      <c r="A1906" t="n">
        <v>106225</v>
      </c>
      <c r="B1906" s="1" t="n">
        <v>45834</v>
      </c>
      <c r="C1906" t="inlineStr">
        <is>
          <t>S04</t>
        </is>
      </c>
      <c r="D1906" t="inlineStr">
        <is>
          <t>P103</t>
        </is>
      </c>
      <c r="E1906" t="n">
        <v>2</v>
      </c>
      <c r="F1906" t="n">
        <v>29</v>
      </c>
      <c r="G1906" t="n">
        <v>0</v>
      </c>
      <c r="H1906">
        <f>E1906*F1906*(1-G1906)</f>
        <v/>
      </c>
      <c r="I1906">
        <f>XLOOKUP(D1906,Products!$A$2:$A$15,Products!$B$2:$B$15,"Not found")</f>
        <v/>
      </c>
    </row>
    <row r="1907">
      <c r="A1907" t="n">
        <v>106226</v>
      </c>
      <c r="B1907" s="1" t="n">
        <v>45834</v>
      </c>
      <c r="C1907" t="inlineStr">
        <is>
          <t>S04</t>
        </is>
      </c>
      <c r="D1907" t="inlineStr">
        <is>
          <t>P101</t>
        </is>
      </c>
      <c r="E1907" t="n">
        <v>1</v>
      </c>
      <c r="F1907" t="n">
        <v>39</v>
      </c>
      <c r="G1907" t="n">
        <v>0.2</v>
      </c>
      <c r="H1907">
        <f>E1907*F1907*(1-G1907)</f>
        <v/>
      </c>
      <c r="I1907">
        <f>XLOOKUP(D1907,Products!$A$2:$A$15,Products!$B$2:$B$15,"Not found")</f>
        <v/>
      </c>
    </row>
    <row r="1908">
      <c r="A1908" t="n">
        <v>106227</v>
      </c>
      <c r="B1908" s="1" t="n">
        <v>45834</v>
      </c>
      <c r="C1908" t="inlineStr">
        <is>
          <t>S04</t>
        </is>
      </c>
      <c r="D1908" t="inlineStr">
        <is>
          <t>P403</t>
        </is>
      </c>
      <c r="E1908" t="n">
        <v>4</v>
      </c>
      <c r="F1908" t="n">
        <v>89</v>
      </c>
      <c r="G1908" t="n">
        <v>0.2</v>
      </c>
      <c r="H1908">
        <f>E1908*F1908*(1-G1908)</f>
        <v/>
      </c>
      <c r="I1908">
        <f>XLOOKUP(D1908,Products!$A$2:$A$15,Products!$B$2:$B$15,"Not found")</f>
        <v/>
      </c>
    </row>
    <row r="1909">
      <c r="A1909" t="n">
        <v>106228</v>
      </c>
      <c r="B1909" s="1" t="n">
        <v>45834</v>
      </c>
      <c r="C1909" t="inlineStr">
        <is>
          <t>S05</t>
        </is>
      </c>
      <c r="D1909" t="inlineStr">
        <is>
          <t>P201</t>
        </is>
      </c>
      <c r="E1909" t="n">
        <v>1</v>
      </c>
      <c r="F1909" t="n">
        <v>149</v>
      </c>
      <c r="G1909" t="n">
        <v>0.2</v>
      </c>
      <c r="H1909">
        <f>E1909*F1909*(1-G1909)</f>
        <v/>
      </c>
      <c r="I1909">
        <f>XLOOKUP(D1909,Products!$A$2:$A$15,Products!$B$2:$B$15,"Not found")</f>
        <v/>
      </c>
    </row>
    <row r="1910">
      <c r="A1910" t="n">
        <v>106229</v>
      </c>
      <c r="B1910" s="1" t="n">
        <v>45834</v>
      </c>
      <c r="C1910" t="inlineStr">
        <is>
          <t>S05</t>
        </is>
      </c>
      <c r="D1910" t="inlineStr">
        <is>
          <t>P203</t>
        </is>
      </c>
      <c r="E1910" t="n">
        <v>1</v>
      </c>
      <c r="F1910" t="n">
        <v>19.5</v>
      </c>
      <c r="G1910" t="n">
        <v>0</v>
      </c>
      <c r="H1910">
        <f>E1910*F1910*(1-G1910)</f>
        <v/>
      </c>
      <c r="I1910">
        <f>XLOOKUP(D1910,Products!$A$2:$A$15,Products!$B$2:$B$15,"Not found")</f>
        <v/>
      </c>
    </row>
    <row r="1911">
      <c r="A1911" t="n">
        <v>106230</v>
      </c>
      <c r="B1911" s="1" t="n">
        <v>45835</v>
      </c>
      <c r="C1911" t="inlineStr">
        <is>
          <t>S01</t>
        </is>
      </c>
      <c r="D1911" t="inlineStr">
        <is>
          <t>P303</t>
        </is>
      </c>
      <c r="E1911" t="n">
        <v>3</v>
      </c>
      <c r="F1911" t="n">
        <v>12</v>
      </c>
      <c r="G1911" t="n">
        <v>0</v>
      </c>
      <c r="H1911">
        <f>E1911*F1911*(1-G1911)</f>
        <v/>
      </c>
      <c r="I1911">
        <f>XLOOKUP(D1911,Products!$A$2:$A$15,Products!$B$2:$B$15,"Not found")</f>
        <v/>
      </c>
    </row>
    <row r="1912">
      <c r="A1912" t="n">
        <v>106231</v>
      </c>
      <c r="B1912" s="1" t="n">
        <v>45835</v>
      </c>
      <c r="C1912" t="inlineStr">
        <is>
          <t>S02</t>
        </is>
      </c>
      <c r="D1912" t="inlineStr">
        <is>
          <t>P302</t>
        </is>
      </c>
      <c r="E1912" t="n">
        <v>2</v>
      </c>
      <c r="F1912" t="n">
        <v>24</v>
      </c>
      <c r="G1912" t="n">
        <v>0</v>
      </c>
      <c r="H1912">
        <f>E1912*F1912*(1-G1912)</f>
        <v/>
      </c>
      <c r="I1912">
        <f>XLOOKUP(D1912,Products!$A$2:$A$15,Products!$B$2:$B$15,"Not found")</f>
        <v/>
      </c>
    </row>
    <row r="1913">
      <c r="A1913" t="n">
        <v>106232</v>
      </c>
      <c r="B1913" s="1" t="n">
        <v>45835</v>
      </c>
      <c r="C1913" t="inlineStr">
        <is>
          <t>S02</t>
        </is>
      </c>
      <c r="D1913" t="inlineStr">
        <is>
          <t>P202</t>
        </is>
      </c>
      <c r="E1913" t="n">
        <v>2</v>
      </c>
      <c r="F1913" t="n">
        <v>79</v>
      </c>
      <c r="G1913" t="n">
        <v>0.15</v>
      </c>
      <c r="H1913">
        <f>E1913*F1913*(1-G1913)</f>
        <v/>
      </c>
      <c r="I1913">
        <f>XLOOKUP(D1913,Products!$A$2:$A$15,Products!$B$2:$B$15,"Not found")</f>
        <v/>
      </c>
    </row>
    <row r="1914">
      <c r="A1914" t="n">
        <v>106233</v>
      </c>
      <c r="B1914" s="1" t="n">
        <v>45835</v>
      </c>
      <c r="C1914" t="inlineStr">
        <is>
          <t>S03</t>
        </is>
      </c>
      <c r="D1914" t="inlineStr">
        <is>
          <t>P102</t>
        </is>
      </c>
      <c r="E1914" t="n">
        <v>1</v>
      </c>
      <c r="F1914" t="n">
        <v>14.5</v>
      </c>
      <c r="G1914" t="n">
        <v>0.1</v>
      </c>
      <c r="H1914">
        <f>E1914*F1914*(1-G1914)</f>
        <v/>
      </c>
      <c r="I1914">
        <f>XLOOKUP(D1914,Products!$A$2:$A$15,Products!$B$2:$B$15,"Not found")</f>
        <v/>
      </c>
    </row>
    <row r="1915">
      <c r="A1915" t="n">
        <v>106234</v>
      </c>
      <c r="B1915" s="1" t="n">
        <v>45835</v>
      </c>
      <c r="C1915" t="inlineStr">
        <is>
          <t>S03</t>
        </is>
      </c>
      <c r="D1915" t="inlineStr">
        <is>
          <t>P201</t>
        </is>
      </c>
      <c r="E1915" t="n">
        <v>1</v>
      </c>
      <c r="F1915" t="n">
        <v>149</v>
      </c>
      <c r="G1915" t="n">
        <v>0.15</v>
      </c>
      <c r="H1915">
        <f>E1915*F1915*(1-G1915)</f>
        <v/>
      </c>
      <c r="I1915">
        <f>XLOOKUP(D1915,Products!$A$2:$A$15,Products!$B$2:$B$15,"Not found")</f>
        <v/>
      </c>
    </row>
    <row r="1916">
      <c r="A1916" t="n">
        <v>106235</v>
      </c>
      <c r="B1916" s="1" t="n">
        <v>45835</v>
      </c>
      <c r="C1916" t="inlineStr">
        <is>
          <t>S04</t>
        </is>
      </c>
      <c r="D1916" t="inlineStr">
        <is>
          <t>P103</t>
        </is>
      </c>
      <c r="E1916" t="n">
        <v>4</v>
      </c>
      <c r="F1916" t="n">
        <v>29</v>
      </c>
      <c r="G1916" t="n">
        <v>0.1</v>
      </c>
      <c r="H1916">
        <f>E1916*F1916*(1-G1916)</f>
        <v/>
      </c>
      <c r="I1916">
        <f>XLOOKUP(D1916,Products!$A$2:$A$15,Products!$B$2:$B$15,"Not found")</f>
        <v/>
      </c>
    </row>
    <row r="1917">
      <c r="A1917" t="n">
        <v>106236</v>
      </c>
      <c r="B1917" s="1" t="n">
        <v>45835</v>
      </c>
      <c r="C1917" t="inlineStr">
        <is>
          <t>S04</t>
        </is>
      </c>
      <c r="D1917" t="inlineStr">
        <is>
          <t>P103</t>
        </is>
      </c>
      <c r="E1917" t="n">
        <v>2</v>
      </c>
      <c r="F1917" t="n">
        <v>29</v>
      </c>
      <c r="G1917" t="n">
        <v>0</v>
      </c>
      <c r="H1917">
        <f>E1917*F1917*(1-G1917)</f>
        <v/>
      </c>
      <c r="I1917">
        <f>XLOOKUP(D1917,Products!$A$2:$A$15,Products!$B$2:$B$15,"Not found")</f>
        <v/>
      </c>
    </row>
    <row r="1918">
      <c r="A1918" t="n">
        <v>106237</v>
      </c>
      <c r="B1918" s="1" t="n">
        <v>45835</v>
      </c>
      <c r="C1918" t="inlineStr">
        <is>
          <t>S04</t>
        </is>
      </c>
      <c r="D1918" t="inlineStr">
        <is>
          <t>P402</t>
        </is>
      </c>
      <c r="E1918" t="n">
        <v>1</v>
      </c>
      <c r="F1918" t="n">
        <v>699</v>
      </c>
      <c r="G1918" t="n">
        <v>0.2</v>
      </c>
      <c r="H1918">
        <f>E1918*F1918*(1-G1918)</f>
        <v/>
      </c>
      <c r="I1918">
        <f>XLOOKUP(D1918,Products!$A$2:$A$15,Products!$B$2:$B$15,"Not found")</f>
        <v/>
      </c>
    </row>
    <row r="1919">
      <c r="A1919" t="n">
        <v>106238</v>
      </c>
      <c r="B1919" s="1" t="n">
        <v>45835</v>
      </c>
      <c r="C1919" t="inlineStr">
        <is>
          <t>S05</t>
        </is>
      </c>
      <c r="D1919" t="inlineStr">
        <is>
          <t>P201</t>
        </is>
      </c>
      <c r="E1919" t="n">
        <v>1</v>
      </c>
      <c r="F1919" t="n">
        <v>149</v>
      </c>
      <c r="G1919" t="n">
        <v>0</v>
      </c>
      <c r="H1919">
        <f>E1919*F1919*(1-G1919)</f>
        <v/>
      </c>
      <c r="I1919">
        <f>XLOOKUP(D1919,Products!$A$2:$A$15,Products!$B$2:$B$15,"Not found")</f>
        <v/>
      </c>
    </row>
    <row r="1920">
      <c r="A1920" t="n">
        <v>106239</v>
      </c>
      <c r="B1920" s="1" t="n">
        <v>45836</v>
      </c>
      <c r="C1920" t="inlineStr">
        <is>
          <t>S01</t>
        </is>
      </c>
      <c r="D1920" t="inlineStr">
        <is>
          <t>P201</t>
        </is>
      </c>
      <c r="E1920" t="n">
        <v>1</v>
      </c>
      <c r="F1920" t="n">
        <v>149</v>
      </c>
      <c r="G1920" t="n">
        <v>0</v>
      </c>
      <c r="H1920">
        <f>E1920*F1920*(1-G1920)</f>
        <v/>
      </c>
      <c r="I1920">
        <f>XLOOKUP(D1920,Products!$A$2:$A$15,Products!$B$2:$B$15,"Not found")</f>
        <v/>
      </c>
    </row>
    <row r="1921">
      <c r="A1921" t="n">
        <v>106240</v>
      </c>
      <c r="B1921" s="1" t="n">
        <v>45836</v>
      </c>
      <c r="C1921" t="inlineStr">
        <is>
          <t>S01</t>
        </is>
      </c>
      <c r="D1921" t="inlineStr">
        <is>
          <t>P104</t>
        </is>
      </c>
      <c r="E1921" t="n">
        <v>1</v>
      </c>
      <c r="F1921" t="n">
        <v>189</v>
      </c>
      <c r="G1921" t="n">
        <v>0</v>
      </c>
      <c r="H1921">
        <f>E1921*F1921*(1-G1921)</f>
        <v/>
      </c>
      <c r="I1921">
        <f>XLOOKUP(D1921,Products!$A$2:$A$15,Products!$B$2:$B$15,"Not found")</f>
        <v/>
      </c>
    </row>
    <row r="1922">
      <c r="A1922" t="n">
        <v>106241</v>
      </c>
      <c r="B1922" s="1" t="n">
        <v>45836</v>
      </c>
      <c r="C1922" t="inlineStr">
        <is>
          <t>S01</t>
        </is>
      </c>
      <c r="D1922" t="inlineStr">
        <is>
          <t>P401</t>
        </is>
      </c>
      <c r="E1922" t="n">
        <v>1</v>
      </c>
      <c r="F1922" t="n">
        <v>549</v>
      </c>
      <c r="G1922" t="n">
        <v>0.2</v>
      </c>
      <c r="H1922">
        <f>E1922*F1922*(1-G1922)</f>
        <v/>
      </c>
      <c r="I1922">
        <f>XLOOKUP(D1922,Products!$A$2:$A$15,Products!$B$2:$B$15,"Not found")</f>
        <v/>
      </c>
    </row>
    <row r="1923">
      <c r="A1923" t="n">
        <v>106242</v>
      </c>
      <c r="B1923" s="1" t="n">
        <v>45836</v>
      </c>
      <c r="C1923" t="inlineStr">
        <is>
          <t>S01</t>
        </is>
      </c>
      <c r="D1923" t="inlineStr">
        <is>
          <t>P201</t>
        </is>
      </c>
      <c r="E1923" t="n">
        <v>1</v>
      </c>
      <c r="F1923" t="n">
        <v>149</v>
      </c>
      <c r="G1923" t="n">
        <v>0</v>
      </c>
      <c r="H1923">
        <f>E1923*F1923*(1-G1923)</f>
        <v/>
      </c>
      <c r="I1923">
        <f>XLOOKUP(D1923,Products!$A$2:$A$15,Products!$B$2:$B$15,"Not found")</f>
        <v/>
      </c>
    </row>
    <row r="1924">
      <c r="A1924" t="n">
        <v>106243</v>
      </c>
      <c r="B1924" s="1" t="n">
        <v>45836</v>
      </c>
      <c r="C1924" t="inlineStr">
        <is>
          <t>S03</t>
        </is>
      </c>
      <c r="D1924" t="inlineStr">
        <is>
          <t>P303</t>
        </is>
      </c>
      <c r="E1924" t="n">
        <v>4</v>
      </c>
      <c r="F1924" t="n">
        <v>12</v>
      </c>
      <c r="G1924" t="n">
        <v>0</v>
      </c>
      <c r="H1924">
        <f>E1924*F1924*(1-G1924)</f>
        <v/>
      </c>
      <c r="I1924">
        <f>XLOOKUP(D1924,Products!$A$2:$A$15,Products!$B$2:$B$15,"Not found")</f>
        <v/>
      </c>
    </row>
    <row r="1925">
      <c r="A1925" t="n">
        <v>106244</v>
      </c>
      <c r="B1925" s="1" t="n">
        <v>45836</v>
      </c>
      <c r="C1925" t="inlineStr">
        <is>
          <t>S04</t>
        </is>
      </c>
      <c r="D1925" t="inlineStr">
        <is>
          <t>P104</t>
        </is>
      </c>
      <c r="E1925" t="n">
        <v>1</v>
      </c>
      <c r="F1925" t="n">
        <v>189</v>
      </c>
      <c r="G1925" t="n">
        <v>0</v>
      </c>
      <c r="H1925">
        <f>E1925*F1925*(1-G1925)</f>
        <v/>
      </c>
      <c r="I1925">
        <f>XLOOKUP(D1925,Products!$A$2:$A$15,Products!$B$2:$B$15,"Not found")</f>
        <v/>
      </c>
    </row>
    <row r="1926">
      <c r="A1926" t="n">
        <v>106245</v>
      </c>
      <c r="B1926" s="1" t="n">
        <v>45836</v>
      </c>
      <c r="C1926" t="inlineStr">
        <is>
          <t>S04</t>
        </is>
      </c>
      <c r="D1926" t="inlineStr">
        <is>
          <t>P302</t>
        </is>
      </c>
      <c r="E1926" t="n">
        <v>2</v>
      </c>
      <c r="F1926" t="n">
        <v>24</v>
      </c>
      <c r="G1926" t="n">
        <v>0.15</v>
      </c>
      <c r="H1926">
        <f>E1926*F1926*(1-G1926)</f>
        <v/>
      </c>
      <c r="I1926">
        <f>XLOOKUP(D1926,Products!$A$2:$A$15,Products!$B$2:$B$15,"Not found")</f>
        <v/>
      </c>
    </row>
    <row r="1927">
      <c r="A1927" t="n">
        <v>106246</v>
      </c>
      <c r="B1927" s="1" t="n">
        <v>45836</v>
      </c>
      <c r="C1927" t="inlineStr">
        <is>
          <t>S05</t>
        </is>
      </c>
      <c r="D1927" t="inlineStr">
        <is>
          <t>P302</t>
        </is>
      </c>
      <c r="E1927" t="n">
        <v>2</v>
      </c>
      <c r="F1927" t="n">
        <v>24</v>
      </c>
      <c r="G1927" t="n">
        <v>0</v>
      </c>
      <c r="H1927">
        <f>E1927*F1927*(1-G1927)</f>
        <v/>
      </c>
      <c r="I1927">
        <f>XLOOKUP(D1927,Products!$A$2:$A$15,Products!$B$2:$B$15,"Not found")</f>
        <v/>
      </c>
    </row>
    <row r="1928">
      <c r="A1928" t="n">
        <v>106247</v>
      </c>
      <c r="B1928" s="1" t="n">
        <v>45836</v>
      </c>
      <c r="C1928" t="inlineStr">
        <is>
          <t>S06</t>
        </is>
      </c>
      <c r="D1928" t="inlineStr">
        <is>
          <t>P301</t>
        </is>
      </c>
      <c r="E1928" t="n">
        <v>1</v>
      </c>
      <c r="F1928" t="n">
        <v>119</v>
      </c>
      <c r="G1928" t="n">
        <v>0</v>
      </c>
      <c r="H1928">
        <f>E1928*F1928*(1-G1928)</f>
        <v/>
      </c>
      <c r="I1928">
        <f>XLOOKUP(D1928,Products!$A$2:$A$15,Products!$B$2:$B$15,"Not found")</f>
        <v/>
      </c>
    </row>
    <row r="1929">
      <c r="A1929" t="n">
        <v>106248</v>
      </c>
      <c r="B1929" s="1" t="n">
        <v>45837</v>
      </c>
      <c r="C1929" t="inlineStr">
        <is>
          <t>S01</t>
        </is>
      </c>
      <c r="D1929" t="inlineStr">
        <is>
          <t>P301</t>
        </is>
      </c>
      <c r="E1929" t="n">
        <v>1</v>
      </c>
      <c r="F1929" t="n">
        <v>119</v>
      </c>
      <c r="G1929" t="n">
        <v>0.1</v>
      </c>
      <c r="H1929">
        <f>E1929*F1929*(1-G1929)</f>
        <v/>
      </c>
      <c r="I1929">
        <f>XLOOKUP(D1929,Products!$A$2:$A$15,Products!$B$2:$B$15,"Not found")</f>
        <v/>
      </c>
    </row>
    <row r="1930">
      <c r="A1930" t="n">
        <v>106249</v>
      </c>
      <c r="B1930" s="1" t="n">
        <v>45837</v>
      </c>
      <c r="C1930" t="inlineStr">
        <is>
          <t>S01</t>
        </is>
      </c>
      <c r="D1930" t="inlineStr">
        <is>
          <t>P102</t>
        </is>
      </c>
      <c r="E1930" t="n">
        <v>2</v>
      </c>
      <c r="F1930" t="n">
        <v>14.5</v>
      </c>
      <c r="G1930" t="n">
        <v>0.15</v>
      </c>
      <c r="H1930">
        <f>E1930*F1930*(1-G1930)</f>
        <v/>
      </c>
      <c r="I1930">
        <f>XLOOKUP(D1930,Products!$A$2:$A$15,Products!$B$2:$B$15,"Not found")</f>
        <v/>
      </c>
    </row>
    <row r="1931">
      <c r="A1931" t="n">
        <v>106250</v>
      </c>
      <c r="B1931" s="1" t="n">
        <v>45837</v>
      </c>
      <c r="C1931" t="inlineStr">
        <is>
          <t>S01</t>
        </is>
      </c>
      <c r="D1931" t="inlineStr">
        <is>
          <t>P101</t>
        </is>
      </c>
      <c r="E1931" t="n">
        <v>4</v>
      </c>
      <c r="F1931" t="n">
        <v>39</v>
      </c>
      <c r="G1931" t="n">
        <v>0.1</v>
      </c>
      <c r="H1931">
        <f>E1931*F1931*(1-G1931)</f>
        <v/>
      </c>
      <c r="I1931">
        <f>XLOOKUP(D1931,Products!$A$2:$A$15,Products!$B$2:$B$15,"Not found")</f>
        <v/>
      </c>
    </row>
    <row r="1932">
      <c r="A1932" t="n">
        <v>106251</v>
      </c>
      <c r="B1932" s="1" t="n">
        <v>45837</v>
      </c>
      <c r="C1932" t="inlineStr">
        <is>
          <t>S02</t>
        </is>
      </c>
      <c r="D1932" t="inlineStr">
        <is>
          <t>P201</t>
        </is>
      </c>
      <c r="E1932" t="n">
        <v>1</v>
      </c>
      <c r="F1932" t="n">
        <v>149</v>
      </c>
      <c r="G1932" t="n">
        <v>0</v>
      </c>
      <c r="H1932">
        <f>E1932*F1932*(1-G1932)</f>
        <v/>
      </c>
      <c r="I1932">
        <f>XLOOKUP(D1932,Products!$A$2:$A$15,Products!$B$2:$B$15,"Not found")</f>
        <v/>
      </c>
    </row>
    <row r="1933">
      <c r="A1933" t="n">
        <v>106252</v>
      </c>
      <c r="B1933" s="1" t="n">
        <v>45837</v>
      </c>
      <c r="C1933" t="inlineStr">
        <is>
          <t>S03</t>
        </is>
      </c>
      <c r="D1933" t="inlineStr">
        <is>
          <t>P203</t>
        </is>
      </c>
      <c r="E1933" t="n">
        <v>1</v>
      </c>
      <c r="F1933" t="n">
        <v>19.5</v>
      </c>
      <c r="G1933" t="n">
        <v>0.1</v>
      </c>
      <c r="H1933">
        <f>E1933*F1933*(1-G1933)</f>
        <v/>
      </c>
      <c r="I1933">
        <f>XLOOKUP(D1933,Products!$A$2:$A$15,Products!$B$2:$B$15,"Not found")</f>
        <v/>
      </c>
    </row>
    <row r="1934">
      <c r="A1934" t="n">
        <v>106253</v>
      </c>
      <c r="B1934" s="1" t="n">
        <v>45837</v>
      </c>
      <c r="C1934" t="inlineStr">
        <is>
          <t>S03</t>
        </is>
      </c>
      <c r="D1934" t="inlineStr">
        <is>
          <t>P201</t>
        </is>
      </c>
      <c r="E1934" t="n">
        <v>1</v>
      </c>
      <c r="F1934" t="n">
        <v>149</v>
      </c>
      <c r="G1934" t="n">
        <v>0.2</v>
      </c>
      <c r="H1934">
        <f>E1934*F1934*(1-G1934)</f>
        <v/>
      </c>
      <c r="I1934">
        <f>XLOOKUP(D1934,Products!$A$2:$A$15,Products!$B$2:$B$15,"Not found")</f>
        <v/>
      </c>
    </row>
    <row r="1935">
      <c r="A1935" t="n">
        <v>106254</v>
      </c>
      <c r="B1935" s="1" t="n">
        <v>45837</v>
      </c>
      <c r="C1935" t="inlineStr">
        <is>
          <t>S03</t>
        </is>
      </c>
      <c r="D1935" t="inlineStr">
        <is>
          <t>P203</t>
        </is>
      </c>
      <c r="E1935" t="n">
        <v>2</v>
      </c>
      <c r="F1935" t="n">
        <v>19.5</v>
      </c>
      <c r="G1935" t="n">
        <v>0.1</v>
      </c>
      <c r="H1935">
        <f>E1935*F1935*(1-G1935)</f>
        <v/>
      </c>
      <c r="I1935">
        <f>XLOOKUP(D1935,Products!$A$2:$A$15,Products!$B$2:$B$15,"Not found")</f>
        <v/>
      </c>
    </row>
    <row r="1936">
      <c r="A1936" t="n">
        <v>106255</v>
      </c>
      <c r="B1936" s="1" t="n">
        <v>45837</v>
      </c>
      <c r="C1936" t="inlineStr">
        <is>
          <t>S04</t>
        </is>
      </c>
      <c r="D1936" t="inlineStr">
        <is>
          <t>P302</t>
        </is>
      </c>
      <c r="E1936" t="n">
        <v>1</v>
      </c>
      <c r="F1936" t="n">
        <v>24</v>
      </c>
      <c r="G1936" t="n">
        <v>0</v>
      </c>
      <c r="H1936">
        <f>E1936*F1936*(1-G1936)</f>
        <v/>
      </c>
      <c r="I1936">
        <f>XLOOKUP(D1936,Products!$A$2:$A$15,Products!$B$2:$B$15,"Not found")</f>
        <v/>
      </c>
    </row>
    <row r="1937">
      <c r="A1937" t="n">
        <v>106256</v>
      </c>
      <c r="B1937" s="1" t="n">
        <v>45837</v>
      </c>
      <c r="C1937" t="inlineStr">
        <is>
          <t>S04</t>
        </is>
      </c>
      <c r="D1937" t="inlineStr">
        <is>
          <t>P401</t>
        </is>
      </c>
      <c r="E1937" t="n">
        <v>1</v>
      </c>
      <c r="F1937" t="n">
        <v>549</v>
      </c>
      <c r="G1937" t="n">
        <v>0.2</v>
      </c>
      <c r="H1937">
        <f>E1937*F1937*(1-G1937)</f>
        <v/>
      </c>
      <c r="I1937">
        <f>XLOOKUP(D1937,Products!$A$2:$A$15,Products!$B$2:$B$15,"Not found")</f>
        <v/>
      </c>
    </row>
    <row r="1938">
      <c r="A1938" t="n">
        <v>106257</v>
      </c>
      <c r="B1938" s="1" t="n">
        <v>45837</v>
      </c>
      <c r="C1938" t="inlineStr">
        <is>
          <t>S05</t>
        </is>
      </c>
      <c r="D1938" t="inlineStr">
        <is>
          <t>P302</t>
        </is>
      </c>
      <c r="E1938" t="n">
        <v>1</v>
      </c>
      <c r="F1938" t="n">
        <v>24</v>
      </c>
      <c r="G1938" t="n">
        <v>0</v>
      </c>
      <c r="H1938">
        <f>E1938*F1938*(1-G1938)</f>
        <v/>
      </c>
      <c r="I1938">
        <f>XLOOKUP(D1938,Products!$A$2:$A$15,Products!$B$2:$B$15,"Not found")</f>
        <v/>
      </c>
    </row>
    <row r="1939">
      <c r="A1939" t="n">
        <v>106258</v>
      </c>
      <c r="B1939" s="1" t="n">
        <v>45837</v>
      </c>
      <c r="C1939" t="inlineStr">
        <is>
          <t>S05</t>
        </is>
      </c>
      <c r="D1939" t="inlineStr">
        <is>
          <t>P203</t>
        </is>
      </c>
      <c r="E1939" t="n">
        <v>1</v>
      </c>
      <c r="F1939" t="n">
        <v>19.5</v>
      </c>
      <c r="G1939" t="n">
        <v>0</v>
      </c>
      <c r="H1939">
        <f>E1939*F1939*(1-G1939)</f>
        <v/>
      </c>
      <c r="I1939">
        <f>XLOOKUP(D1939,Products!$A$2:$A$15,Products!$B$2:$B$15,"Not found")</f>
        <v/>
      </c>
    </row>
    <row r="1940">
      <c r="A1940" t="n">
        <v>106259</v>
      </c>
      <c r="B1940" s="1" t="n">
        <v>45837</v>
      </c>
      <c r="C1940" t="inlineStr">
        <is>
          <t>S05</t>
        </is>
      </c>
      <c r="D1940" t="inlineStr">
        <is>
          <t>P101</t>
        </is>
      </c>
      <c r="E1940" t="n">
        <v>3</v>
      </c>
      <c r="F1940" t="n">
        <v>39</v>
      </c>
      <c r="G1940" t="n">
        <v>0.15</v>
      </c>
      <c r="H1940">
        <f>E1940*F1940*(1-G1940)</f>
        <v/>
      </c>
      <c r="I1940">
        <f>XLOOKUP(D1940,Products!$A$2:$A$15,Products!$B$2:$B$15,"Not found")</f>
        <v/>
      </c>
    </row>
    <row r="1941">
      <c r="A1941" t="n">
        <v>106260</v>
      </c>
      <c r="B1941" s="1" t="n">
        <v>45837</v>
      </c>
      <c r="C1941" t="inlineStr">
        <is>
          <t>S06</t>
        </is>
      </c>
      <c r="D1941" t="inlineStr">
        <is>
          <t>P104</t>
        </is>
      </c>
      <c r="E1941" t="n">
        <v>1</v>
      </c>
      <c r="F1941" t="n">
        <v>189</v>
      </c>
      <c r="G1941" t="n">
        <v>0</v>
      </c>
      <c r="H1941">
        <f>E1941*F1941*(1-G1941)</f>
        <v/>
      </c>
      <c r="I1941">
        <f>XLOOKUP(D1941,Products!$A$2:$A$15,Products!$B$2:$B$15,"Not found")</f>
        <v/>
      </c>
    </row>
    <row r="1942">
      <c r="A1942" t="n">
        <v>106261</v>
      </c>
      <c r="B1942" s="1" t="n">
        <v>45837</v>
      </c>
      <c r="C1942" t="inlineStr">
        <is>
          <t>S06</t>
        </is>
      </c>
      <c r="D1942" t="inlineStr">
        <is>
          <t>P101</t>
        </is>
      </c>
      <c r="E1942" t="n">
        <v>4</v>
      </c>
      <c r="F1942" t="n">
        <v>39</v>
      </c>
      <c r="G1942" t="n">
        <v>0</v>
      </c>
      <c r="H1942">
        <f>E1942*F1942*(1-G1942)</f>
        <v/>
      </c>
      <c r="I1942">
        <f>XLOOKUP(D1942,Products!$A$2:$A$15,Products!$B$2:$B$15,"Not found")</f>
        <v/>
      </c>
    </row>
    <row r="1943">
      <c r="A1943" t="n">
        <v>106262</v>
      </c>
      <c r="B1943" s="1" t="n">
        <v>45837</v>
      </c>
      <c r="C1943" t="inlineStr">
        <is>
          <t>S06</t>
        </is>
      </c>
      <c r="D1943" t="inlineStr">
        <is>
          <t>P302</t>
        </is>
      </c>
      <c r="E1943" t="n">
        <v>3</v>
      </c>
      <c r="F1943" t="n">
        <v>24</v>
      </c>
      <c r="G1943" t="n">
        <v>0</v>
      </c>
      <c r="H1943">
        <f>E1943*F1943*(1-G1943)</f>
        <v/>
      </c>
      <c r="I1943">
        <f>XLOOKUP(D1943,Products!$A$2:$A$15,Products!$B$2:$B$15,"Not found")</f>
        <v/>
      </c>
    </row>
    <row r="1944">
      <c r="A1944" t="n">
        <v>106263</v>
      </c>
      <c r="B1944" s="1" t="n">
        <v>45837</v>
      </c>
      <c r="C1944" t="inlineStr">
        <is>
          <t>S06</t>
        </is>
      </c>
      <c r="D1944" t="inlineStr">
        <is>
          <t>P303</t>
        </is>
      </c>
      <c r="E1944" t="n">
        <v>3</v>
      </c>
      <c r="F1944" t="n">
        <v>12</v>
      </c>
      <c r="G1944" t="n">
        <v>0</v>
      </c>
      <c r="H1944">
        <f>E1944*F1944*(1-G1944)</f>
        <v/>
      </c>
      <c r="I1944">
        <f>XLOOKUP(D1944,Products!$A$2:$A$15,Products!$B$2:$B$15,"Not found")</f>
        <v/>
      </c>
    </row>
    <row r="1945">
      <c r="A1945" t="n">
        <v>106264</v>
      </c>
      <c r="B1945" s="1" t="n">
        <v>45838</v>
      </c>
      <c r="C1945" t="inlineStr">
        <is>
          <t>S01</t>
        </is>
      </c>
      <c r="D1945" t="inlineStr">
        <is>
          <t>P101</t>
        </is>
      </c>
      <c r="E1945" t="n">
        <v>1</v>
      </c>
      <c r="F1945" t="n">
        <v>39</v>
      </c>
      <c r="G1945" t="n">
        <v>0</v>
      </c>
      <c r="H1945">
        <f>E1945*F1945*(1-G1945)</f>
        <v/>
      </c>
      <c r="I1945">
        <f>XLOOKUP(D1945,Products!$A$2:$A$15,Products!$B$2:$B$15,"Not found")</f>
        <v/>
      </c>
    </row>
    <row r="1946">
      <c r="A1946" t="n">
        <v>106265</v>
      </c>
      <c r="B1946" s="1" t="n">
        <v>45838</v>
      </c>
      <c r="C1946" t="inlineStr">
        <is>
          <t>S01</t>
        </is>
      </c>
      <c r="D1946" t="inlineStr">
        <is>
          <t>P303</t>
        </is>
      </c>
      <c r="E1946" t="n">
        <v>4</v>
      </c>
      <c r="F1946" t="n">
        <v>12</v>
      </c>
      <c r="G1946" t="n">
        <v>0.15</v>
      </c>
      <c r="H1946">
        <f>E1946*F1946*(1-G1946)</f>
        <v/>
      </c>
      <c r="I1946">
        <f>XLOOKUP(D1946,Products!$A$2:$A$15,Products!$B$2:$B$15,"Not found")</f>
        <v/>
      </c>
    </row>
    <row r="1947">
      <c r="A1947" t="n">
        <v>106266</v>
      </c>
      <c r="B1947" s="1" t="n">
        <v>45838</v>
      </c>
      <c r="C1947" t="inlineStr">
        <is>
          <t>S01</t>
        </is>
      </c>
      <c r="D1947" t="inlineStr">
        <is>
          <t>P101</t>
        </is>
      </c>
      <c r="E1947" t="n">
        <v>2</v>
      </c>
      <c r="F1947" t="n">
        <v>39</v>
      </c>
      <c r="G1947" t="n">
        <v>0</v>
      </c>
      <c r="H1947">
        <f>E1947*F1947*(1-G1947)</f>
        <v/>
      </c>
      <c r="I1947">
        <f>XLOOKUP(D1947,Products!$A$2:$A$15,Products!$B$2:$B$15,"Not found")</f>
        <v/>
      </c>
    </row>
    <row r="1948">
      <c r="A1948" t="n">
        <v>106267</v>
      </c>
      <c r="B1948" s="1" t="n">
        <v>45838</v>
      </c>
      <c r="C1948" t="inlineStr">
        <is>
          <t>S01</t>
        </is>
      </c>
      <c r="D1948" t="inlineStr">
        <is>
          <t>P102</t>
        </is>
      </c>
      <c r="E1948" t="n">
        <v>3</v>
      </c>
      <c r="F1948" t="n">
        <v>14.5</v>
      </c>
      <c r="G1948" t="n">
        <v>0</v>
      </c>
      <c r="H1948">
        <f>E1948*F1948*(1-G1948)</f>
        <v/>
      </c>
      <c r="I1948">
        <f>XLOOKUP(D1948,Products!$A$2:$A$15,Products!$B$2:$B$15,"Not found")</f>
        <v/>
      </c>
    </row>
    <row r="1949">
      <c r="A1949" t="n">
        <v>106268</v>
      </c>
      <c r="B1949" s="1" t="n">
        <v>45838</v>
      </c>
      <c r="C1949" t="inlineStr">
        <is>
          <t>S01</t>
        </is>
      </c>
      <c r="D1949" t="inlineStr">
        <is>
          <t>P201</t>
        </is>
      </c>
      <c r="E1949" t="n">
        <v>1</v>
      </c>
      <c r="F1949" t="n">
        <v>149</v>
      </c>
      <c r="G1949" t="n">
        <v>0</v>
      </c>
      <c r="H1949">
        <f>E1949*F1949*(1-G1949)</f>
        <v/>
      </c>
      <c r="I1949">
        <f>XLOOKUP(D1949,Products!$A$2:$A$15,Products!$B$2:$B$15,"Not found")</f>
        <v/>
      </c>
    </row>
    <row r="1950">
      <c r="A1950" t="n">
        <v>106269</v>
      </c>
      <c r="B1950" s="1" t="n">
        <v>45838</v>
      </c>
      <c r="C1950" t="inlineStr">
        <is>
          <t>S01</t>
        </is>
      </c>
      <c r="D1950" t="inlineStr">
        <is>
          <t>P102</t>
        </is>
      </c>
      <c r="E1950" t="n">
        <v>1</v>
      </c>
      <c r="F1950" t="n">
        <v>14.5</v>
      </c>
      <c r="G1950" t="n">
        <v>0</v>
      </c>
      <c r="H1950">
        <f>E1950*F1950*(1-G1950)</f>
        <v/>
      </c>
      <c r="I1950">
        <f>XLOOKUP(D1950,Products!$A$2:$A$15,Products!$B$2:$B$15,"Not found")</f>
        <v/>
      </c>
    </row>
    <row r="1951">
      <c r="A1951" t="n">
        <v>106270</v>
      </c>
      <c r="B1951" s="1" t="n">
        <v>45838</v>
      </c>
      <c r="C1951" t="inlineStr">
        <is>
          <t>S01</t>
        </is>
      </c>
      <c r="D1951" t="inlineStr">
        <is>
          <t>P101</t>
        </is>
      </c>
      <c r="E1951" t="n">
        <v>1</v>
      </c>
      <c r="F1951" t="n">
        <v>39</v>
      </c>
      <c r="G1951" t="n">
        <v>0</v>
      </c>
      <c r="H1951">
        <f>E1951*F1951*(1-G1951)</f>
        <v/>
      </c>
      <c r="I1951">
        <f>XLOOKUP(D1951,Products!$A$2:$A$15,Products!$B$2:$B$15,"Not found")</f>
        <v/>
      </c>
    </row>
    <row r="1952">
      <c r="A1952" t="n">
        <v>106271</v>
      </c>
      <c r="B1952" s="1" t="n">
        <v>45838</v>
      </c>
      <c r="C1952" t="inlineStr">
        <is>
          <t>S02</t>
        </is>
      </c>
      <c r="D1952" t="inlineStr">
        <is>
          <t>P102</t>
        </is>
      </c>
      <c r="E1952" t="n">
        <v>2</v>
      </c>
      <c r="F1952" t="n">
        <v>14.5</v>
      </c>
      <c r="G1952" t="n">
        <v>0.1</v>
      </c>
      <c r="H1952">
        <f>E1952*F1952*(1-G1952)</f>
        <v/>
      </c>
      <c r="I1952">
        <f>XLOOKUP(D1952,Products!$A$2:$A$15,Products!$B$2:$B$15,"Not found")</f>
        <v/>
      </c>
    </row>
    <row r="1953">
      <c r="A1953" t="n">
        <v>106272</v>
      </c>
      <c r="B1953" s="1" t="n">
        <v>45838</v>
      </c>
      <c r="C1953" t="inlineStr">
        <is>
          <t>S03</t>
        </is>
      </c>
      <c r="D1953" t="inlineStr">
        <is>
          <t>P102</t>
        </is>
      </c>
      <c r="E1953" t="n">
        <v>2</v>
      </c>
      <c r="F1953" t="n">
        <v>14.5</v>
      </c>
      <c r="G1953" t="n">
        <v>0.2</v>
      </c>
      <c r="H1953">
        <f>E1953*F1953*(1-G1953)</f>
        <v/>
      </c>
      <c r="I1953">
        <f>XLOOKUP(D1953,Products!$A$2:$A$15,Products!$B$2:$B$15,"Not found")</f>
        <v/>
      </c>
    </row>
    <row r="1954">
      <c r="A1954" t="n">
        <v>106273</v>
      </c>
      <c r="B1954" s="1" t="n">
        <v>45838</v>
      </c>
      <c r="C1954" t="inlineStr">
        <is>
          <t>S04</t>
        </is>
      </c>
      <c r="D1954" t="inlineStr">
        <is>
          <t>P203</t>
        </is>
      </c>
      <c r="E1954" t="n">
        <v>1</v>
      </c>
      <c r="F1954" t="n">
        <v>19.5</v>
      </c>
      <c r="G1954" t="n">
        <v>0</v>
      </c>
      <c r="H1954">
        <f>E1954*F1954*(1-G1954)</f>
        <v/>
      </c>
      <c r="I1954">
        <f>XLOOKUP(D1954,Products!$A$2:$A$15,Products!$B$2:$B$15,"Not found")</f>
        <v/>
      </c>
    </row>
    <row r="1955">
      <c r="A1955" t="n">
        <v>106274</v>
      </c>
      <c r="B1955" s="1" t="n">
        <v>45839</v>
      </c>
      <c r="C1955" t="inlineStr">
        <is>
          <t>S01</t>
        </is>
      </c>
      <c r="D1955" t="inlineStr">
        <is>
          <t>P302</t>
        </is>
      </c>
      <c r="E1955" t="n">
        <v>2</v>
      </c>
      <c r="F1955" t="n">
        <v>24</v>
      </c>
      <c r="G1955" t="n">
        <v>0.2</v>
      </c>
      <c r="H1955">
        <f>E1955*F1955*(1-G1955)</f>
        <v/>
      </c>
      <c r="I1955">
        <f>XLOOKUP(D1955,Products!$A$2:$A$15,Products!$B$2:$B$15,"Not found")</f>
        <v/>
      </c>
    </row>
    <row r="1956">
      <c r="A1956" t="n">
        <v>106275</v>
      </c>
      <c r="B1956" s="1" t="n">
        <v>45839</v>
      </c>
      <c r="C1956" t="inlineStr">
        <is>
          <t>S01</t>
        </is>
      </c>
      <c r="D1956" t="inlineStr">
        <is>
          <t>P302</t>
        </is>
      </c>
      <c r="E1956" t="n">
        <v>4</v>
      </c>
      <c r="F1956" t="n">
        <v>24</v>
      </c>
      <c r="G1956" t="n">
        <v>0</v>
      </c>
      <c r="H1956">
        <f>E1956*F1956*(1-G1956)</f>
        <v/>
      </c>
      <c r="I1956">
        <f>XLOOKUP(D1956,Products!$A$2:$A$15,Products!$B$2:$B$15,"Not found")</f>
        <v/>
      </c>
    </row>
    <row r="1957">
      <c r="A1957" t="n">
        <v>106276</v>
      </c>
      <c r="B1957" s="1" t="n">
        <v>45839</v>
      </c>
      <c r="C1957" t="inlineStr">
        <is>
          <t>S03</t>
        </is>
      </c>
      <c r="D1957" t="inlineStr">
        <is>
          <t>P201</t>
        </is>
      </c>
      <c r="E1957" t="n">
        <v>1</v>
      </c>
      <c r="F1957" t="n">
        <v>149</v>
      </c>
      <c r="G1957" t="n">
        <v>0.1</v>
      </c>
      <c r="H1957">
        <f>E1957*F1957*(1-G1957)</f>
        <v/>
      </c>
      <c r="I1957">
        <f>XLOOKUP(D1957,Products!$A$2:$A$15,Products!$B$2:$B$15,"Not found")</f>
        <v/>
      </c>
    </row>
    <row r="1958">
      <c r="A1958" t="n">
        <v>106277</v>
      </c>
      <c r="B1958" s="1" t="n">
        <v>45839</v>
      </c>
      <c r="C1958" t="inlineStr">
        <is>
          <t>S04</t>
        </is>
      </c>
      <c r="D1958" t="inlineStr">
        <is>
          <t>P403</t>
        </is>
      </c>
      <c r="E1958" t="n">
        <v>1</v>
      </c>
      <c r="F1958" t="n">
        <v>89</v>
      </c>
      <c r="G1958" t="n">
        <v>0.2</v>
      </c>
      <c r="H1958">
        <f>E1958*F1958*(1-G1958)</f>
        <v/>
      </c>
      <c r="I1958">
        <f>XLOOKUP(D1958,Products!$A$2:$A$15,Products!$B$2:$B$15,"Not found")</f>
        <v/>
      </c>
    </row>
    <row r="1959">
      <c r="A1959" t="n">
        <v>106278</v>
      </c>
      <c r="B1959" s="1" t="n">
        <v>45839</v>
      </c>
      <c r="C1959" t="inlineStr">
        <is>
          <t>S05</t>
        </is>
      </c>
      <c r="D1959" t="inlineStr">
        <is>
          <t>P202</t>
        </is>
      </c>
      <c r="E1959" t="n">
        <v>1</v>
      </c>
      <c r="F1959" t="n">
        <v>79</v>
      </c>
      <c r="G1959" t="n">
        <v>0</v>
      </c>
      <c r="H1959">
        <f>E1959*F1959*(1-G1959)</f>
        <v/>
      </c>
      <c r="I1959">
        <f>XLOOKUP(D1959,Products!$A$2:$A$15,Products!$B$2:$B$15,"Not found")</f>
        <v/>
      </c>
    </row>
    <row r="1960">
      <c r="A1960" t="n">
        <v>106279</v>
      </c>
      <c r="B1960" s="1" t="n">
        <v>45839</v>
      </c>
      <c r="C1960" t="inlineStr">
        <is>
          <t>S06</t>
        </is>
      </c>
      <c r="D1960" t="inlineStr">
        <is>
          <t>P301</t>
        </is>
      </c>
      <c r="E1960" t="n">
        <v>1</v>
      </c>
      <c r="F1960" t="n">
        <v>119</v>
      </c>
      <c r="G1960" t="n">
        <v>0</v>
      </c>
      <c r="H1960">
        <f>E1960*F1960*(1-G1960)</f>
        <v/>
      </c>
      <c r="I1960">
        <f>XLOOKUP(D1960,Products!$A$2:$A$15,Products!$B$2:$B$15,"Not found")</f>
        <v/>
      </c>
    </row>
    <row r="1961">
      <c r="A1961" t="n">
        <v>106280</v>
      </c>
      <c r="B1961" s="1" t="n">
        <v>45839</v>
      </c>
      <c r="C1961" t="inlineStr">
        <is>
          <t>S06</t>
        </is>
      </c>
      <c r="D1961" t="inlineStr">
        <is>
          <t>P103</t>
        </is>
      </c>
      <c r="E1961" t="n">
        <v>1</v>
      </c>
      <c r="F1961" t="n">
        <v>29</v>
      </c>
      <c r="G1961" t="n">
        <v>0.1</v>
      </c>
      <c r="H1961">
        <f>E1961*F1961*(1-G1961)</f>
        <v/>
      </c>
      <c r="I1961">
        <f>XLOOKUP(D1961,Products!$A$2:$A$15,Products!$B$2:$B$15,"Not found")</f>
        <v/>
      </c>
    </row>
    <row r="1962">
      <c r="A1962" t="n">
        <v>106281</v>
      </c>
      <c r="B1962" s="1" t="n">
        <v>45840</v>
      </c>
      <c r="C1962" t="inlineStr">
        <is>
          <t>S01</t>
        </is>
      </c>
      <c r="D1962" t="inlineStr">
        <is>
          <t>P103</t>
        </is>
      </c>
      <c r="E1962" t="n">
        <v>2</v>
      </c>
      <c r="F1962" t="n">
        <v>29</v>
      </c>
      <c r="G1962" t="n">
        <v>0.2</v>
      </c>
      <c r="H1962">
        <f>E1962*F1962*(1-G1962)</f>
        <v/>
      </c>
      <c r="I1962">
        <f>XLOOKUP(D1962,Products!$A$2:$A$15,Products!$B$2:$B$15,"Not found")</f>
        <v/>
      </c>
    </row>
    <row r="1963">
      <c r="A1963" t="n">
        <v>106282</v>
      </c>
      <c r="B1963" s="1" t="n">
        <v>45840</v>
      </c>
      <c r="C1963" t="inlineStr">
        <is>
          <t>S02</t>
        </is>
      </c>
      <c r="D1963" t="inlineStr">
        <is>
          <t>P302</t>
        </is>
      </c>
      <c r="E1963" t="n">
        <v>1</v>
      </c>
      <c r="F1963" t="n">
        <v>24</v>
      </c>
      <c r="G1963" t="n">
        <v>0</v>
      </c>
      <c r="H1963">
        <f>E1963*F1963*(1-G1963)</f>
        <v/>
      </c>
      <c r="I1963">
        <f>XLOOKUP(D1963,Products!$A$2:$A$15,Products!$B$2:$B$15,"Not found")</f>
        <v/>
      </c>
    </row>
    <row r="1964">
      <c r="A1964" t="n">
        <v>106283</v>
      </c>
      <c r="B1964" s="1" t="n">
        <v>45840</v>
      </c>
      <c r="C1964" t="inlineStr">
        <is>
          <t>S02</t>
        </is>
      </c>
      <c r="D1964" t="inlineStr">
        <is>
          <t>P102</t>
        </is>
      </c>
      <c r="E1964" t="n">
        <v>1</v>
      </c>
      <c r="F1964" t="n">
        <v>14.5</v>
      </c>
      <c r="G1964" t="n">
        <v>0</v>
      </c>
      <c r="H1964">
        <f>E1964*F1964*(1-G1964)</f>
        <v/>
      </c>
      <c r="I1964">
        <f>XLOOKUP(D1964,Products!$A$2:$A$15,Products!$B$2:$B$15,"Not found")</f>
        <v/>
      </c>
    </row>
    <row r="1965">
      <c r="A1965" t="n">
        <v>106284</v>
      </c>
      <c r="B1965" s="1" t="n">
        <v>45840</v>
      </c>
      <c r="C1965" t="inlineStr">
        <is>
          <t>S02</t>
        </is>
      </c>
      <c r="D1965" t="inlineStr">
        <is>
          <t>P403</t>
        </is>
      </c>
      <c r="E1965" t="n">
        <v>1</v>
      </c>
      <c r="F1965" t="n">
        <v>89</v>
      </c>
      <c r="G1965" t="n">
        <v>0.2</v>
      </c>
      <c r="H1965">
        <f>E1965*F1965*(1-G1965)</f>
        <v/>
      </c>
      <c r="I1965">
        <f>XLOOKUP(D1965,Products!$A$2:$A$15,Products!$B$2:$B$15,"Not found")</f>
        <v/>
      </c>
    </row>
    <row r="1966">
      <c r="A1966" t="n">
        <v>106285</v>
      </c>
      <c r="B1966" s="1" t="n">
        <v>45840</v>
      </c>
      <c r="C1966" t="inlineStr">
        <is>
          <t>S03</t>
        </is>
      </c>
      <c r="D1966" t="inlineStr">
        <is>
          <t>P303</t>
        </is>
      </c>
      <c r="E1966" t="n">
        <v>2</v>
      </c>
      <c r="F1966" t="n">
        <v>12</v>
      </c>
      <c r="G1966" t="n">
        <v>0</v>
      </c>
      <c r="H1966">
        <f>E1966*F1966*(1-G1966)</f>
        <v/>
      </c>
      <c r="I1966">
        <f>XLOOKUP(D1966,Products!$A$2:$A$15,Products!$B$2:$B$15,"Not found")</f>
        <v/>
      </c>
    </row>
    <row r="1967">
      <c r="A1967" t="n">
        <v>106286</v>
      </c>
      <c r="B1967" s="1" t="n">
        <v>45840</v>
      </c>
      <c r="C1967" t="inlineStr">
        <is>
          <t>S04</t>
        </is>
      </c>
      <c r="D1967" t="inlineStr">
        <is>
          <t>P103</t>
        </is>
      </c>
      <c r="E1967" t="n">
        <v>2</v>
      </c>
      <c r="F1967" t="n">
        <v>29</v>
      </c>
      <c r="G1967" t="n">
        <v>0.1</v>
      </c>
      <c r="H1967">
        <f>E1967*F1967*(1-G1967)</f>
        <v/>
      </c>
      <c r="I1967">
        <f>XLOOKUP(D1967,Products!$A$2:$A$15,Products!$B$2:$B$15,"Not found")</f>
        <v/>
      </c>
    </row>
    <row r="1968">
      <c r="A1968" t="n">
        <v>106287</v>
      </c>
      <c r="B1968" s="1" t="n">
        <v>45840</v>
      </c>
      <c r="C1968" t="inlineStr">
        <is>
          <t>S04</t>
        </is>
      </c>
      <c r="D1968" t="inlineStr">
        <is>
          <t>P101</t>
        </is>
      </c>
      <c r="E1968" t="n">
        <v>4</v>
      </c>
      <c r="F1968" t="n">
        <v>39</v>
      </c>
      <c r="G1968" t="n">
        <v>0.1</v>
      </c>
      <c r="H1968">
        <f>E1968*F1968*(1-G1968)</f>
        <v/>
      </c>
      <c r="I1968">
        <f>XLOOKUP(D1968,Products!$A$2:$A$15,Products!$B$2:$B$15,"Not found")</f>
        <v/>
      </c>
    </row>
    <row r="1969">
      <c r="A1969" t="n">
        <v>106288</v>
      </c>
      <c r="B1969" s="1" t="n">
        <v>45840</v>
      </c>
      <c r="C1969" t="inlineStr">
        <is>
          <t>S05</t>
        </is>
      </c>
      <c r="D1969" t="inlineStr">
        <is>
          <t>P202</t>
        </is>
      </c>
      <c r="E1969" t="n">
        <v>2</v>
      </c>
      <c r="F1969" t="n">
        <v>79</v>
      </c>
      <c r="G1969" t="n">
        <v>0</v>
      </c>
      <c r="H1969">
        <f>E1969*F1969*(1-G1969)</f>
        <v/>
      </c>
      <c r="I1969">
        <f>XLOOKUP(D1969,Products!$A$2:$A$15,Products!$B$2:$B$15,"Not found")</f>
        <v/>
      </c>
    </row>
    <row r="1970">
      <c r="A1970" t="n">
        <v>106289</v>
      </c>
      <c r="B1970" s="1" t="n">
        <v>45840</v>
      </c>
      <c r="C1970" t="inlineStr">
        <is>
          <t>S06</t>
        </is>
      </c>
      <c r="D1970" t="inlineStr">
        <is>
          <t>P101</t>
        </is>
      </c>
      <c r="E1970" t="n">
        <v>2</v>
      </c>
      <c r="F1970" t="n">
        <v>39</v>
      </c>
      <c r="G1970" t="n">
        <v>0.15</v>
      </c>
      <c r="H1970">
        <f>E1970*F1970*(1-G1970)</f>
        <v/>
      </c>
      <c r="I1970">
        <f>XLOOKUP(D1970,Products!$A$2:$A$15,Products!$B$2:$B$15,"Not found")</f>
        <v/>
      </c>
    </row>
    <row r="1971">
      <c r="A1971" t="n">
        <v>106290</v>
      </c>
      <c r="B1971" s="1" t="n">
        <v>45840</v>
      </c>
      <c r="C1971" t="inlineStr">
        <is>
          <t>S06</t>
        </is>
      </c>
      <c r="D1971" t="inlineStr">
        <is>
          <t>P201</t>
        </is>
      </c>
      <c r="E1971" t="n">
        <v>1</v>
      </c>
      <c r="F1971" t="n">
        <v>149</v>
      </c>
      <c r="G1971" t="n">
        <v>0.1</v>
      </c>
      <c r="H1971">
        <f>E1971*F1971*(1-G1971)</f>
        <v/>
      </c>
      <c r="I1971">
        <f>XLOOKUP(D1971,Products!$A$2:$A$15,Products!$B$2:$B$15,"Not found")</f>
        <v/>
      </c>
    </row>
    <row r="1972">
      <c r="A1972" t="n">
        <v>106291</v>
      </c>
      <c r="B1972" s="1" t="n">
        <v>45841</v>
      </c>
      <c r="C1972" t="inlineStr">
        <is>
          <t>S01</t>
        </is>
      </c>
      <c r="D1972" t="inlineStr">
        <is>
          <t>P102</t>
        </is>
      </c>
      <c r="E1972" t="n">
        <v>1</v>
      </c>
      <c r="F1972" t="n">
        <v>14.5</v>
      </c>
      <c r="G1972" t="n">
        <v>0.15</v>
      </c>
      <c r="H1972">
        <f>E1972*F1972*(1-G1972)</f>
        <v/>
      </c>
      <c r="I1972">
        <f>XLOOKUP(D1972,Products!$A$2:$A$15,Products!$B$2:$B$15,"Not found")</f>
        <v/>
      </c>
    </row>
    <row r="1973">
      <c r="A1973" t="n">
        <v>106292</v>
      </c>
      <c r="B1973" s="1" t="n">
        <v>45841</v>
      </c>
      <c r="C1973" t="inlineStr">
        <is>
          <t>S01</t>
        </is>
      </c>
      <c r="D1973" t="inlineStr">
        <is>
          <t>P403</t>
        </is>
      </c>
      <c r="E1973" t="n">
        <v>1</v>
      </c>
      <c r="F1973" t="n">
        <v>89</v>
      </c>
      <c r="G1973" t="n">
        <v>0.2</v>
      </c>
      <c r="H1973">
        <f>E1973*F1973*(1-G1973)</f>
        <v/>
      </c>
      <c r="I1973">
        <f>XLOOKUP(D1973,Products!$A$2:$A$15,Products!$B$2:$B$15,"Not found")</f>
        <v/>
      </c>
    </row>
    <row r="1974">
      <c r="A1974" t="n">
        <v>106293</v>
      </c>
      <c r="B1974" s="1" t="n">
        <v>45841</v>
      </c>
      <c r="C1974" t="inlineStr">
        <is>
          <t>S02</t>
        </is>
      </c>
      <c r="D1974" t="inlineStr">
        <is>
          <t>P101</t>
        </is>
      </c>
      <c r="E1974" t="n">
        <v>3</v>
      </c>
      <c r="F1974" t="n">
        <v>39</v>
      </c>
      <c r="G1974" t="n">
        <v>0</v>
      </c>
      <c r="H1974">
        <f>E1974*F1974*(1-G1974)</f>
        <v/>
      </c>
      <c r="I1974">
        <f>XLOOKUP(D1974,Products!$A$2:$A$15,Products!$B$2:$B$15,"Not found")</f>
        <v/>
      </c>
    </row>
    <row r="1975">
      <c r="A1975" t="n">
        <v>106294</v>
      </c>
      <c r="B1975" s="1" t="n">
        <v>45841</v>
      </c>
      <c r="C1975" t="inlineStr">
        <is>
          <t>S02</t>
        </is>
      </c>
      <c r="D1975" t="inlineStr">
        <is>
          <t>P301</t>
        </is>
      </c>
      <c r="E1975" t="n">
        <v>1</v>
      </c>
      <c r="F1975" t="n">
        <v>119</v>
      </c>
      <c r="G1975" t="n">
        <v>0.1</v>
      </c>
      <c r="H1975">
        <f>E1975*F1975*(1-G1975)</f>
        <v/>
      </c>
      <c r="I1975">
        <f>XLOOKUP(D1975,Products!$A$2:$A$15,Products!$B$2:$B$15,"Not found")</f>
        <v/>
      </c>
    </row>
    <row r="1976">
      <c r="A1976" t="n">
        <v>106295</v>
      </c>
      <c r="B1976" s="1" t="n">
        <v>45841</v>
      </c>
      <c r="C1976" t="inlineStr">
        <is>
          <t>S02</t>
        </is>
      </c>
      <c r="D1976" t="inlineStr">
        <is>
          <t>P102</t>
        </is>
      </c>
      <c r="E1976" t="n">
        <v>1</v>
      </c>
      <c r="F1976" t="n">
        <v>14.5</v>
      </c>
      <c r="G1976" t="n">
        <v>0</v>
      </c>
      <c r="H1976">
        <f>E1976*F1976*(1-G1976)</f>
        <v/>
      </c>
      <c r="I1976">
        <f>XLOOKUP(D1976,Products!$A$2:$A$15,Products!$B$2:$B$15,"Not found")</f>
        <v/>
      </c>
    </row>
    <row r="1977">
      <c r="A1977" t="n">
        <v>106296</v>
      </c>
      <c r="B1977" s="1" t="n">
        <v>45841</v>
      </c>
      <c r="C1977" t="inlineStr">
        <is>
          <t>S02</t>
        </is>
      </c>
      <c r="D1977" t="inlineStr">
        <is>
          <t>P303</t>
        </is>
      </c>
      <c r="E1977" t="n">
        <v>3</v>
      </c>
      <c r="F1977" t="n">
        <v>12</v>
      </c>
      <c r="G1977" t="n">
        <v>0</v>
      </c>
      <c r="H1977">
        <f>E1977*F1977*(1-G1977)</f>
        <v/>
      </c>
      <c r="I1977">
        <f>XLOOKUP(D1977,Products!$A$2:$A$15,Products!$B$2:$B$15,"Not found")</f>
        <v/>
      </c>
    </row>
    <row r="1978">
      <c r="A1978" t="n">
        <v>106297</v>
      </c>
      <c r="B1978" s="1" t="n">
        <v>45841</v>
      </c>
      <c r="C1978" t="inlineStr">
        <is>
          <t>S02</t>
        </is>
      </c>
      <c r="D1978" t="inlineStr">
        <is>
          <t>P203</t>
        </is>
      </c>
      <c r="E1978" t="n">
        <v>2</v>
      </c>
      <c r="F1978" t="n">
        <v>19.5</v>
      </c>
      <c r="G1978" t="n">
        <v>0.1</v>
      </c>
      <c r="H1978">
        <f>E1978*F1978*(1-G1978)</f>
        <v/>
      </c>
      <c r="I1978">
        <f>XLOOKUP(D1978,Products!$A$2:$A$15,Products!$B$2:$B$15,"Not found")</f>
        <v/>
      </c>
    </row>
    <row r="1979">
      <c r="A1979" t="n">
        <v>106298</v>
      </c>
      <c r="B1979" s="1" t="n">
        <v>45841</v>
      </c>
      <c r="C1979" t="inlineStr">
        <is>
          <t>S04</t>
        </is>
      </c>
      <c r="D1979" t="inlineStr">
        <is>
          <t>P303</t>
        </is>
      </c>
      <c r="E1979" t="n">
        <v>3</v>
      </c>
      <c r="F1979" t="n">
        <v>12</v>
      </c>
      <c r="G1979" t="n">
        <v>0.1</v>
      </c>
      <c r="H1979">
        <f>E1979*F1979*(1-G1979)</f>
        <v/>
      </c>
      <c r="I1979">
        <f>XLOOKUP(D1979,Products!$A$2:$A$15,Products!$B$2:$B$15,"Not found")</f>
        <v/>
      </c>
    </row>
    <row r="1980">
      <c r="A1980" t="n">
        <v>106299</v>
      </c>
      <c r="B1980" s="1" t="n">
        <v>45841</v>
      </c>
      <c r="C1980" t="inlineStr">
        <is>
          <t>S04</t>
        </is>
      </c>
      <c r="D1980" t="inlineStr">
        <is>
          <t>P101</t>
        </is>
      </c>
      <c r="E1980" t="n">
        <v>4</v>
      </c>
      <c r="F1980" t="n">
        <v>39</v>
      </c>
      <c r="G1980" t="n">
        <v>0</v>
      </c>
      <c r="H1980">
        <f>E1980*F1980*(1-G1980)</f>
        <v/>
      </c>
      <c r="I1980">
        <f>XLOOKUP(D1980,Products!$A$2:$A$15,Products!$B$2:$B$15,"Not found")</f>
        <v/>
      </c>
    </row>
    <row r="1981">
      <c r="A1981" t="n">
        <v>106300</v>
      </c>
      <c r="B1981" s="1" t="n">
        <v>45841</v>
      </c>
      <c r="C1981" t="inlineStr">
        <is>
          <t>S04</t>
        </is>
      </c>
      <c r="D1981" t="inlineStr">
        <is>
          <t>P102</t>
        </is>
      </c>
      <c r="E1981" t="n">
        <v>1</v>
      </c>
      <c r="F1981" t="n">
        <v>14.5</v>
      </c>
      <c r="G1981" t="n">
        <v>0.1</v>
      </c>
      <c r="H1981">
        <f>E1981*F1981*(1-G1981)</f>
        <v/>
      </c>
      <c r="I1981">
        <f>XLOOKUP(D1981,Products!$A$2:$A$15,Products!$B$2:$B$15,"Not found")</f>
        <v/>
      </c>
    </row>
    <row r="1982">
      <c r="A1982" t="n">
        <v>106301</v>
      </c>
      <c r="B1982" s="1" t="n">
        <v>45841</v>
      </c>
      <c r="C1982" t="inlineStr">
        <is>
          <t>S05</t>
        </is>
      </c>
      <c r="D1982" t="inlineStr">
        <is>
          <t>P301</t>
        </is>
      </c>
      <c r="E1982" t="n">
        <v>1</v>
      </c>
      <c r="F1982" t="n">
        <v>119</v>
      </c>
      <c r="G1982" t="n">
        <v>0</v>
      </c>
      <c r="H1982">
        <f>E1982*F1982*(1-G1982)</f>
        <v/>
      </c>
      <c r="I1982">
        <f>XLOOKUP(D1982,Products!$A$2:$A$15,Products!$B$2:$B$15,"Not found")</f>
        <v/>
      </c>
    </row>
    <row r="1983">
      <c r="A1983" t="n">
        <v>106302</v>
      </c>
      <c r="B1983" s="1" t="n">
        <v>45841</v>
      </c>
      <c r="C1983" t="inlineStr">
        <is>
          <t>S05</t>
        </is>
      </c>
      <c r="D1983" t="inlineStr">
        <is>
          <t>P303</t>
        </is>
      </c>
      <c r="E1983" t="n">
        <v>1</v>
      </c>
      <c r="F1983" t="n">
        <v>12</v>
      </c>
      <c r="G1983" t="n">
        <v>0.1</v>
      </c>
      <c r="H1983">
        <f>E1983*F1983*(1-G1983)</f>
        <v/>
      </c>
      <c r="I1983">
        <f>XLOOKUP(D1983,Products!$A$2:$A$15,Products!$B$2:$B$15,"Not found")</f>
        <v/>
      </c>
    </row>
    <row r="1984">
      <c r="A1984" t="n">
        <v>106303</v>
      </c>
      <c r="B1984" s="1" t="n">
        <v>45841</v>
      </c>
      <c r="C1984" t="inlineStr">
        <is>
          <t>S06</t>
        </is>
      </c>
      <c r="D1984" t="inlineStr">
        <is>
          <t>P101</t>
        </is>
      </c>
      <c r="E1984" t="n">
        <v>1</v>
      </c>
      <c r="F1984" t="n">
        <v>39</v>
      </c>
      <c r="G1984" t="n">
        <v>0</v>
      </c>
      <c r="H1984">
        <f>E1984*F1984*(1-G1984)</f>
        <v/>
      </c>
      <c r="I1984">
        <f>XLOOKUP(D1984,Products!$A$2:$A$15,Products!$B$2:$B$15,"Not found")</f>
        <v/>
      </c>
    </row>
    <row r="1985">
      <c r="A1985" t="n">
        <v>106304</v>
      </c>
      <c r="B1985" s="1" t="n">
        <v>45841</v>
      </c>
      <c r="C1985" t="inlineStr">
        <is>
          <t>S06</t>
        </is>
      </c>
      <c r="D1985" t="inlineStr">
        <is>
          <t>P201</t>
        </is>
      </c>
      <c r="E1985" t="n">
        <v>1</v>
      </c>
      <c r="F1985" t="n">
        <v>149</v>
      </c>
      <c r="G1985" t="n">
        <v>0.1</v>
      </c>
      <c r="H1985">
        <f>E1985*F1985*(1-G1985)</f>
        <v/>
      </c>
      <c r="I1985">
        <f>XLOOKUP(D1985,Products!$A$2:$A$15,Products!$B$2:$B$15,"Not found")</f>
        <v/>
      </c>
    </row>
    <row r="1986">
      <c r="A1986" t="n">
        <v>106305</v>
      </c>
      <c r="B1986" s="1" t="n">
        <v>45842</v>
      </c>
      <c r="C1986" t="inlineStr">
        <is>
          <t>S01</t>
        </is>
      </c>
      <c r="D1986" t="inlineStr">
        <is>
          <t>P203</t>
        </is>
      </c>
      <c r="E1986" t="n">
        <v>1</v>
      </c>
      <c r="F1986" t="n">
        <v>19.5</v>
      </c>
      <c r="G1986" t="n">
        <v>0.15</v>
      </c>
      <c r="H1986">
        <f>E1986*F1986*(1-G1986)</f>
        <v/>
      </c>
      <c r="I1986">
        <f>XLOOKUP(D1986,Products!$A$2:$A$15,Products!$B$2:$B$15,"Not found")</f>
        <v/>
      </c>
    </row>
    <row r="1987">
      <c r="A1987" t="n">
        <v>106306</v>
      </c>
      <c r="B1987" s="1" t="n">
        <v>45842</v>
      </c>
      <c r="C1987" t="inlineStr">
        <is>
          <t>S02</t>
        </is>
      </c>
      <c r="D1987" t="inlineStr">
        <is>
          <t>P103</t>
        </is>
      </c>
      <c r="E1987" t="n">
        <v>1</v>
      </c>
      <c r="F1987" t="n">
        <v>29</v>
      </c>
      <c r="G1987" t="n">
        <v>0.1</v>
      </c>
      <c r="H1987">
        <f>E1987*F1987*(1-G1987)</f>
        <v/>
      </c>
      <c r="I1987">
        <f>XLOOKUP(D1987,Products!$A$2:$A$15,Products!$B$2:$B$15,"Not found")</f>
        <v/>
      </c>
    </row>
    <row r="1988">
      <c r="A1988" t="n">
        <v>106307</v>
      </c>
      <c r="B1988" s="1" t="n">
        <v>45842</v>
      </c>
      <c r="C1988" t="inlineStr">
        <is>
          <t>S03</t>
        </is>
      </c>
      <c r="D1988" t="inlineStr">
        <is>
          <t>P204</t>
        </is>
      </c>
      <c r="E1988" t="n">
        <v>1</v>
      </c>
      <c r="F1988" t="n">
        <v>229</v>
      </c>
      <c r="G1988" t="n">
        <v>0.2</v>
      </c>
      <c r="H1988">
        <f>E1988*F1988*(1-G1988)</f>
        <v/>
      </c>
      <c r="I1988">
        <f>XLOOKUP(D1988,Products!$A$2:$A$15,Products!$B$2:$B$15,"Not found")</f>
        <v/>
      </c>
    </row>
    <row r="1989">
      <c r="A1989" t="n">
        <v>106308</v>
      </c>
      <c r="B1989" s="1" t="n">
        <v>45842</v>
      </c>
      <c r="C1989" t="inlineStr">
        <is>
          <t>S03</t>
        </is>
      </c>
      <c r="D1989" t="inlineStr">
        <is>
          <t>P102</t>
        </is>
      </c>
      <c r="E1989" t="n">
        <v>2</v>
      </c>
      <c r="F1989" t="n">
        <v>14.5</v>
      </c>
      <c r="G1989" t="n">
        <v>0.1</v>
      </c>
      <c r="H1989">
        <f>E1989*F1989*(1-G1989)</f>
        <v/>
      </c>
      <c r="I1989">
        <f>XLOOKUP(D1989,Products!$A$2:$A$15,Products!$B$2:$B$15,"Not found")</f>
        <v/>
      </c>
    </row>
    <row r="1990">
      <c r="A1990" t="n">
        <v>106309</v>
      </c>
      <c r="B1990" s="1" t="n">
        <v>45842</v>
      </c>
      <c r="C1990" t="inlineStr">
        <is>
          <t>S04</t>
        </is>
      </c>
      <c r="D1990" t="inlineStr">
        <is>
          <t>P202</t>
        </is>
      </c>
      <c r="E1990" t="n">
        <v>2</v>
      </c>
      <c r="F1990" t="n">
        <v>79</v>
      </c>
      <c r="G1990" t="n">
        <v>0</v>
      </c>
      <c r="H1990">
        <f>E1990*F1990*(1-G1990)</f>
        <v/>
      </c>
      <c r="I1990">
        <f>XLOOKUP(D1990,Products!$A$2:$A$15,Products!$B$2:$B$15,"Not found")</f>
        <v/>
      </c>
    </row>
    <row r="1991">
      <c r="A1991" t="n">
        <v>106310</v>
      </c>
      <c r="B1991" s="1" t="n">
        <v>45842</v>
      </c>
      <c r="C1991" t="inlineStr">
        <is>
          <t>S05</t>
        </is>
      </c>
      <c r="D1991" t="inlineStr">
        <is>
          <t>P203</t>
        </is>
      </c>
      <c r="E1991" t="n">
        <v>2</v>
      </c>
      <c r="F1991" t="n">
        <v>19.5</v>
      </c>
      <c r="G1991" t="n">
        <v>0</v>
      </c>
      <c r="H1991">
        <f>E1991*F1991*(1-G1991)</f>
        <v/>
      </c>
      <c r="I1991">
        <f>XLOOKUP(D1991,Products!$A$2:$A$15,Products!$B$2:$B$15,"Not found")</f>
        <v/>
      </c>
    </row>
    <row r="1992">
      <c r="A1992" t="n">
        <v>106311</v>
      </c>
      <c r="B1992" s="1" t="n">
        <v>45842</v>
      </c>
      <c r="C1992" t="inlineStr">
        <is>
          <t>S05</t>
        </is>
      </c>
      <c r="D1992" t="inlineStr">
        <is>
          <t>P101</t>
        </is>
      </c>
      <c r="E1992" t="n">
        <v>1</v>
      </c>
      <c r="F1992" t="n">
        <v>39</v>
      </c>
      <c r="G1992" t="n">
        <v>0</v>
      </c>
      <c r="H1992">
        <f>E1992*F1992*(1-G1992)</f>
        <v/>
      </c>
      <c r="I1992">
        <f>XLOOKUP(D1992,Products!$A$2:$A$15,Products!$B$2:$B$15,"Not found")</f>
        <v/>
      </c>
    </row>
    <row r="1993">
      <c r="A1993" t="n">
        <v>106312</v>
      </c>
      <c r="B1993" s="1" t="n">
        <v>45842</v>
      </c>
      <c r="C1993" t="inlineStr">
        <is>
          <t>S05</t>
        </is>
      </c>
      <c r="D1993" t="inlineStr">
        <is>
          <t>P201</t>
        </is>
      </c>
      <c r="E1993" t="n">
        <v>1</v>
      </c>
      <c r="F1993" t="n">
        <v>149</v>
      </c>
      <c r="G1993" t="n">
        <v>0.2</v>
      </c>
      <c r="H1993">
        <f>E1993*F1993*(1-G1993)</f>
        <v/>
      </c>
      <c r="I1993">
        <f>XLOOKUP(D1993,Products!$A$2:$A$15,Products!$B$2:$B$15,"Not found")</f>
        <v/>
      </c>
    </row>
    <row r="1994">
      <c r="A1994" t="n">
        <v>106313</v>
      </c>
      <c r="B1994" s="1" t="n">
        <v>45842</v>
      </c>
      <c r="C1994" t="inlineStr">
        <is>
          <t>S06</t>
        </is>
      </c>
      <c r="D1994" t="inlineStr">
        <is>
          <t>P102</t>
        </is>
      </c>
      <c r="E1994" t="n">
        <v>1</v>
      </c>
      <c r="F1994" t="n">
        <v>14.5</v>
      </c>
      <c r="G1994" t="n">
        <v>0.1</v>
      </c>
      <c r="H1994">
        <f>E1994*F1994*(1-G1994)</f>
        <v/>
      </c>
      <c r="I1994">
        <f>XLOOKUP(D1994,Products!$A$2:$A$15,Products!$B$2:$B$15,"Not found")</f>
        <v/>
      </c>
    </row>
    <row r="1995">
      <c r="A1995" t="n">
        <v>106314</v>
      </c>
      <c r="B1995" s="1" t="n">
        <v>45843</v>
      </c>
      <c r="C1995" t="inlineStr">
        <is>
          <t>S01</t>
        </is>
      </c>
      <c r="D1995" t="inlineStr">
        <is>
          <t>P102</t>
        </is>
      </c>
      <c r="E1995" t="n">
        <v>1</v>
      </c>
      <c r="F1995" t="n">
        <v>14.5</v>
      </c>
      <c r="G1995" t="n">
        <v>0.15</v>
      </c>
      <c r="H1995">
        <f>E1995*F1995*(1-G1995)</f>
        <v/>
      </c>
      <c r="I1995">
        <f>XLOOKUP(D1995,Products!$A$2:$A$15,Products!$B$2:$B$15,"Not found")</f>
        <v/>
      </c>
    </row>
    <row r="1996">
      <c r="A1996" t="n">
        <v>106315</v>
      </c>
      <c r="B1996" s="1" t="n">
        <v>45843</v>
      </c>
      <c r="C1996" t="inlineStr">
        <is>
          <t>S01</t>
        </is>
      </c>
      <c r="D1996" t="inlineStr">
        <is>
          <t>P102</t>
        </is>
      </c>
      <c r="E1996" t="n">
        <v>3</v>
      </c>
      <c r="F1996" t="n">
        <v>14.5</v>
      </c>
      <c r="G1996" t="n">
        <v>0</v>
      </c>
      <c r="H1996">
        <f>E1996*F1996*(1-G1996)</f>
        <v/>
      </c>
      <c r="I1996">
        <f>XLOOKUP(D1996,Products!$A$2:$A$15,Products!$B$2:$B$15,"Not found")</f>
        <v/>
      </c>
    </row>
    <row r="1997">
      <c r="A1997" t="n">
        <v>106316</v>
      </c>
      <c r="B1997" s="1" t="n">
        <v>45843</v>
      </c>
      <c r="C1997" t="inlineStr">
        <is>
          <t>S01</t>
        </is>
      </c>
      <c r="D1997" t="inlineStr">
        <is>
          <t>P201</t>
        </is>
      </c>
      <c r="E1997" t="n">
        <v>1</v>
      </c>
      <c r="F1997" t="n">
        <v>149</v>
      </c>
      <c r="G1997" t="n">
        <v>0</v>
      </c>
      <c r="H1997">
        <f>E1997*F1997*(1-G1997)</f>
        <v/>
      </c>
      <c r="I1997">
        <f>XLOOKUP(D1997,Products!$A$2:$A$15,Products!$B$2:$B$15,"Not found")</f>
        <v/>
      </c>
    </row>
    <row r="1998">
      <c r="A1998" t="n">
        <v>106317</v>
      </c>
      <c r="B1998" s="1" t="n">
        <v>45843</v>
      </c>
      <c r="C1998" t="inlineStr">
        <is>
          <t>S02</t>
        </is>
      </c>
      <c r="D1998" t="inlineStr">
        <is>
          <t>P301</t>
        </is>
      </c>
      <c r="E1998" t="n">
        <v>1</v>
      </c>
      <c r="F1998" t="n">
        <v>119</v>
      </c>
      <c r="G1998" t="n">
        <v>0.2</v>
      </c>
      <c r="H1998">
        <f>E1998*F1998*(1-G1998)</f>
        <v/>
      </c>
      <c r="I1998">
        <f>XLOOKUP(D1998,Products!$A$2:$A$15,Products!$B$2:$B$15,"Not found")</f>
        <v/>
      </c>
    </row>
    <row r="1999">
      <c r="A1999" t="n">
        <v>106318</v>
      </c>
      <c r="B1999" s="1" t="n">
        <v>45843</v>
      </c>
      <c r="C1999" t="inlineStr">
        <is>
          <t>S04</t>
        </is>
      </c>
      <c r="D1999" t="inlineStr">
        <is>
          <t>P103</t>
        </is>
      </c>
      <c r="E1999" t="n">
        <v>1</v>
      </c>
      <c r="F1999" t="n">
        <v>29</v>
      </c>
      <c r="G1999" t="n">
        <v>0</v>
      </c>
      <c r="H1999">
        <f>E1999*F1999*(1-G1999)</f>
        <v/>
      </c>
      <c r="I1999">
        <f>XLOOKUP(D1999,Products!$A$2:$A$15,Products!$B$2:$B$15,"Not found")</f>
        <v/>
      </c>
    </row>
    <row r="2000">
      <c r="A2000" t="n">
        <v>106319</v>
      </c>
      <c r="B2000" s="1" t="n">
        <v>45843</v>
      </c>
      <c r="C2000" t="inlineStr">
        <is>
          <t>S05</t>
        </is>
      </c>
      <c r="D2000" t="inlineStr">
        <is>
          <t>P403</t>
        </is>
      </c>
      <c r="E2000" t="n">
        <v>1</v>
      </c>
      <c r="F2000" t="n">
        <v>89</v>
      </c>
      <c r="G2000" t="n">
        <v>0.2</v>
      </c>
      <c r="H2000">
        <f>E2000*F2000*(1-G2000)</f>
        <v/>
      </c>
      <c r="I2000">
        <f>XLOOKUP(D2000,Products!$A$2:$A$15,Products!$B$2:$B$15,"Not found")</f>
        <v/>
      </c>
    </row>
    <row r="2001">
      <c r="A2001" t="n">
        <v>106320</v>
      </c>
      <c r="B2001" s="1" t="n">
        <v>45843</v>
      </c>
      <c r="C2001" t="inlineStr">
        <is>
          <t>S06</t>
        </is>
      </c>
      <c r="D2001" t="inlineStr">
        <is>
          <t>P101</t>
        </is>
      </c>
      <c r="E2001" t="n">
        <v>1</v>
      </c>
      <c r="F2001" t="n">
        <v>39</v>
      </c>
      <c r="G2001" t="n">
        <v>0</v>
      </c>
      <c r="H2001">
        <f>E2001*F2001*(1-G2001)</f>
        <v/>
      </c>
      <c r="I2001">
        <f>XLOOKUP(D2001,Products!$A$2:$A$15,Products!$B$2:$B$15,"Not found")</f>
        <v/>
      </c>
    </row>
    <row r="2002">
      <c r="A2002" t="n">
        <v>106321</v>
      </c>
      <c r="B2002" s="1" t="n">
        <v>45844</v>
      </c>
      <c r="C2002" t="inlineStr">
        <is>
          <t>S01</t>
        </is>
      </c>
      <c r="D2002" t="inlineStr">
        <is>
          <t>P103</t>
        </is>
      </c>
      <c r="E2002" t="n">
        <v>4</v>
      </c>
      <c r="F2002" t="n">
        <v>29</v>
      </c>
      <c r="G2002" t="n">
        <v>0</v>
      </c>
      <c r="H2002">
        <f>E2002*F2002*(1-G2002)</f>
        <v/>
      </c>
      <c r="I2002">
        <f>XLOOKUP(D2002,Products!$A$2:$A$15,Products!$B$2:$B$15,"Not found")</f>
        <v/>
      </c>
    </row>
    <row r="2003">
      <c r="A2003" t="n">
        <v>106322</v>
      </c>
      <c r="B2003" s="1" t="n">
        <v>45844</v>
      </c>
      <c r="C2003" t="inlineStr">
        <is>
          <t>S02</t>
        </is>
      </c>
      <c r="D2003" t="inlineStr">
        <is>
          <t>P102</t>
        </is>
      </c>
      <c r="E2003" t="n">
        <v>4</v>
      </c>
      <c r="F2003" t="n">
        <v>14.5</v>
      </c>
      <c r="G2003" t="n">
        <v>0.15</v>
      </c>
      <c r="H2003">
        <f>E2003*F2003*(1-G2003)</f>
        <v/>
      </c>
      <c r="I2003">
        <f>XLOOKUP(D2003,Products!$A$2:$A$15,Products!$B$2:$B$15,"Not found")</f>
        <v/>
      </c>
    </row>
    <row r="2004">
      <c r="A2004" t="n">
        <v>106323</v>
      </c>
      <c r="B2004" s="1" t="n">
        <v>45844</v>
      </c>
      <c r="C2004" t="inlineStr">
        <is>
          <t>S02</t>
        </is>
      </c>
      <c r="D2004" t="inlineStr">
        <is>
          <t>P104</t>
        </is>
      </c>
      <c r="E2004" t="n">
        <v>1</v>
      </c>
      <c r="F2004" t="n">
        <v>189</v>
      </c>
      <c r="G2004" t="n">
        <v>0.15</v>
      </c>
      <c r="H2004">
        <f>E2004*F2004*(1-G2004)</f>
        <v/>
      </c>
      <c r="I2004">
        <f>XLOOKUP(D2004,Products!$A$2:$A$15,Products!$B$2:$B$15,"Not found")</f>
        <v/>
      </c>
    </row>
    <row r="2005">
      <c r="A2005" t="n">
        <v>106324</v>
      </c>
      <c r="B2005" s="1" t="n">
        <v>45844</v>
      </c>
      <c r="C2005" t="inlineStr">
        <is>
          <t>S02</t>
        </is>
      </c>
      <c r="D2005" t="inlineStr">
        <is>
          <t>P302</t>
        </is>
      </c>
      <c r="E2005" t="n">
        <v>2</v>
      </c>
      <c r="F2005" t="n">
        <v>24</v>
      </c>
      <c r="G2005" t="n">
        <v>0</v>
      </c>
      <c r="H2005">
        <f>E2005*F2005*(1-G2005)</f>
        <v/>
      </c>
      <c r="I2005">
        <f>XLOOKUP(D2005,Products!$A$2:$A$15,Products!$B$2:$B$15,"Not found")</f>
        <v/>
      </c>
    </row>
    <row r="2006">
      <c r="A2006" t="n">
        <v>106325</v>
      </c>
      <c r="B2006" s="1" t="n">
        <v>45844</v>
      </c>
      <c r="C2006" t="inlineStr">
        <is>
          <t>S03</t>
        </is>
      </c>
      <c r="D2006" t="inlineStr">
        <is>
          <t>P101</t>
        </is>
      </c>
      <c r="E2006" t="n">
        <v>4</v>
      </c>
      <c r="F2006" t="n">
        <v>39</v>
      </c>
      <c r="G2006" t="n">
        <v>0</v>
      </c>
      <c r="H2006">
        <f>E2006*F2006*(1-G2006)</f>
        <v/>
      </c>
      <c r="I2006">
        <f>XLOOKUP(D2006,Products!$A$2:$A$15,Products!$B$2:$B$15,"Not found")</f>
        <v/>
      </c>
    </row>
    <row r="2007">
      <c r="A2007" t="n">
        <v>106326</v>
      </c>
      <c r="B2007" s="1" t="n">
        <v>45844</v>
      </c>
      <c r="C2007" t="inlineStr">
        <is>
          <t>S04</t>
        </is>
      </c>
      <c r="D2007" t="inlineStr">
        <is>
          <t>P301</t>
        </is>
      </c>
      <c r="E2007" t="n">
        <v>1</v>
      </c>
      <c r="F2007" t="n">
        <v>119</v>
      </c>
      <c r="G2007" t="n">
        <v>0</v>
      </c>
      <c r="H2007">
        <f>E2007*F2007*(1-G2007)</f>
        <v/>
      </c>
      <c r="I2007">
        <f>XLOOKUP(D2007,Products!$A$2:$A$15,Products!$B$2:$B$15,"Not found")</f>
        <v/>
      </c>
    </row>
    <row r="2008">
      <c r="A2008" t="n">
        <v>106327</v>
      </c>
      <c r="B2008" s="1" t="n">
        <v>45844</v>
      </c>
      <c r="C2008" t="inlineStr">
        <is>
          <t>S04</t>
        </is>
      </c>
      <c r="D2008" t="inlineStr">
        <is>
          <t>P301</t>
        </is>
      </c>
      <c r="E2008" t="n">
        <v>1</v>
      </c>
      <c r="F2008" t="n">
        <v>119</v>
      </c>
      <c r="G2008" t="n">
        <v>0.1</v>
      </c>
      <c r="H2008">
        <f>E2008*F2008*(1-G2008)</f>
        <v/>
      </c>
      <c r="I2008">
        <f>XLOOKUP(D2008,Products!$A$2:$A$15,Products!$B$2:$B$15,"Not found")</f>
        <v/>
      </c>
    </row>
    <row r="2009">
      <c r="A2009" t="n">
        <v>106328</v>
      </c>
      <c r="B2009" s="1" t="n">
        <v>45844</v>
      </c>
      <c r="C2009" t="inlineStr">
        <is>
          <t>S06</t>
        </is>
      </c>
      <c r="D2009" t="inlineStr">
        <is>
          <t>P101</t>
        </is>
      </c>
      <c r="E2009" t="n">
        <v>2</v>
      </c>
      <c r="F2009" t="n">
        <v>39</v>
      </c>
      <c r="G2009" t="n">
        <v>0</v>
      </c>
      <c r="H2009">
        <f>E2009*F2009*(1-G2009)</f>
        <v/>
      </c>
      <c r="I2009">
        <f>XLOOKUP(D2009,Products!$A$2:$A$15,Products!$B$2:$B$15,"Not found")</f>
        <v/>
      </c>
    </row>
    <row r="2010">
      <c r="A2010" t="n">
        <v>106329</v>
      </c>
      <c r="B2010" s="1" t="n">
        <v>45844</v>
      </c>
      <c r="C2010" t="inlineStr">
        <is>
          <t>S06</t>
        </is>
      </c>
      <c r="D2010" t="inlineStr">
        <is>
          <t>P102</t>
        </is>
      </c>
      <c r="E2010" t="n">
        <v>4</v>
      </c>
      <c r="F2010" t="n">
        <v>14.5</v>
      </c>
      <c r="G2010" t="n">
        <v>0.1</v>
      </c>
      <c r="H2010">
        <f>E2010*F2010*(1-G2010)</f>
        <v/>
      </c>
      <c r="I2010">
        <f>XLOOKUP(D2010,Products!$A$2:$A$15,Products!$B$2:$B$15,"Not found")</f>
        <v/>
      </c>
    </row>
    <row r="2011">
      <c r="A2011" t="n">
        <v>106330</v>
      </c>
      <c r="B2011" s="1" t="n">
        <v>45845</v>
      </c>
      <c r="C2011" t="inlineStr">
        <is>
          <t>S01</t>
        </is>
      </c>
      <c r="D2011" t="inlineStr">
        <is>
          <t>P101</t>
        </is>
      </c>
      <c r="E2011" t="n">
        <v>4</v>
      </c>
      <c r="F2011" t="n">
        <v>39</v>
      </c>
      <c r="G2011" t="n">
        <v>0.15</v>
      </c>
      <c r="H2011">
        <f>E2011*F2011*(1-G2011)</f>
        <v/>
      </c>
      <c r="I2011">
        <f>XLOOKUP(D2011,Products!$A$2:$A$15,Products!$B$2:$B$15,"Not found")</f>
        <v/>
      </c>
    </row>
    <row r="2012">
      <c r="A2012" t="n">
        <v>106331</v>
      </c>
      <c r="B2012" s="1" t="n">
        <v>45845</v>
      </c>
      <c r="C2012" t="inlineStr">
        <is>
          <t>S01</t>
        </is>
      </c>
      <c r="D2012" t="inlineStr">
        <is>
          <t>P102</t>
        </is>
      </c>
      <c r="E2012" t="n">
        <v>1</v>
      </c>
      <c r="F2012" t="n">
        <v>14.5</v>
      </c>
      <c r="G2012" t="n">
        <v>0</v>
      </c>
      <c r="H2012">
        <f>E2012*F2012*(1-G2012)</f>
        <v/>
      </c>
      <c r="I2012">
        <f>XLOOKUP(D2012,Products!$A$2:$A$15,Products!$B$2:$B$15,"Not found")</f>
        <v/>
      </c>
    </row>
    <row r="2013">
      <c r="A2013" t="n">
        <v>106332</v>
      </c>
      <c r="B2013" s="1" t="n">
        <v>45845</v>
      </c>
      <c r="C2013" t="inlineStr">
        <is>
          <t>S02</t>
        </is>
      </c>
      <c r="D2013" t="inlineStr">
        <is>
          <t>P201</t>
        </is>
      </c>
      <c r="E2013" t="n">
        <v>1</v>
      </c>
      <c r="F2013" t="n">
        <v>149</v>
      </c>
      <c r="G2013" t="n">
        <v>0.2</v>
      </c>
      <c r="H2013">
        <f>E2013*F2013*(1-G2013)</f>
        <v/>
      </c>
      <c r="I2013">
        <f>XLOOKUP(D2013,Products!$A$2:$A$15,Products!$B$2:$B$15,"Not found")</f>
        <v/>
      </c>
    </row>
    <row r="2014">
      <c r="A2014" t="n">
        <v>106333</v>
      </c>
      <c r="B2014" s="1" t="n">
        <v>45845</v>
      </c>
      <c r="C2014" t="inlineStr">
        <is>
          <t>S02</t>
        </is>
      </c>
      <c r="D2014" t="inlineStr">
        <is>
          <t>P301</t>
        </is>
      </c>
      <c r="E2014" t="n">
        <v>1</v>
      </c>
      <c r="F2014" t="n">
        <v>119</v>
      </c>
      <c r="G2014" t="n">
        <v>0.15</v>
      </c>
      <c r="H2014">
        <f>E2014*F2014*(1-G2014)</f>
        <v/>
      </c>
      <c r="I2014">
        <f>XLOOKUP(D2014,Products!$A$2:$A$15,Products!$B$2:$B$15,"Not found")</f>
        <v/>
      </c>
    </row>
    <row r="2015">
      <c r="A2015" t="n">
        <v>106334</v>
      </c>
      <c r="B2015" s="1" t="n">
        <v>45845</v>
      </c>
      <c r="C2015" t="inlineStr">
        <is>
          <t>S03</t>
        </is>
      </c>
      <c r="D2015" t="inlineStr">
        <is>
          <t>P201</t>
        </is>
      </c>
      <c r="E2015" t="n">
        <v>1</v>
      </c>
      <c r="F2015" t="n">
        <v>149</v>
      </c>
      <c r="G2015" t="n">
        <v>0.1</v>
      </c>
      <c r="H2015">
        <f>E2015*F2015*(1-G2015)</f>
        <v/>
      </c>
      <c r="I2015">
        <f>XLOOKUP(D2015,Products!$A$2:$A$15,Products!$B$2:$B$15,"Not found")</f>
        <v/>
      </c>
    </row>
    <row r="2016">
      <c r="A2016" t="n">
        <v>106335</v>
      </c>
      <c r="B2016" s="1" t="n">
        <v>45845</v>
      </c>
      <c r="C2016" t="inlineStr">
        <is>
          <t>S03</t>
        </is>
      </c>
      <c r="D2016" t="inlineStr">
        <is>
          <t>P103</t>
        </is>
      </c>
      <c r="E2016" t="n">
        <v>3</v>
      </c>
      <c r="F2016" t="n">
        <v>29</v>
      </c>
      <c r="G2016" t="n">
        <v>0</v>
      </c>
      <c r="H2016">
        <f>E2016*F2016*(1-G2016)</f>
        <v/>
      </c>
      <c r="I2016">
        <f>XLOOKUP(D2016,Products!$A$2:$A$15,Products!$B$2:$B$15,"Not found")</f>
        <v/>
      </c>
    </row>
    <row r="2017">
      <c r="A2017" t="n">
        <v>106336</v>
      </c>
      <c r="B2017" s="1" t="n">
        <v>45845</v>
      </c>
      <c r="C2017" t="inlineStr">
        <is>
          <t>S04</t>
        </is>
      </c>
      <c r="D2017" t="inlineStr">
        <is>
          <t>P202</t>
        </is>
      </c>
      <c r="E2017" t="n">
        <v>3</v>
      </c>
      <c r="F2017" t="n">
        <v>79</v>
      </c>
      <c r="G2017" t="n">
        <v>0</v>
      </c>
      <c r="H2017">
        <f>E2017*F2017*(1-G2017)</f>
        <v/>
      </c>
      <c r="I2017">
        <f>XLOOKUP(D2017,Products!$A$2:$A$15,Products!$B$2:$B$15,"Not found")</f>
        <v/>
      </c>
    </row>
    <row r="2018">
      <c r="A2018" t="n">
        <v>106337</v>
      </c>
      <c r="B2018" s="1" t="n">
        <v>45845</v>
      </c>
      <c r="C2018" t="inlineStr">
        <is>
          <t>S04</t>
        </is>
      </c>
      <c r="D2018" t="inlineStr">
        <is>
          <t>P202</t>
        </is>
      </c>
      <c r="E2018" t="n">
        <v>2</v>
      </c>
      <c r="F2018" t="n">
        <v>79</v>
      </c>
      <c r="G2018" t="n">
        <v>0</v>
      </c>
      <c r="H2018">
        <f>E2018*F2018*(1-G2018)</f>
        <v/>
      </c>
      <c r="I2018">
        <f>XLOOKUP(D2018,Products!$A$2:$A$15,Products!$B$2:$B$15,"Not found")</f>
        <v/>
      </c>
    </row>
    <row r="2019">
      <c r="A2019" t="n">
        <v>106338</v>
      </c>
      <c r="B2019" s="1" t="n">
        <v>45845</v>
      </c>
      <c r="C2019" t="inlineStr">
        <is>
          <t>S06</t>
        </is>
      </c>
      <c r="D2019" t="inlineStr">
        <is>
          <t>P104</t>
        </is>
      </c>
      <c r="E2019" t="n">
        <v>1</v>
      </c>
      <c r="F2019" t="n">
        <v>189</v>
      </c>
      <c r="G2019" t="n">
        <v>0</v>
      </c>
      <c r="H2019">
        <f>E2019*F2019*(1-G2019)</f>
        <v/>
      </c>
      <c r="I2019">
        <f>XLOOKUP(D2019,Products!$A$2:$A$15,Products!$B$2:$B$15,"Not found")</f>
        <v/>
      </c>
    </row>
    <row r="2020">
      <c r="A2020" t="n">
        <v>106339</v>
      </c>
      <c r="B2020" s="1" t="n">
        <v>45845</v>
      </c>
      <c r="C2020" t="inlineStr">
        <is>
          <t>S06</t>
        </is>
      </c>
      <c r="D2020" t="inlineStr">
        <is>
          <t>P203</t>
        </is>
      </c>
      <c r="E2020" t="n">
        <v>2</v>
      </c>
      <c r="F2020" t="n">
        <v>19.5</v>
      </c>
      <c r="G2020" t="n">
        <v>0.1</v>
      </c>
      <c r="H2020">
        <f>E2020*F2020*(1-G2020)</f>
        <v/>
      </c>
      <c r="I2020">
        <f>XLOOKUP(D2020,Products!$A$2:$A$15,Products!$B$2:$B$15,"Not found")</f>
        <v/>
      </c>
    </row>
    <row r="2021">
      <c r="A2021" t="n">
        <v>106340</v>
      </c>
      <c r="B2021" s="1" t="n">
        <v>45845</v>
      </c>
      <c r="C2021" t="inlineStr">
        <is>
          <t>S06</t>
        </is>
      </c>
      <c r="D2021" t="inlineStr">
        <is>
          <t>P102</t>
        </is>
      </c>
      <c r="E2021" t="n">
        <v>2</v>
      </c>
      <c r="F2021" t="n">
        <v>14.5</v>
      </c>
      <c r="G2021" t="n">
        <v>0</v>
      </c>
      <c r="H2021">
        <f>E2021*F2021*(1-G2021)</f>
        <v/>
      </c>
      <c r="I2021">
        <f>XLOOKUP(D2021,Products!$A$2:$A$15,Products!$B$2:$B$15,"Not found")</f>
        <v/>
      </c>
    </row>
    <row r="2022">
      <c r="A2022" t="n">
        <v>106341</v>
      </c>
      <c r="B2022" s="1" t="n">
        <v>45846</v>
      </c>
      <c r="C2022" t="inlineStr">
        <is>
          <t>S03</t>
        </is>
      </c>
      <c r="D2022" t="inlineStr">
        <is>
          <t>P101</t>
        </is>
      </c>
      <c r="E2022" t="n">
        <v>2</v>
      </c>
      <c r="F2022" t="n">
        <v>39</v>
      </c>
      <c r="G2022" t="n">
        <v>0.1</v>
      </c>
      <c r="H2022">
        <f>E2022*F2022*(1-G2022)</f>
        <v/>
      </c>
      <c r="I2022">
        <f>XLOOKUP(D2022,Products!$A$2:$A$15,Products!$B$2:$B$15,"Not found")</f>
        <v/>
      </c>
    </row>
    <row r="2023">
      <c r="A2023" t="n">
        <v>106342</v>
      </c>
      <c r="B2023" s="1" t="n">
        <v>45846</v>
      </c>
      <c r="C2023" t="inlineStr">
        <is>
          <t>S03</t>
        </is>
      </c>
      <c r="D2023" t="inlineStr">
        <is>
          <t>P202</t>
        </is>
      </c>
      <c r="E2023" t="n">
        <v>1</v>
      </c>
      <c r="F2023" t="n">
        <v>79</v>
      </c>
      <c r="G2023" t="n">
        <v>0</v>
      </c>
      <c r="H2023">
        <f>E2023*F2023*(1-G2023)</f>
        <v/>
      </c>
      <c r="I2023">
        <f>XLOOKUP(D2023,Products!$A$2:$A$15,Products!$B$2:$B$15,"Not found")</f>
        <v/>
      </c>
    </row>
    <row r="2024">
      <c r="A2024" t="n">
        <v>106343</v>
      </c>
      <c r="B2024" s="1" t="n">
        <v>45846</v>
      </c>
      <c r="C2024" t="inlineStr">
        <is>
          <t>S03</t>
        </is>
      </c>
      <c r="D2024" t="inlineStr">
        <is>
          <t>P303</t>
        </is>
      </c>
      <c r="E2024" t="n">
        <v>2</v>
      </c>
      <c r="F2024" t="n">
        <v>12</v>
      </c>
      <c r="G2024" t="n">
        <v>0</v>
      </c>
      <c r="H2024">
        <f>E2024*F2024*(1-G2024)</f>
        <v/>
      </c>
      <c r="I2024">
        <f>XLOOKUP(D2024,Products!$A$2:$A$15,Products!$B$2:$B$15,"Not found")</f>
        <v/>
      </c>
    </row>
    <row r="2025">
      <c r="A2025" t="n">
        <v>106344</v>
      </c>
      <c r="B2025" s="1" t="n">
        <v>45846</v>
      </c>
      <c r="C2025" t="inlineStr">
        <is>
          <t>S04</t>
        </is>
      </c>
      <c r="D2025" t="inlineStr">
        <is>
          <t>P103</t>
        </is>
      </c>
      <c r="E2025" t="n">
        <v>1</v>
      </c>
      <c r="F2025" t="n">
        <v>29</v>
      </c>
      <c r="G2025" t="n">
        <v>0.2</v>
      </c>
      <c r="H2025">
        <f>E2025*F2025*(1-G2025)</f>
        <v/>
      </c>
      <c r="I2025">
        <f>XLOOKUP(D2025,Products!$A$2:$A$15,Products!$B$2:$B$15,"Not found")</f>
        <v/>
      </c>
    </row>
    <row r="2026">
      <c r="A2026" t="n">
        <v>106345</v>
      </c>
      <c r="B2026" s="1" t="n">
        <v>45846</v>
      </c>
      <c r="C2026" t="inlineStr">
        <is>
          <t>S04</t>
        </is>
      </c>
      <c r="D2026" t="inlineStr">
        <is>
          <t>P301</t>
        </is>
      </c>
      <c r="E2026" t="n">
        <v>1</v>
      </c>
      <c r="F2026" t="n">
        <v>119</v>
      </c>
      <c r="G2026" t="n">
        <v>0</v>
      </c>
      <c r="H2026">
        <f>E2026*F2026*(1-G2026)</f>
        <v/>
      </c>
      <c r="I2026">
        <f>XLOOKUP(D2026,Products!$A$2:$A$15,Products!$B$2:$B$15,"Not found")</f>
        <v/>
      </c>
    </row>
    <row r="2027">
      <c r="A2027" t="n">
        <v>106346</v>
      </c>
      <c r="B2027" s="1" t="n">
        <v>45846</v>
      </c>
      <c r="C2027" t="inlineStr">
        <is>
          <t>S04</t>
        </is>
      </c>
      <c r="D2027" t="inlineStr">
        <is>
          <t>P201</t>
        </is>
      </c>
      <c r="E2027" t="n">
        <v>1</v>
      </c>
      <c r="F2027" t="n">
        <v>149</v>
      </c>
      <c r="G2027" t="n">
        <v>0.2</v>
      </c>
      <c r="H2027">
        <f>E2027*F2027*(1-G2027)</f>
        <v/>
      </c>
      <c r="I2027">
        <f>XLOOKUP(D2027,Products!$A$2:$A$15,Products!$B$2:$B$15,"Not found")</f>
        <v/>
      </c>
    </row>
    <row r="2028">
      <c r="A2028" t="n">
        <v>106347</v>
      </c>
      <c r="B2028" s="1" t="n">
        <v>45846</v>
      </c>
      <c r="C2028" t="inlineStr">
        <is>
          <t>S05</t>
        </is>
      </c>
      <c r="D2028" t="inlineStr">
        <is>
          <t>P103</t>
        </is>
      </c>
      <c r="E2028" t="n">
        <v>4</v>
      </c>
      <c r="F2028" t="n">
        <v>29</v>
      </c>
      <c r="G2028" t="n">
        <v>0</v>
      </c>
      <c r="H2028">
        <f>E2028*F2028*(1-G2028)</f>
        <v/>
      </c>
      <c r="I2028">
        <f>XLOOKUP(D2028,Products!$A$2:$A$15,Products!$B$2:$B$15,"Not found")</f>
        <v/>
      </c>
    </row>
    <row r="2029">
      <c r="A2029" t="n">
        <v>106348</v>
      </c>
      <c r="B2029" s="1" t="n">
        <v>45846</v>
      </c>
      <c r="C2029" t="inlineStr">
        <is>
          <t>S06</t>
        </is>
      </c>
      <c r="D2029" t="inlineStr">
        <is>
          <t>P102</t>
        </is>
      </c>
      <c r="E2029" t="n">
        <v>1</v>
      </c>
      <c r="F2029" t="n">
        <v>14.5</v>
      </c>
      <c r="G2029" t="n">
        <v>0.2</v>
      </c>
      <c r="H2029">
        <f>E2029*F2029*(1-G2029)</f>
        <v/>
      </c>
      <c r="I2029">
        <f>XLOOKUP(D2029,Products!$A$2:$A$15,Products!$B$2:$B$15,"Not found")</f>
        <v/>
      </c>
    </row>
    <row r="2030">
      <c r="A2030" t="n">
        <v>106349</v>
      </c>
      <c r="B2030" s="1" t="n">
        <v>45846</v>
      </c>
      <c r="C2030" t="inlineStr">
        <is>
          <t>S06</t>
        </is>
      </c>
      <c r="D2030" t="inlineStr">
        <is>
          <t>P202</t>
        </is>
      </c>
      <c r="E2030" t="n">
        <v>4</v>
      </c>
      <c r="F2030" t="n">
        <v>79</v>
      </c>
      <c r="G2030" t="n">
        <v>0</v>
      </c>
      <c r="H2030">
        <f>E2030*F2030*(1-G2030)</f>
        <v/>
      </c>
      <c r="I2030">
        <f>XLOOKUP(D2030,Products!$A$2:$A$15,Products!$B$2:$B$15,"Not found")</f>
        <v/>
      </c>
    </row>
    <row r="2031">
      <c r="A2031" t="n">
        <v>106350</v>
      </c>
      <c r="B2031" s="1" t="n">
        <v>45847</v>
      </c>
      <c r="C2031" t="inlineStr">
        <is>
          <t>S01</t>
        </is>
      </c>
      <c r="D2031" t="inlineStr">
        <is>
          <t>P303</t>
        </is>
      </c>
      <c r="E2031" t="n">
        <v>2</v>
      </c>
      <c r="F2031" t="n">
        <v>12</v>
      </c>
      <c r="G2031" t="n">
        <v>0</v>
      </c>
      <c r="H2031">
        <f>E2031*F2031*(1-G2031)</f>
        <v/>
      </c>
      <c r="I2031">
        <f>XLOOKUP(D2031,Products!$A$2:$A$15,Products!$B$2:$B$15,"Not found")</f>
        <v/>
      </c>
    </row>
    <row r="2032">
      <c r="A2032" t="n">
        <v>106351</v>
      </c>
      <c r="B2032" s="1" t="n">
        <v>45847</v>
      </c>
      <c r="C2032" t="inlineStr">
        <is>
          <t>S01</t>
        </is>
      </c>
      <c r="D2032" t="inlineStr">
        <is>
          <t>P303</t>
        </is>
      </c>
      <c r="E2032" t="n">
        <v>3</v>
      </c>
      <c r="F2032" t="n">
        <v>12</v>
      </c>
      <c r="G2032" t="n">
        <v>0.15</v>
      </c>
      <c r="H2032">
        <f>E2032*F2032*(1-G2032)</f>
        <v/>
      </c>
      <c r="I2032">
        <f>XLOOKUP(D2032,Products!$A$2:$A$15,Products!$B$2:$B$15,"Not found")</f>
        <v/>
      </c>
    </row>
    <row r="2033">
      <c r="A2033" t="n">
        <v>106352</v>
      </c>
      <c r="B2033" s="1" t="n">
        <v>45847</v>
      </c>
      <c r="C2033" t="inlineStr">
        <is>
          <t>S03</t>
        </is>
      </c>
      <c r="D2033" t="inlineStr">
        <is>
          <t>P202</t>
        </is>
      </c>
      <c r="E2033" t="n">
        <v>2</v>
      </c>
      <c r="F2033" t="n">
        <v>79</v>
      </c>
      <c r="G2033" t="n">
        <v>0</v>
      </c>
      <c r="H2033">
        <f>E2033*F2033*(1-G2033)</f>
        <v/>
      </c>
      <c r="I2033">
        <f>XLOOKUP(D2033,Products!$A$2:$A$15,Products!$B$2:$B$15,"Not found")</f>
        <v/>
      </c>
    </row>
    <row r="2034">
      <c r="A2034" t="n">
        <v>106353</v>
      </c>
      <c r="B2034" s="1" t="n">
        <v>45847</v>
      </c>
      <c r="C2034" t="inlineStr">
        <is>
          <t>S05</t>
        </is>
      </c>
      <c r="D2034" t="inlineStr">
        <is>
          <t>P303</t>
        </is>
      </c>
      <c r="E2034" t="n">
        <v>3</v>
      </c>
      <c r="F2034" t="n">
        <v>12</v>
      </c>
      <c r="G2034" t="n">
        <v>0.15</v>
      </c>
      <c r="H2034">
        <f>E2034*F2034*(1-G2034)</f>
        <v/>
      </c>
      <c r="I2034">
        <f>XLOOKUP(D2034,Products!$A$2:$A$15,Products!$B$2:$B$15,"Not found")</f>
        <v/>
      </c>
    </row>
    <row r="2035">
      <c r="A2035" t="n">
        <v>106354</v>
      </c>
      <c r="B2035" s="1" t="n">
        <v>45847</v>
      </c>
      <c r="C2035" t="inlineStr">
        <is>
          <t>S05</t>
        </is>
      </c>
      <c r="D2035" t="inlineStr">
        <is>
          <t>P301</t>
        </is>
      </c>
      <c r="E2035" t="n">
        <v>1</v>
      </c>
      <c r="F2035" t="n">
        <v>119</v>
      </c>
      <c r="G2035" t="n">
        <v>0.2</v>
      </c>
      <c r="H2035">
        <f>E2035*F2035*(1-G2035)</f>
        <v/>
      </c>
      <c r="I2035">
        <f>XLOOKUP(D2035,Products!$A$2:$A$15,Products!$B$2:$B$15,"Not found")</f>
        <v/>
      </c>
    </row>
    <row r="2036">
      <c r="A2036" t="n">
        <v>106355</v>
      </c>
      <c r="B2036" s="1" t="n">
        <v>45848</v>
      </c>
      <c r="C2036" t="inlineStr">
        <is>
          <t>S01</t>
        </is>
      </c>
      <c r="D2036" t="inlineStr">
        <is>
          <t>P301</t>
        </is>
      </c>
      <c r="E2036" t="n">
        <v>1</v>
      </c>
      <c r="F2036" t="n">
        <v>119</v>
      </c>
      <c r="G2036" t="n">
        <v>0.2</v>
      </c>
      <c r="H2036">
        <f>E2036*F2036*(1-G2036)</f>
        <v/>
      </c>
      <c r="I2036">
        <f>XLOOKUP(D2036,Products!$A$2:$A$15,Products!$B$2:$B$15,"Not found")</f>
        <v/>
      </c>
    </row>
    <row r="2037">
      <c r="A2037" t="n">
        <v>106356</v>
      </c>
      <c r="B2037" s="1" t="n">
        <v>45848</v>
      </c>
      <c r="C2037" t="inlineStr">
        <is>
          <t>S01</t>
        </is>
      </c>
      <c r="D2037" t="inlineStr">
        <is>
          <t>P201</t>
        </is>
      </c>
      <c r="E2037" t="n">
        <v>1</v>
      </c>
      <c r="F2037" t="n">
        <v>149</v>
      </c>
      <c r="G2037" t="n">
        <v>0</v>
      </c>
      <c r="H2037">
        <f>E2037*F2037*(1-G2037)</f>
        <v/>
      </c>
      <c r="I2037">
        <f>XLOOKUP(D2037,Products!$A$2:$A$15,Products!$B$2:$B$15,"Not found")</f>
        <v/>
      </c>
    </row>
    <row r="2038">
      <c r="A2038" t="n">
        <v>106357</v>
      </c>
      <c r="B2038" s="1" t="n">
        <v>45848</v>
      </c>
      <c r="C2038" t="inlineStr">
        <is>
          <t>S01</t>
        </is>
      </c>
      <c r="D2038" t="inlineStr">
        <is>
          <t>P302</t>
        </is>
      </c>
      <c r="E2038" t="n">
        <v>1</v>
      </c>
      <c r="F2038" t="n">
        <v>24</v>
      </c>
      <c r="G2038" t="n">
        <v>0</v>
      </c>
      <c r="H2038">
        <f>E2038*F2038*(1-G2038)</f>
        <v/>
      </c>
      <c r="I2038">
        <f>XLOOKUP(D2038,Products!$A$2:$A$15,Products!$B$2:$B$15,"Not found")</f>
        <v/>
      </c>
    </row>
    <row r="2039">
      <c r="A2039" t="n">
        <v>106358</v>
      </c>
      <c r="B2039" s="1" t="n">
        <v>45848</v>
      </c>
      <c r="C2039" t="inlineStr">
        <is>
          <t>S01</t>
        </is>
      </c>
      <c r="D2039" t="inlineStr">
        <is>
          <t>P204</t>
        </is>
      </c>
      <c r="E2039" t="n">
        <v>1</v>
      </c>
      <c r="F2039" t="n">
        <v>229</v>
      </c>
      <c r="G2039" t="n">
        <v>0</v>
      </c>
      <c r="H2039">
        <f>E2039*F2039*(1-G2039)</f>
        <v/>
      </c>
      <c r="I2039">
        <f>XLOOKUP(D2039,Products!$A$2:$A$15,Products!$B$2:$B$15,"Not found")</f>
        <v/>
      </c>
    </row>
    <row r="2040">
      <c r="A2040" t="n">
        <v>106359</v>
      </c>
      <c r="B2040" s="1" t="n">
        <v>45848</v>
      </c>
      <c r="C2040" t="inlineStr">
        <is>
          <t>S04</t>
        </is>
      </c>
      <c r="D2040" t="inlineStr">
        <is>
          <t>P303</t>
        </is>
      </c>
      <c r="E2040" t="n">
        <v>3</v>
      </c>
      <c r="F2040" t="n">
        <v>12</v>
      </c>
      <c r="G2040" t="n">
        <v>0.1</v>
      </c>
      <c r="H2040">
        <f>E2040*F2040*(1-G2040)</f>
        <v/>
      </c>
      <c r="I2040">
        <f>XLOOKUP(D2040,Products!$A$2:$A$15,Products!$B$2:$B$15,"Not found")</f>
        <v/>
      </c>
    </row>
    <row r="2041">
      <c r="A2041" t="n">
        <v>106360</v>
      </c>
      <c r="B2041" s="1" t="n">
        <v>45848</v>
      </c>
      <c r="C2041" t="inlineStr">
        <is>
          <t>S04</t>
        </is>
      </c>
      <c r="D2041" t="inlineStr">
        <is>
          <t>P102</t>
        </is>
      </c>
      <c r="E2041" t="n">
        <v>2</v>
      </c>
      <c r="F2041" t="n">
        <v>14.5</v>
      </c>
      <c r="G2041" t="n">
        <v>0.2</v>
      </c>
      <c r="H2041">
        <f>E2041*F2041*(1-G2041)</f>
        <v/>
      </c>
      <c r="I2041">
        <f>XLOOKUP(D2041,Products!$A$2:$A$15,Products!$B$2:$B$15,"Not found")</f>
        <v/>
      </c>
    </row>
    <row r="2042">
      <c r="A2042" t="n">
        <v>106361</v>
      </c>
      <c r="B2042" s="1" t="n">
        <v>45848</v>
      </c>
      <c r="C2042" t="inlineStr">
        <is>
          <t>S04</t>
        </is>
      </c>
      <c r="D2042" t="inlineStr">
        <is>
          <t>P303</t>
        </is>
      </c>
      <c r="E2042" t="n">
        <v>4</v>
      </c>
      <c r="F2042" t="n">
        <v>12</v>
      </c>
      <c r="G2042" t="n">
        <v>0</v>
      </c>
      <c r="H2042">
        <f>E2042*F2042*(1-G2042)</f>
        <v/>
      </c>
      <c r="I2042">
        <f>XLOOKUP(D2042,Products!$A$2:$A$15,Products!$B$2:$B$15,"Not found")</f>
        <v/>
      </c>
    </row>
    <row r="2043">
      <c r="A2043" t="n">
        <v>106362</v>
      </c>
      <c r="B2043" s="1" t="n">
        <v>45848</v>
      </c>
      <c r="C2043" t="inlineStr">
        <is>
          <t>S04</t>
        </is>
      </c>
      <c r="D2043" t="inlineStr">
        <is>
          <t>P303</t>
        </is>
      </c>
      <c r="E2043" t="n">
        <v>3</v>
      </c>
      <c r="F2043" t="n">
        <v>12</v>
      </c>
      <c r="G2043" t="n">
        <v>0</v>
      </c>
      <c r="H2043">
        <f>E2043*F2043*(1-G2043)</f>
        <v/>
      </c>
      <c r="I2043">
        <f>XLOOKUP(D2043,Products!$A$2:$A$15,Products!$B$2:$B$15,"Not found")</f>
        <v/>
      </c>
    </row>
    <row r="2044">
      <c r="A2044" t="n">
        <v>106363</v>
      </c>
      <c r="B2044" s="1" t="n">
        <v>45848</v>
      </c>
      <c r="C2044" t="inlineStr">
        <is>
          <t>S04</t>
        </is>
      </c>
      <c r="D2044" t="inlineStr">
        <is>
          <t>P303</t>
        </is>
      </c>
      <c r="E2044" t="n">
        <v>1</v>
      </c>
      <c r="F2044" t="n">
        <v>12</v>
      </c>
      <c r="G2044" t="n">
        <v>0</v>
      </c>
      <c r="H2044">
        <f>E2044*F2044*(1-G2044)</f>
        <v/>
      </c>
      <c r="I2044">
        <f>XLOOKUP(D2044,Products!$A$2:$A$15,Products!$B$2:$B$15,"Not found")</f>
        <v/>
      </c>
    </row>
    <row r="2045">
      <c r="A2045" t="n">
        <v>106364</v>
      </c>
      <c r="B2045" s="1" t="n">
        <v>45848</v>
      </c>
      <c r="C2045" t="inlineStr">
        <is>
          <t>S05</t>
        </is>
      </c>
      <c r="D2045" t="inlineStr">
        <is>
          <t>P103</t>
        </is>
      </c>
      <c r="E2045" t="n">
        <v>3</v>
      </c>
      <c r="F2045" t="n">
        <v>29</v>
      </c>
      <c r="G2045" t="n">
        <v>0</v>
      </c>
      <c r="H2045">
        <f>E2045*F2045*(1-G2045)</f>
        <v/>
      </c>
      <c r="I2045">
        <f>XLOOKUP(D2045,Products!$A$2:$A$15,Products!$B$2:$B$15,"Not found")</f>
        <v/>
      </c>
    </row>
    <row r="2046">
      <c r="A2046" t="n">
        <v>106365</v>
      </c>
      <c r="B2046" s="1" t="n">
        <v>45849</v>
      </c>
      <c r="C2046" t="inlineStr">
        <is>
          <t>S01</t>
        </is>
      </c>
      <c r="D2046" t="inlineStr">
        <is>
          <t>P102</t>
        </is>
      </c>
      <c r="E2046" t="n">
        <v>1</v>
      </c>
      <c r="F2046" t="n">
        <v>14.5</v>
      </c>
      <c r="G2046" t="n">
        <v>0</v>
      </c>
      <c r="H2046">
        <f>E2046*F2046*(1-G2046)</f>
        <v/>
      </c>
      <c r="I2046">
        <f>XLOOKUP(D2046,Products!$A$2:$A$15,Products!$B$2:$B$15,"Not found")</f>
        <v/>
      </c>
    </row>
    <row r="2047">
      <c r="A2047" t="n">
        <v>106366</v>
      </c>
      <c r="B2047" s="1" t="n">
        <v>45849</v>
      </c>
      <c r="C2047" t="inlineStr">
        <is>
          <t>S01</t>
        </is>
      </c>
      <c r="D2047" t="inlineStr">
        <is>
          <t>P201</t>
        </is>
      </c>
      <c r="E2047" t="n">
        <v>1</v>
      </c>
      <c r="F2047" t="n">
        <v>149</v>
      </c>
      <c r="G2047" t="n">
        <v>0.2</v>
      </c>
      <c r="H2047">
        <f>E2047*F2047*(1-G2047)</f>
        <v/>
      </c>
      <c r="I2047">
        <f>XLOOKUP(D2047,Products!$A$2:$A$15,Products!$B$2:$B$15,"Not found")</f>
        <v/>
      </c>
    </row>
    <row r="2048">
      <c r="A2048" t="n">
        <v>106367</v>
      </c>
      <c r="B2048" s="1" t="n">
        <v>45849</v>
      </c>
      <c r="C2048" t="inlineStr">
        <is>
          <t>S01</t>
        </is>
      </c>
      <c r="D2048" t="inlineStr">
        <is>
          <t>P203</t>
        </is>
      </c>
      <c r="E2048" t="n">
        <v>4</v>
      </c>
      <c r="F2048" t="n">
        <v>19.5</v>
      </c>
      <c r="G2048" t="n">
        <v>0</v>
      </c>
      <c r="H2048">
        <f>E2048*F2048*(1-G2048)</f>
        <v/>
      </c>
      <c r="I2048">
        <f>XLOOKUP(D2048,Products!$A$2:$A$15,Products!$B$2:$B$15,"Not found")</f>
        <v/>
      </c>
    </row>
    <row r="2049">
      <c r="A2049" t="n">
        <v>106368</v>
      </c>
      <c r="B2049" s="1" t="n">
        <v>45849</v>
      </c>
      <c r="C2049" t="inlineStr">
        <is>
          <t>S01</t>
        </is>
      </c>
      <c r="D2049" t="inlineStr">
        <is>
          <t>P401</t>
        </is>
      </c>
      <c r="E2049" t="n">
        <v>1</v>
      </c>
      <c r="F2049" t="n">
        <v>549</v>
      </c>
      <c r="G2049" t="n">
        <v>0.2</v>
      </c>
      <c r="H2049">
        <f>E2049*F2049*(1-G2049)</f>
        <v/>
      </c>
      <c r="I2049">
        <f>XLOOKUP(D2049,Products!$A$2:$A$15,Products!$B$2:$B$15,"Not found")</f>
        <v/>
      </c>
    </row>
    <row r="2050">
      <c r="A2050" t="n">
        <v>106369</v>
      </c>
      <c r="B2050" s="1" t="n">
        <v>45849</v>
      </c>
      <c r="C2050" t="inlineStr">
        <is>
          <t>S02</t>
        </is>
      </c>
      <c r="D2050" t="inlineStr">
        <is>
          <t>P103</t>
        </is>
      </c>
      <c r="E2050" t="n">
        <v>1</v>
      </c>
      <c r="F2050" t="n">
        <v>29</v>
      </c>
      <c r="G2050" t="n">
        <v>0.15</v>
      </c>
      <c r="H2050">
        <f>E2050*F2050*(1-G2050)</f>
        <v/>
      </c>
      <c r="I2050">
        <f>XLOOKUP(D2050,Products!$A$2:$A$15,Products!$B$2:$B$15,"Not found")</f>
        <v/>
      </c>
    </row>
    <row r="2051">
      <c r="A2051" t="n">
        <v>106370</v>
      </c>
      <c r="B2051" s="1" t="n">
        <v>45849</v>
      </c>
      <c r="C2051" t="inlineStr">
        <is>
          <t>S03</t>
        </is>
      </c>
      <c r="D2051" t="inlineStr">
        <is>
          <t>P302</t>
        </is>
      </c>
      <c r="E2051" t="n">
        <v>1</v>
      </c>
      <c r="F2051" t="n">
        <v>24</v>
      </c>
      <c r="G2051" t="n">
        <v>0.15</v>
      </c>
      <c r="H2051">
        <f>E2051*F2051*(1-G2051)</f>
        <v/>
      </c>
      <c r="I2051">
        <f>XLOOKUP(D2051,Products!$A$2:$A$15,Products!$B$2:$B$15,"Not found")</f>
        <v/>
      </c>
    </row>
    <row r="2052">
      <c r="A2052" t="n">
        <v>106371</v>
      </c>
      <c r="B2052" s="1" t="n">
        <v>45849</v>
      </c>
      <c r="C2052" t="inlineStr">
        <is>
          <t>S06</t>
        </is>
      </c>
      <c r="D2052" t="inlineStr">
        <is>
          <t>P101</t>
        </is>
      </c>
      <c r="E2052" t="n">
        <v>2</v>
      </c>
      <c r="F2052" t="n">
        <v>39</v>
      </c>
      <c r="G2052" t="n">
        <v>0.1</v>
      </c>
      <c r="H2052">
        <f>E2052*F2052*(1-G2052)</f>
        <v/>
      </c>
      <c r="I2052">
        <f>XLOOKUP(D2052,Products!$A$2:$A$15,Products!$B$2:$B$15,"Not found")</f>
        <v/>
      </c>
    </row>
    <row r="2053">
      <c r="A2053" t="n">
        <v>106372</v>
      </c>
      <c r="B2053" s="1" t="n">
        <v>45850</v>
      </c>
      <c r="C2053" t="inlineStr">
        <is>
          <t>S01</t>
        </is>
      </c>
      <c r="D2053" t="inlineStr">
        <is>
          <t>P202</t>
        </is>
      </c>
      <c r="E2053" t="n">
        <v>2</v>
      </c>
      <c r="F2053" t="n">
        <v>79</v>
      </c>
      <c r="G2053" t="n">
        <v>0.2</v>
      </c>
      <c r="H2053">
        <f>E2053*F2053*(1-G2053)</f>
        <v/>
      </c>
      <c r="I2053">
        <f>XLOOKUP(D2053,Products!$A$2:$A$15,Products!$B$2:$B$15,"Not found")</f>
        <v/>
      </c>
    </row>
    <row r="2054">
      <c r="A2054" t="n">
        <v>106373</v>
      </c>
      <c r="B2054" s="1" t="n">
        <v>45850</v>
      </c>
      <c r="C2054" t="inlineStr">
        <is>
          <t>S01</t>
        </is>
      </c>
      <c r="D2054" t="inlineStr">
        <is>
          <t>P303</t>
        </is>
      </c>
      <c r="E2054" t="n">
        <v>1</v>
      </c>
      <c r="F2054" t="n">
        <v>12</v>
      </c>
      <c r="G2054" t="n">
        <v>0</v>
      </c>
      <c r="H2054">
        <f>E2054*F2054*(1-G2054)</f>
        <v/>
      </c>
      <c r="I2054">
        <f>XLOOKUP(D2054,Products!$A$2:$A$15,Products!$B$2:$B$15,"Not found")</f>
        <v/>
      </c>
    </row>
    <row r="2055">
      <c r="A2055" t="n">
        <v>106374</v>
      </c>
      <c r="B2055" s="1" t="n">
        <v>45850</v>
      </c>
      <c r="C2055" t="inlineStr">
        <is>
          <t>S01</t>
        </is>
      </c>
      <c r="D2055" t="inlineStr">
        <is>
          <t>P101</t>
        </is>
      </c>
      <c r="E2055" t="n">
        <v>1</v>
      </c>
      <c r="F2055" t="n">
        <v>39</v>
      </c>
      <c r="G2055" t="n">
        <v>0.2</v>
      </c>
      <c r="H2055">
        <f>E2055*F2055*(1-G2055)</f>
        <v/>
      </c>
      <c r="I2055">
        <f>XLOOKUP(D2055,Products!$A$2:$A$15,Products!$B$2:$B$15,"Not found")</f>
        <v/>
      </c>
    </row>
    <row r="2056">
      <c r="A2056" t="n">
        <v>106375</v>
      </c>
      <c r="B2056" s="1" t="n">
        <v>45850</v>
      </c>
      <c r="C2056" t="inlineStr">
        <is>
          <t>S01</t>
        </is>
      </c>
      <c r="D2056" t="inlineStr">
        <is>
          <t>P302</t>
        </is>
      </c>
      <c r="E2056" t="n">
        <v>2</v>
      </c>
      <c r="F2056" t="n">
        <v>24</v>
      </c>
      <c r="G2056" t="n">
        <v>0</v>
      </c>
      <c r="H2056">
        <f>E2056*F2056*(1-G2056)</f>
        <v/>
      </c>
      <c r="I2056">
        <f>XLOOKUP(D2056,Products!$A$2:$A$15,Products!$B$2:$B$15,"Not found")</f>
        <v/>
      </c>
    </row>
    <row r="2057">
      <c r="A2057" t="n">
        <v>106376</v>
      </c>
      <c r="B2057" s="1" t="n">
        <v>45850</v>
      </c>
      <c r="C2057" t="inlineStr">
        <is>
          <t>S02</t>
        </is>
      </c>
      <c r="D2057" t="inlineStr">
        <is>
          <t>P102</t>
        </is>
      </c>
      <c r="E2057" t="n">
        <v>3</v>
      </c>
      <c r="F2057" t="n">
        <v>14.5</v>
      </c>
      <c r="G2057" t="n">
        <v>0</v>
      </c>
      <c r="H2057">
        <f>E2057*F2057*(1-G2057)</f>
        <v/>
      </c>
      <c r="I2057">
        <f>XLOOKUP(D2057,Products!$A$2:$A$15,Products!$B$2:$B$15,"Not found")</f>
        <v/>
      </c>
    </row>
    <row r="2058">
      <c r="A2058" t="n">
        <v>106377</v>
      </c>
      <c r="B2058" s="1" t="n">
        <v>45850</v>
      </c>
      <c r="C2058" t="inlineStr">
        <is>
          <t>S02</t>
        </is>
      </c>
      <c r="D2058" t="inlineStr">
        <is>
          <t>P102</t>
        </is>
      </c>
      <c r="E2058" t="n">
        <v>3</v>
      </c>
      <c r="F2058" t="n">
        <v>14.5</v>
      </c>
      <c r="G2058" t="n">
        <v>0.15</v>
      </c>
      <c r="H2058">
        <f>E2058*F2058*(1-G2058)</f>
        <v/>
      </c>
      <c r="I2058">
        <f>XLOOKUP(D2058,Products!$A$2:$A$15,Products!$B$2:$B$15,"Not found")</f>
        <v/>
      </c>
    </row>
    <row r="2059">
      <c r="A2059" t="n">
        <v>106378</v>
      </c>
      <c r="B2059" s="1" t="n">
        <v>45850</v>
      </c>
      <c r="C2059" t="inlineStr">
        <is>
          <t>S02</t>
        </is>
      </c>
      <c r="D2059" t="inlineStr">
        <is>
          <t>P202</t>
        </is>
      </c>
      <c r="E2059" t="n">
        <v>1</v>
      </c>
      <c r="F2059" t="n">
        <v>79</v>
      </c>
      <c r="G2059" t="n">
        <v>0</v>
      </c>
      <c r="H2059">
        <f>E2059*F2059*(1-G2059)</f>
        <v/>
      </c>
      <c r="I2059">
        <f>XLOOKUP(D2059,Products!$A$2:$A$15,Products!$B$2:$B$15,"Not found")</f>
        <v/>
      </c>
    </row>
    <row r="2060">
      <c r="A2060" t="n">
        <v>106379</v>
      </c>
      <c r="B2060" s="1" t="n">
        <v>45850</v>
      </c>
      <c r="C2060" t="inlineStr">
        <is>
          <t>S02</t>
        </is>
      </c>
      <c r="D2060" t="inlineStr">
        <is>
          <t>P101</t>
        </is>
      </c>
      <c r="E2060" t="n">
        <v>1</v>
      </c>
      <c r="F2060" t="n">
        <v>39</v>
      </c>
      <c r="G2060" t="n">
        <v>0</v>
      </c>
      <c r="H2060">
        <f>E2060*F2060*(1-G2060)</f>
        <v/>
      </c>
      <c r="I2060">
        <f>XLOOKUP(D2060,Products!$A$2:$A$15,Products!$B$2:$B$15,"Not found")</f>
        <v/>
      </c>
    </row>
    <row r="2061">
      <c r="A2061" t="n">
        <v>106380</v>
      </c>
      <c r="B2061" s="1" t="n">
        <v>45850</v>
      </c>
      <c r="C2061" t="inlineStr">
        <is>
          <t>S03</t>
        </is>
      </c>
      <c r="D2061" t="inlineStr">
        <is>
          <t>P201</t>
        </is>
      </c>
      <c r="E2061" t="n">
        <v>1</v>
      </c>
      <c r="F2061" t="n">
        <v>149</v>
      </c>
      <c r="G2061" t="n">
        <v>0</v>
      </c>
      <c r="H2061">
        <f>E2061*F2061*(1-G2061)</f>
        <v/>
      </c>
      <c r="I2061">
        <f>XLOOKUP(D2061,Products!$A$2:$A$15,Products!$B$2:$B$15,"Not found")</f>
        <v/>
      </c>
    </row>
    <row r="2062">
      <c r="A2062" t="n">
        <v>106381</v>
      </c>
      <c r="B2062" s="1" t="n">
        <v>45850</v>
      </c>
      <c r="C2062" t="inlineStr">
        <is>
          <t>S04</t>
        </is>
      </c>
      <c r="D2062" t="inlineStr">
        <is>
          <t>P303</t>
        </is>
      </c>
      <c r="E2062" t="n">
        <v>1</v>
      </c>
      <c r="F2062" t="n">
        <v>12</v>
      </c>
      <c r="G2062" t="n">
        <v>0</v>
      </c>
      <c r="H2062">
        <f>E2062*F2062*(1-G2062)</f>
        <v/>
      </c>
      <c r="I2062">
        <f>XLOOKUP(D2062,Products!$A$2:$A$15,Products!$B$2:$B$15,"Not found")</f>
        <v/>
      </c>
    </row>
    <row r="2063">
      <c r="A2063" t="n">
        <v>106382</v>
      </c>
      <c r="B2063" s="1" t="n">
        <v>45850</v>
      </c>
      <c r="C2063" t="inlineStr">
        <is>
          <t>S04</t>
        </is>
      </c>
      <c r="D2063" t="inlineStr">
        <is>
          <t>P303</t>
        </is>
      </c>
      <c r="E2063" t="n">
        <v>3</v>
      </c>
      <c r="F2063" t="n">
        <v>12</v>
      </c>
      <c r="G2063" t="n">
        <v>0.1</v>
      </c>
      <c r="H2063">
        <f>E2063*F2063*(1-G2063)</f>
        <v/>
      </c>
      <c r="I2063">
        <f>XLOOKUP(D2063,Products!$A$2:$A$15,Products!$B$2:$B$15,"Not found")</f>
        <v/>
      </c>
    </row>
    <row r="2064">
      <c r="A2064" t="n">
        <v>106383</v>
      </c>
      <c r="B2064" s="1" t="n">
        <v>45850</v>
      </c>
      <c r="C2064" t="inlineStr">
        <is>
          <t>S04</t>
        </is>
      </c>
      <c r="D2064" t="inlineStr">
        <is>
          <t>P203</t>
        </is>
      </c>
      <c r="E2064" t="n">
        <v>4</v>
      </c>
      <c r="F2064" t="n">
        <v>19.5</v>
      </c>
      <c r="G2064" t="n">
        <v>0</v>
      </c>
      <c r="H2064">
        <f>E2064*F2064*(1-G2064)</f>
        <v/>
      </c>
      <c r="I2064">
        <f>XLOOKUP(D2064,Products!$A$2:$A$15,Products!$B$2:$B$15,"Not found")</f>
        <v/>
      </c>
    </row>
    <row r="2065">
      <c r="A2065" t="n">
        <v>106384</v>
      </c>
      <c r="B2065" s="1" t="n">
        <v>45850</v>
      </c>
      <c r="C2065" t="inlineStr">
        <is>
          <t>S05</t>
        </is>
      </c>
      <c r="D2065" t="inlineStr">
        <is>
          <t>P101</t>
        </is>
      </c>
      <c r="E2065" t="n">
        <v>2</v>
      </c>
      <c r="F2065" t="n">
        <v>39</v>
      </c>
      <c r="G2065" t="n">
        <v>0</v>
      </c>
      <c r="H2065">
        <f>E2065*F2065*(1-G2065)</f>
        <v/>
      </c>
      <c r="I2065">
        <f>XLOOKUP(D2065,Products!$A$2:$A$15,Products!$B$2:$B$15,"Not found")</f>
        <v/>
      </c>
    </row>
    <row r="2066">
      <c r="A2066" t="n">
        <v>106385</v>
      </c>
      <c r="B2066" s="1" t="n">
        <v>45850</v>
      </c>
      <c r="C2066" t="inlineStr">
        <is>
          <t>S06</t>
        </is>
      </c>
      <c r="D2066" t="inlineStr">
        <is>
          <t>P102</t>
        </is>
      </c>
      <c r="E2066" t="n">
        <v>1</v>
      </c>
      <c r="F2066" t="n">
        <v>14.5</v>
      </c>
      <c r="G2066" t="n">
        <v>0.15</v>
      </c>
      <c r="H2066">
        <f>E2066*F2066*(1-G2066)</f>
        <v/>
      </c>
      <c r="I2066">
        <f>XLOOKUP(D2066,Products!$A$2:$A$15,Products!$B$2:$B$15,"Not found")</f>
        <v/>
      </c>
    </row>
    <row r="2067">
      <c r="A2067" t="n">
        <v>106386</v>
      </c>
      <c r="B2067" s="1" t="n">
        <v>45851</v>
      </c>
      <c r="C2067" t="inlineStr">
        <is>
          <t>S01</t>
        </is>
      </c>
      <c r="D2067" t="inlineStr">
        <is>
          <t>P201</t>
        </is>
      </c>
      <c r="E2067" t="n">
        <v>1</v>
      </c>
      <c r="F2067" t="n">
        <v>149</v>
      </c>
      <c r="G2067" t="n">
        <v>0.15</v>
      </c>
      <c r="H2067">
        <f>E2067*F2067*(1-G2067)</f>
        <v/>
      </c>
      <c r="I2067">
        <f>XLOOKUP(D2067,Products!$A$2:$A$15,Products!$B$2:$B$15,"Not found")</f>
        <v/>
      </c>
    </row>
    <row r="2068">
      <c r="A2068" t="n">
        <v>106387</v>
      </c>
      <c r="B2068" s="1" t="n">
        <v>45851</v>
      </c>
      <c r="C2068" t="inlineStr">
        <is>
          <t>S01</t>
        </is>
      </c>
      <c r="D2068" t="inlineStr">
        <is>
          <t>P204</t>
        </is>
      </c>
      <c r="E2068" t="n">
        <v>1</v>
      </c>
      <c r="F2068" t="n">
        <v>229</v>
      </c>
      <c r="G2068" t="n">
        <v>0.2</v>
      </c>
      <c r="H2068">
        <f>E2068*F2068*(1-G2068)</f>
        <v/>
      </c>
      <c r="I2068">
        <f>XLOOKUP(D2068,Products!$A$2:$A$15,Products!$B$2:$B$15,"Not found")</f>
        <v/>
      </c>
    </row>
    <row r="2069">
      <c r="A2069" t="n">
        <v>106388</v>
      </c>
      <c r="B2069" s="1" t="n">
        <v>45851</v>
      </c>
      <c r="C2069" t="inlineStr">
        <is>
          <t>S01</t>
        </is>
      </c>
      <c r="D2069" t="inlineStr">
        <is>
          <t>P101</t>
        </is>
      </c>
      <c r="E2069" t="n">
        <v>2</v>
      </c>
      <c r="F2069" t="n">
        <v>39</v>
      </c>
      <c r="G2069" t="n">
        <v>0</v>
      </c>
      <c r="H2069">
        <f>E2069*F2069*(1-G2069)</f>
        <v/>
      </c>
      <c r="I2069">
        <f>XLOOKUP(D2069,Products!$A$2:$A$15,Products!$B$2:$B$15,"Not found")</f>
        <v/>
      </c>
    </row>
    <row r="2070">
      <c r="A2070" t="n">
        <v>106389</v>
      </c>
      <c r="B2070" s="1" t="n">
        <v>45851</v>
      </c>
      <c r="C2070" t="inlineStr">
        <is>
          <t>S01</t>
        </is>
      </c>
      <c r="D2070" t="inlineStr">
        <is>
          <t>P303</t>
        </is>
      </c>
      <c r="E2070" t="n">
        <v>4</v>
      </c>
      <c r="F2070" t="n">
        <v>12</v>
      </c>
      <c r="G2070" t="n">
        <v>0</v>
      </c>
      <c r="H2070">
        <f>E2070*F2070*(1-G2070)</f>
        <v/>
      </c>
      <c r="I2070">
        <f>XLOOKUP(D2070,Products!$A$2:$A$15,Products!$B$2:$B$15,"Not found")</f>
        <v/>
      </c>
    </row>
    <row r="2071">
      <c r="A2071" t="n">
        <v>106390</v>
      </c>
      <c r="B2071" s="1" t="n">
        <v>45851</v>
      </c>
      <c r="C2071" t="inlineStr">
        <is>
          <t>S02</t>
        </is>
      </c>
      <c r="D2071" t="inlineStr">
        <is>
          <t>P302</t>
        </is>
      </c>
      <c r="E2071" t="n">
        <v>3</v>
      </c>
      <c r="F2071" t="n">
        <v>24</v>
      </c>
      <c r="G2071" t="n">
        <v>0.1</v>
      </c>
      <c r="H2071">
        <f>E2071*F2071*(1-G2071)</f>
        <v/>
      </c>
      <c r="I2071">
        <f>XLOOKUP(D2071,Products!$A$2:$A$15,Products!$B$2:$B$15,"Not found")</f>
        <v/>
      </c>
    </row>
    <row r="2072">
      <c r="A2072" t="n">
        <v>106391</v>
      </c>
      <c r="B2072" s="1" t="n">
        <v>45851</v>
      </c>
      <c r="C2072" t="inlineStr">
        <is>
          <t>S02</t>
        </is>
      </c>
      <c r="D2072" t="inlineStr">
        <is>
          <t>P302</t>
        </is>
      </c>
      <c r="E2072" t="n">
        <v>2</v>
      </c>
      <c r="F2072" t="n">
        <v>24</v>
      </c>
      <c r="G2072" t="n">
        <v>0.15</v>
      </c>
      <c r="H2072">
        <f>E2072*F2072*(1-G2072)</f>
        <v/>
      </c>
      <c r="I2072">
        <f>XLOOKUP(D2072,Products!$A$2:$A$15,Products!$B$2:$B$15,"Not found")</f>
        <v/>
      </c>
    </row>
    <row r="2073">
      <c r="A2073" t="n">
        <v>106392</v>
      </c>
      <c r="B2073" s="1" t="n">
        <v>45851</v>
      </c>
      <c r="C2073" t="inlineStr">
        <is>
          <t>S03</t>
        </is>
      </c>
      <c r="D2073" t="inlineStr">
        <is>
          <t>P101</t>
        </is>
      </c>
      <c r="E2073" t="n">
        <v>3</v>
      </c>
      <c r="F2073" t="n">
        <v>39</v>
      </c>
      <c r="G2073" t="n">
        <v>0</v>
      </c>
      <c r="H2073">
        <f>E2073*F2073*(1-G2073)</f>
        <v/>
      </c>
      <c r="I2073">
        <f>XLOOKUP(D2073,Products!$A$2:$A$15,Products!$B$2:$B$15,"Not found")</f>
        <v/>
      </c>
    </row>
    <row r="2074">
      <c r="A2074" t="n">
        <v>106393</v>
      </c>
      <c r="B2074" s="1" t="n">
        <v>45851</v>
      </c>
      <c r="C2074" t="inlineStr">
        <is>
          <t>S05</t>
        </is>
      </c>
      <c r="D2074" t="inlineStr">
        <is>
          <t>P303</t>
        </is>
      </c>
      <c r="E2074" t="n">
        <v>2</v>
      </c>
      <c r="F2074" t="n">
        <v>12</v>
      </c>
      <c r="G2074" t="n">
        <v>0.2</v>
      </c>
      <c r="H2074">
        <f>E2074*F2074*(1-G2074)</f>
        <v/>
      </c>
      <c r="I2074">
        <f>XLOOKUP(D2074,Products!$A$2:$A$15,Products!$B$2:$B$15,"Not found")</f>
        <v/>
      </c>
    </row>
    <row r="2075">
      <c r="A2075" t="n">
        <v>106394</v>
      </c>
      <c r="B2075" s="1" t="n">
        <v>45851</v>
      </c>
      <c r="C2075" t="inlineStr">
        <is>
          <t>S06</t>
        </is>
      </c>
      <c r="D2075" t="inlineStr">
        <is>
          <t>P301</t>
        </is>
      </c>
      <c r="E2075" t="n">
        <v>1</v>
      </c>
      <c r="F2075" t="n">
        <v>119</v>
      </c>
      <c r="G2075" t="n">
        <v>0</v>
      </c>
      <c r="H2075">
        <f>E2075*F2075*(1-G2075)</f>
        <v/>
      </c>
      <c r="I2075">
        <f>XLOOKUP(D2075,Products!$A$2:$A$15,Products!$B$2:$B$15,"Not found")</f>
        <v/>
      </c>
    </row>
    <row r="2076">
      <c r="A2076" t="n">
        <v>106395</v>
      </c>
      <c r="B2076" s="1" t="n">
        <v>45852</v>
      </c>
      <c r="C2076" t="inlineStr">
        <is>
          <t>S01</t>
        </is>
      </c>
      <c r="D2076" t="inlineStr">
        <is>
          <t>P303</t>
        </is>
      </c>
      <c r="E2076" t="n">
        <v>4</v>
      </c>
      <c r="F2076" t="n">
        <v>12</v>
      </c>
      <c r="G2076" t="n">
        <v>0</v>
      </c>
      <c r="H2076">
        <f>E2076*F2076*(1-G2076)</f>
        <v/>
      </c>
      <c r="I2076">
        <f>XLOOKUP(D2076,Products!$A$2:$A$15,Products!$B$2:$B$15,"Not found")</f>
        <v/>
      </c>
    </row>
    <row r="2077">
      <c r="A2077" t="n">
        <v>106396</v>
      </c>
      <c r="B2077" s="1" t="n">
        <v>45852</v>
      </c>
      <c r="C2077" t="inlineStr">
        <is>
          <t>S01</t>
        </is>
      </c>
      <c r="D2077" t="inlineStr">
        <is>
          <t>P203</t>
        </is>
      </c>
      <c r="E2077" t="n">
        <v>1</v>
      </c>
      <c r="F2077" t="n">
        <v>19.5</v>
      </c>
      <c r="G2077" t="n">
        <v>0.1</v>
      </c>
      <c r="H2077">
        <f>E2077*F2077*(1-G2077)</f>
        <v/>
      </c>
      <c r="I2077">
        <f>XLOOKUP(D2077,Products!$A$2:$A$15,Products!$B$2:$B$15,"Not found")</f>
        <v/>
      </c>
    </row>
    <row r="2078">
      <c r="A2078" t="n">
        <v>106397</v>
      </c>
      <c r="B2078" s="1" t="n">
        <v>45852</v>
      </c>
      <c r="C2078" t="inlineStr">
        <is>
          <t>S01</t>
        </is>
      </c>
      <c r="D2078" t="inlineStr">
        <is>
          <t>P103</t>
        </is>
      </c>
      <c r="E2078" t="n">
        <v>1</v>
      </c>
      <c r="F2078" t="n">
        <v>29</v>
      </c>
      <c r="G2078" t="n">
        <v>0</v>
      </c>
      <c r="H2078">
        <f>E2078*F2078*(1-G2078)</f>
        <v/>
      </c>
      <c r="I2078">
        <f>XLOOKUP(D2078,Products!$A$2:$A$15,Products!$B$2:$B$15,"Not found")</f>
        <v/>
      </c>
    </row>
    <row r="2079">
      <c r="A2079" t="n">
        <v>106398</v>
      </c>
      <c r="B2079" s="1" t="n">
        <v>45852</v>
      </c>
      <c r="C2079" t="inlineStr">
        <is>
          <t>S01</t>
        </is>
      </c>
      <c r="D2079" t="inlineStr">
        <is>
          <t>P401</t>
        </is>
      </c>
      <c r="E2079" t="n">
        <v>1</v>
      </c>
      <c r="F2079" t="n">
        <v>549</v>
      </c>
      <c r="G2079" t="n">
        <v>0.2</v>
      </c>
      <c r="H2079">
        <f>E2079*F2079*(1-G2079)</f>
        <v/>
      </c>
      <c r="I2079">
        <f>XLOOKUP(D2079,Products!$A$2:$A$15,Products!$B$2:$B$15,"Not found")</f>
        <v/>
      </c>
    </row>
    <row r="2080">
      <c r="A2080" t="n">
        <v>106399</v>
      </c>
      <c r="B2080" s="1" t="n">
        <v>45852</v>
      </c>
      <c r="C2080" t="inlineStr">
        <is>
          <t>S04</t>
        </is>
      </c>
      <c r="D2080" t="inlineStr">
        <is>
          <t>P303</t>
        </is>
      </c>
      <c r="E2080" t="n">
        <v>2</v>
      </c>
      <c r="F2080" t="n">
        <v>12</v>
      </c>
      <c r="G2080" t="n">
        <v>0.1</v>
      </c>
      <c r="H2080">
        <f>E2080*F2080*(1-G2080)</f>
        <v/>
      </c>
      <c r="I2080">
        <f>XLOOKUP(D2080,Products!$A$2:$A$15,Products!$B$2:$B$15,"Not found")</f>
        <v/>
      </c>
    </row>
    <row r="2081">
      <c r="A2081" t="n">
        <v>106400</v>
      </c>
      <c r="B2081" s="1" t="n">
        <v>45852</v>
      </c>
      <c r="C2081" t="inlineStr">
        <is>
          <t>S04</t>
        </is>
      </c>
      <c r="D2081" t="inlineStr">
        <is>
          <t>P203</t>
        </is>
      </c>
      <c r="E2081" t="n">
        <v>1</v>
      </c>
      <c r="F2081" t="n">
        <v>19.5</v>
      </c>
      <c r="G2081" t="n">
        <v>0</v>
      </c>
      <c r="H2081">
        <f>E2081*F2081*(1-G2081)</f>
        <v/>
      </c>
      <c r="I2081">
        <f>XLOOKUP(D2081,Products!$A$2:$A$15,Products!$B$2:$B$15,"Not found")</f>
        <v/>
      </c>
    </row>
    <row r="2082">
      <c r="A2082" t="n">
        <v>106401</v>
      </c>
      <c r="B2082" s="1" t="n">
        <v>45852</v>
      </c>
      <c r="C2082" t="inlineStr">
        <is>
          <t>S05</t>
        </is>
      </c>
      <c r="D2082" t="inlineStr">
        <is>
          <t>P102</t>
        </is>
      </c>
      <c r="E2082" t="n">
        <v>2</v>
      </c>
      <c r="F2082" t="n">
        <v>14.5</v>
      </c>
      <c r="G2082" t="n">
        <v>0</v>
      </c>
      <c r="H2082">
        <f>E2082*F2082*(1-G2082)</f>
        <v/>
      </c>
      <c r="I2082">
        <f>XLOOKUP(D2082,Products!$A$2:$A$15,Products!$B$2:$B$15,"Not found")</f>
        <v/>
      </c>
    </row>
    <row r="2083">
      <c r="A2083" t="n">
        <v>106402</v>
      </c>
      <c r="B2083" s="1" t="n">
        <v>45852</v>
      </c>
      <c r="C2083" t="inlineStr">
        <is>
          <t>S05</t>
        </is>
      </c>
      <c r="D2083" t="inlineStr">
        <is>
          <t>P303</t>
        </is>
      </c>
      <c r="E2083" t="n">
        <v>2</v>
      </c>
      <c r="F2083" t="n">
        <v>12</v>
      </c>
      <c r="G2083" t="n">
        <v>0.15</v>
      </c>
      <c r="H2083">
        <f>E2083*F2083*(1-G2083)</f>
        <v/>
      </c>
      <c r="I2083">
        <f>XLOOKUP(D2083,Products!$A$2:$A$15,Products!$B$2:$B$15,"Not found")</f>
        <v/>
      </c>
    </row>
    <row r="2084">
      <c r="A2084" t="n">
        <v>106403</v>
      </c>
      <c r="B2084" s="1" t="n">
        <v>45853</v>
      </c>
      <c r="C2084" t="inlineStr">
        <is>
          <t>S01</t>
        </is>
      </c>
      <c r="D2084" t="inlineStr">
        <is>
          <t>P104</t>
        </is>
      </c>
      <c r="E2084" t="n">
        <v>1</v>
      </c>
      <c r="F2084" t="n">
        <v>189</v>
      </c>
      <c r="G2084" t="n">
        <v>0</v>
      </c>
      <c r="H2084">
        <f>E2084*F2084*(1-G2084)</f>
        <v/>
      </c>
      <c r="I2084">
        <f>XLOOKUP(D2084,Products!$A$2:$A$15,Products!$B$2:$B$15,"Not found")</f>
        <v/>
      </c>
    </row>
    <row r="2085">
      <c r="A2085" t="n">
        <v>106404</v>
      </c>
      <c r="B2085" s="1" t="n">
        <v>45853</v>
      </c>
      <c r="C2085" t="inlineStr">
        <is>
          <t>S02</t>
        </is>
      </c>
      <c r="D2085" t="inlineStr">
        <is>
          <t>P201</t>
        </is>
      </c>
      <c r="E2085" t="n">
        <v>1</v>
      </c>
      <c r="F2085" t="n">
        <v>149</v>
      </c>
      <c r="G2085" t="n">
        <v>0.15</v>
      </c>
      <c r="H2085">
        <f>E2085*F2085*(1-G2085)</f>
        <v/>
      </c>
      <c r="I2085">
        <f>XLOOKUP(D2085,Products!$A$2:$A$15,Products!$B$2:$B$15,"Not found")</f>
        <v/>
      </c>
    </row>
    <row r="2086">
      <c r="A2086" t="n">
        <v>106405</v>
      </c>
      <c r="B2086" s="1" t="n">
        <v>45853</v>
      </c>
      <c r="C2086" t="inlineStr">
        <is>
          <t>S02</t>
        </is>
      </c>
      <c r="D2086" t="inlineStr">
        <is>
          <t>P203</t>
        </is>
      </c>
      <c r="E2086" t="n">
        <v>4</v>
      </c>
      <c r="F2086" t="n">
        <v>19.5</v>
      </c>
      <c r="G2086" t="n">
        <v>0</v>
      </c>
      <c r="H2086">
        <f>E2086*F2086*(1-G2086)</f>
        <v/>
      </c>
      <c r="I2086">
        <f>XLOOKUP(D2086,Products!$A$2:$A$15,Products!$B$2:$B$15,"Not found")</f>
        <v/>
      </c>
    </row>
    <row r="2087">
      <c r="A2087" t="n">
        <v>106406</v>
      </c>
      <c r="B2087" s="1" t="n">
        <v>45853</v>
      </c>
      <c r="C2087" t="inlineStr">
        <is>
          <t>S02</t>
        </is>
      </c>
      <c r="D2087" t="inlineStr">
        <is>
          <t>P303</t>
        </is>
      </c>
      <c r="E2087" t="n">
        <v>3</v>
      </c>
      <c r="F2087" t="n">
        <v>12</v>
      </c>
      <c r="G2087" t="n">
        <v>0.2</v>
      </c>
      <c r="H2087">
        <f>E2087*F2087*(1-G2087)</f>
        <v/>
      </c>
      <c r="I2087">
        <f>XLOOKUP(D2087,Products!$A$2:$A$15,Products!$B$2:$B$15,"Not found")</f>
        <v/>
      </c>
    </row>
    <row r="2088">
      <c r="A2088" t="n">
        <v>106407</v>
      </c>
      <c r="B2088" s="1" t="n">
        <v>45853</v>
      </c>
      <c r="C2088" t="inlineStr">
        <is>
          <t>S04</t>
        </is>
      </c>
      <c r="D2088" t="inlineStr">
        <is>
          <t>P104</t>
        </is>
      </c>
      <c r="E2088" t="n">
        <v>1</v>
      </c>
      <c r="F2088" t="n">
        <v>189</v>
      </c>
      <c r="G2088" t="n">
        <v>0</v>
      </c>
      <c r="H2088">
        <f>E2088*F2088*(1-G2088)</f>
        <v/>
      </c>
      <c r="I2088">
        <f>XLOOKUP(D2088,Products!$A$2:$A$15,Products!$B$2:$B$15,"Not found")</f>
        <v/>
      </c>
    </row>
    <row r="2089">
      <c r="A2089" t="n">
        <v>106408</v>
      </c>
      <c r="B2089" s="1" t="n">
        <v>45853</v>
      </c>
      <c r="C2089" t="inlineStr">
        <is>
          <t>S05</t>
        </is>
      </c>
      <c r="D2089" t="inlineStr">
        <is>
          <t>P303</t>
        </is>
      </c>
      <c r="E2089" t="n">
        <v>2</v>
      </c>
      <c r="F2089" t="n">
        <v>12</v>
      </c>
      <c r="G2089" t="n">
        <v>0</v>
      </c>
      <c r="H2089">
        <f>E2089*F2089*(1-G2089)</f>
        <v/>
      </c>
      <c r="I2089">
        <f>XLOOKUP(D2089,Products!$A$2:$A$15,Products!$B$2:$B$15,"Not found")</f>
        <v/>
      </c>
    </row>
    <row r="2090">
      <c r="A2090" t="n">
        <v>106409</v>
      </c>
      <c r="B2090" s="1" t="n">
        <v>45853</v>
      </c>
      <c r="C2090" t="inlineStr">
        <is>
          <t>S05</t>
        </is>
      </c>
      <c r="D2090" t="inlineStr">
        <is>
          <t>P201</t>
        </is>
      </c>
      <c r="E2090" t="n">
        <v>1</v>
      </c>
      <c r="F2090" t="n">
        <v>149</v>
      </c>
      <c r="G2090" t="n">
        <v>0</v>
      </c>
      <c r="H2090">
        <f>E2090*F2090*(1-G2090)</f>
        <v/>
      </c>
      <c r="I2090">
        <f>XLOOKUP(D2090,Products!$A$2:$A$15,Products!$B$2:$B$15,"Not found")</f>
        <v/>
      </c>
    </row>
    <row r="2091">
      <c r="A2091" t="n">
        <v>106410</v>
      </c>
      <c r="B2091" s="1" t="n">
        <v>45853</v>
      </c>
      <c r="C2091" t="inlineStr">
        <is>
          <t>S05</t>
        </is>
      </c>
      <c r="D2091" t="inlineStr">
        <is>
          <t>P101</t>
        </is>
      </c>
      <c r="E2091" t="n">
        <v>1</v>
      </c>
      <c r="F2091" t="n">
        <v>39</v>
      </c>
      <c r="G2091" t="n">
        <v>0</v>
      </c>
      <c r="H2091">
        <f>E2091*F2091*(1-G2091)</f>
        <v/>
      </c>
      <c r="I2091">
        <f>XLOOKUP(D2091,Products!$A$2:$A$15,Products!$B$2:$B$15,"Not found")</f>
        <v/>
      </c>
    </row>
    <row r="2092">
      <c r="A2092" t="n">
        <v>106411</v>
      </c>
      <c r="B2092" s="1" t="n">
        <v>45853</v>
      </c>
      <c r="C2092" t="inlineStr">
        <is>
          <t>S06</t>
        </is>
      </c>
      <c r="D2092" t="inlineStr">
        <is>
          <t>P302</t>
        </is>
      </c>
      <c r="E2092" t="n">
        <v>2</v>
      </c>
      <c r="F2092" t="n">
        <v>24</v>
      </c>
      <c r="G2092" t="n">
        <v>0.2</v>
      </c>
      <c r="H2092">
        <f>E2092*F2092*(1-G2092)</f>
        <v/>
      </c>
      <c r="I2092">
        <f>XLOOKUP(D2092,Products!$A$2:$A$15,Products!$B$2:$B$15,"Not found")</f>
        <v/>
      </c>
    </row>
    <row r="2093">
      <c r="A2093" t="n">
        <v>106412</v>
      </c>
      <c r="B2093" s="1" t="n">
        <v>45853</v>
      </c>
      <c r="C2093" t="inlineStr">
        <is>
          <t>S06</t>
        </is>
      </c>
      <c r="D2093" t="inlineStr">
        <is>
          <t>P403</t>
        </is>
      </c>
      <c r="E2093" t="n">
        <v>1</v>
      </c>
      <c r="F2093" t="n">
        <v>89</v>
      </c>
      <c r="G2093" t="n">
        <v>0.2</v>
      </c>
      <c r="H2093">
        <f>E2093*F2093*(1-G2093)</f>
        <v/>
      </c>
      <c r="I2093">
        <f>XLOOKUP(D2093,Products!$A$2:$A$15,Products!$B$2:$B$15,"Not found")</f>
        <v/>
      </c>
    </row>
    <row r="2094">
      <c r="A2094" t="n">
        <v>106413</v>
      </c>
      <c r="B2094" s="1" t="n">
        <v>45854</v>
      </c>
      <c r="C2094" t="inlineStr">
        <is>
          <t>S01</t>
        </is>
      </c>
      <c r="D2094" t="inlineStr">
        <is>
          <t>P302</t>
        </is>
      </c>
      <c r="E2094" t="n">
        <v>1</v>
      </c>
      <c r="F2094" t="n">
        <v>24</v>
      </c>
      <c r="G2094" t="n">
        <v>0</v>
      </c>
      <c r="H2094">
        <f>E2094*F2094*(1-G2094)</f>
        <v/>
      </c>
      <c r="I2094">
        <f>XLOOKUP(D2094,Products!$A$2:$A$15,Products!$B$2:$B$15,"Not found")</f>
        <v/>
      </c>
    </row>
    <row r="2095">
      <c r="A2095" t="n">
        <v>106414</v>
      </c>
      <c r="B2095" s="1" t="n">
        <v>45854</v>
      </c>
      <c r="C2095" t="inlineStr">
        <is>
          <t>S01</t>
        </is>
      </c>
      <c r="D2095" t="inlineStr">
        <is>
          <t>P102</t>
        </is>
      </c>
      <c r="E2095" t="n">
        <v>1</v>
      </c>
      <c r="F2095" t="n">
        <v>14.5</v>
      </c>
      <c r="G2095" t="n">
        <v>0</v>
      </c>
      <c r="H2095">
        <f>E2095*F2095*(1-G2095)</f>
        <v/>
      </c>
      <c r="I2095">
        <f>XLOOKUP(D2095,Products!$A$2:$A$15,Products!$B$2:$B$15,"Not found")</f>
        <v/>
      </c>
    </row>
    <row r="2096">
      <c r="A2096" t="n">
        <v>106415</v>
      </c>
      <c r="B2096" s="1" t="n">
        <v>45854</v>
      </c>
      <c r="C2096" t="inlineStr">
        <is>
          <t>S02</t>
        </is>
      </c>
      <c r="D2096" t="inlineStr">
        <is>
          <t>P201</t>
        </is>
      </c>
      <c r="E2096" t="n">
        <v>1</v>
      </c>
      <c r="F2096" t="n">
        <v>149</v>
      </c>
      <c r="G2096" t="n">
        <v>0.15</v>
      </c>
      <c r="H2096">
        <f>E2096*F2096*(1-G2096)</f>
        <v/>
      </c>
      <c r="I2096">
        <f>XLOOKUP(D2096,Products!$A$2:$A$15,Products!$B$2:$B$15,"Not found")</f>
        <v/>
      </c>
    </row>
    <row r="2097">
      <c r="A2097" t="n">
        <v>106416</v>
      </c>
      <c r="B2097" s="1" t="n">
        <v>45854</v>
      </c>
      <c r="C2097" t="inlineStr">
        <is>
          <t>S02</t>
        </is>
      </c>
      <c r="D2097" t="inlineStr">
        <is>
          <t>P302</t>
        </is>
      </c>
      <c r="E2097" t="n">
        <v>1</v>
      </c>
      <c r="F2097" t="n">
        <v>24</v>
      </c>
      <c r="G2097" t="n">
        <v>0</v>
      </c>
      <c r="H2097">
        <f>E2097*F2097*(1-G2097)</f>
        <v/>
      </c>
      <c r="I2097">
        <f>XLOOKUP(D2097,Products!$A$2:$A$15,Products!$B$2:$B$15,"Not found")</f>
        <v/>
      </c>
    </row>
    <row r="2098">
      <c r="A2098" t="n">
        <v>106417</v>
      </c>
      <c r="B2098" s="1" t="n">
        <v>45854</v>
      </c>
      <c r="C2098" t="inlineStr">
        <is>
          <t>S04</t>
        </is>
      </c>
      <c r="D2098" t="inlineStr">
        <is>
          <t>P303</t>
        </is>
      </c>
      <c r="E2098" t="n">
        <v>2</v>
      </c>
      <c r="F2098" t="n">
        <v>12</v>
      </c>
      <c r="G2098" t="n">
        <v>0</v>
      </c>
      <c r="H2098">
        <f>E2098*F2098*(1-G2098)</f>
        <v/>
      </c>
      <c r="I2098">
        <f>XLOOKUP(D2098,Products!$A$2:$A$15,Products!$B$2:$B$15,"Not found")</f>
        <v/>
      </c>
    </row>
    <row r="2099">
      <c r="A2099" t="n">
        <v>106418</v>
      </c>
      <c r="B2099" s="1" t="n">
        <v>45854</v>
      </c>
      <c r="C2099" t="inlineStr">
        <is>
          <t>S04</t>
        </is>
      </c>
      <c r="D2099" t="inlineStr">
        <is>
          <t>P101</t>
        </is>
      </c>
      <c r="E2099" t="n">
        <v>2</v>
      </c>
      <c r="F2099" t="n">
        <v>39</v>
      </c>
      <c r="G2099" t="n">
        <v>0</v>
      </c>
      <c r="H2099">
        <f>E2099*F2099*(1-G2099)</f>
        <v/>
      </c>
      <c r="I2099">
        <f>XLOOKUP(D2099,Products!$A$2:$A$15,Products!$B$2:$B$15,"Not found")</f>
        <v/>
      </c>
    </row>
    <row r="2100">
      <c r="A2100" t="n">
        <v>106419</v>
      </c>
      <c r="B2100" s="1" t="n">
        <v>45854</v>
      </c>
      <c r="C2100" t="inlineStr">
        <is>
          <t>S05</t>
        </is>
      </c>
      <c r="D2100" t="inlineStr">
        <is>
          <t>P102</t>
        </is>
      </c>
      <c r="E2100" t="n">
        <v>4</v>
      </c>
      <c r="F2100" t="n">
        <v>14.5</v>
      </c>
      <c r="G2100" t="n">
        <v>0.2</v>
      </c>
      <c r="H2100">
        <f>E2100*F2100*(1-G2100)</f>
        <v/>
      </c>
      <c r="I2100">
        <f>XLOOKUP(D2100,Products!$A$2:$A$15,Products!$B$2:$B$15,"Not found")</f>
        <v/>
      </c>
    </row>
    <row r="2101">
      <c r="A2101" t="n">
        <v>106420</v>
      </c>
      <c r="B2101" s="1" t="n">
        <v>45854</v>
      </c>
      <c r="C2101" t="inlineStr">
        <is>
          <t>S05</t>
        </is>
      </c>
      <c r="D2101" t="inlineStr">
        <is>
          <t>P201</t>
        </is>
      </c>
      <c r="E2101" t="n">
        <v>1</v>
      </c>
      <c r="F2101" t="n">
        <v>149</v>
      </c>
      <c r="G2101" t="n">
        <v>0</v>
      </c>
      <c r="H2101">
        <f>E2101*F2101*(1-G2101)</f>
        <v/>
      </c>
      <c r="I2101">
        <f>XLOOKUP(D2101,Products!$A$2:$A$15,Products!$B$2:$B$15,"Not found")</f>
        <v/>
      </c>
    </row>
    <row r="2102">
      <c r="A2102" t="n">
        <v>106421</v>
      </c>
      <c r="B2102" s="1" t="n">
        <v>45854</v>
      </c>
      <c r="C2102" t="inlineStr">
        <is>
          <t>S06</t>
        </is>
      </c>
      <c r="D2102" t="inlineStr">
        <is>
          <t>P203</t>
        </is>
      </c>
      <c r="E2102" t="n">
        <v>1</v>
      </c>
      <c r="F2102" t="n">
        <v>19.5</v>
      </c>
      <c r="G2102" t="n">
        <v>0</v>
      </c>
      <c r="H2102">
        <f>E2102*F2102*(1-G2102)</f>
        <v/>
      </c>
      <c r="I2102">
        <f>XLOOKUP(D2102,Products!$A$2:$A$15,Products!$B$2:$B$15,"Not found")</f>
        <v/>
      </c>
    </row>
    <row r="2103">
      <c r="A2103" t="n">
        <v>106422</v>
      </c>
      <c r="B2103" s="1" t="n">
        <v>45855</v>
      </c>
      <c r="C2103" t="inlineStr">
        <is>
          <t>S01</t>
        </is>
      </c>
      <c r="D2103" t="inlineStr">
        <is>
          <t>P303</t>
        </is>
      </c>
      <c r="E2103" t="n">
        <v>4</v>
      </c>
      <c r="F2103" t="n">
        <v>12</v>
      </c>
      <c r="G2103" t="n">
        <v>0</v>
      </c>
      <c r="H2103">
        <f>E2103*F2103*(1-G2103)</f>
        <v/>
      </c>
      <c r="I2103">
        <f>XLOOKUP(D2103,Products!$A$2:$A$15,Products!$B$2:$B$15,"Not found")</f>
        <v/>
      </c>
    </row>
    <row r="2104">
      <c r="A2104" t="n">
        <v>106423</v>
      </c>
      <c r="B2104" s="1" t="n">
        <v>45855</v>
      </c>
      <c r="C2104" t="inlineStr">
        <is>
          <t>S01</t>
        </is>
      </c>
      <c r="D2104" t="inlineStr">
        <is>
          <t>P102</t>
        </is>
      </c>
      <c r="E2104" t="n">
        <v>2</v>
      </c>
      <c r="F2104" t="n">
        <v>14.5</v>
      </c>
      <c r="G2104" t="n">
        <v>0.2</v>
      </c>
      <c r="H2104">
        <f>E2104*F2104*(1-G2104)</f>
        <v/>
      </c>
      <c r="I2104">
        <f>XLOOKUP(D2104,Products!$A$2:$A$15,Products!$B$2:$B$15,"Not found")</f>
        <v/>
      </c>
    </row>
    <row r="2105">
      <c r="A2105" t="n">
        <v>106424</v>
      </c>
      <c r="B2105" s="1" t="n">
        <v>45855</v>
      </c>
      <c r="C2105" t="inlineStr">
        <is>
          <t>S01</t>
        </is>
      </c>
      <c r="D2105" t="inlineStr">
        <is>
          <t>P204</t>
        </is>
      </c>
      <c r="E2105" t="n">
        <v>1</v>
      </c>
      <c r="F2105" t="n">
        <v>229</v>
      </c>
      <c r="G2105" t="n">
        <v>0.2</v>
      </c>
      <c r="H2105">
        <f>E2105*F2105*(1-G2105)</f>
        <v/>
      </c>
      <c r="I2105">
        <f>XLOOKUP(D2105,Products!$A$2:$A$15,Products!$B$2:$B$15,"Not found")</f>
        <v/>
      </c>
    </row>
    <row r="2106">
      <c r="A2106" t="n">
        <v>106425</v>
      </c>
      <c r="B2106" s="1" t="n">
        <v>45855</v>
      </c>
      <c r="C2106" t="inlineStr">
        <is>
          <t>S03</t>
        </is>
      </c>
      <c r="D2106" t="inlineStr">
        <is>
          <t>P203</t>
        </is>
      </c>
      <c r="E2106" t="n">
        <v>1</v>
      </c>
      <c r="F2106" t="n">
        <v>19.5</v>
      </c>
      <c r="G2106" t="n">
        <v>0</v>
      </c>
      <c r="H2106">
        <f>E2106*F2106*(1-G2106)</f>
        <v/>
      </c>
      <c r="I2106">
        <f>XLOOKUP(D2106,Products!$A$2:$A$15,Products!$B$2:$B$15,"Not found")</f>
        <v/>
      </c>
    </row>
    <row r="2107">
      <c r="A2107" t="n">
        <v>106426</v>
      </c>
      <c r="B2107" s="1" t="n">
        <v>45855</v>
      </c>
      <c r="C2107" t="inlineStr">
        <is>
          <t>S04</t>
        </is>
      </c>
      <c r="D2107" t="inlineStr">
        <is>
          <t>P102</t>
        </is>
      </c>
      <c r="E2107" t="n">
        <v>2</v>
      </c>
      <c r="F2107" t="n">
        <v>14.5</v>
      </c>
      <c r="G2107" t="n">
        <v>0</v>
      </c>
      <c r="H2107">
        <f>E2107*F2107*(1-G2107)</f>
        <v/>
      </c>
      <c r="I2107">
        <f>XLOOKUP(D2107,Products!$A$2:$A$15,Products!$B$2:$B$15,"Not found")</f>
        <v/>
      </c>
    </row>
    <row r="2108">
      <c r="A2108" t="n">
        <v>106427</v>
      </c>
      <c r="B2108" s="1" t="n">
        <v>45855</v>
      </c>
      <c r="C2108" t="inlineStr">
        <is>
          <t>S04</t>
        </is>
      </c>
      <c r="D2108" t="inlineStr">
        <is>
          <t>P102</t>
        </is>
      </c>
      <c r="E2108" t="n">
        <v>1</v>
      </c>
      <c r="F2108" t="n">
        <v>14.5</v>
      </c>
      <c r="G2108" t="n">
        <v>0</v>
      </c>
      <c r="H2108">
        <f>E2108*F2108*(1-G2108)</f>
        <v/>
      </c>
      <c r="I2108">
        <f>XLOOKUP(D2108,Products!$A$2:$A$15,Products!$B$2:$B$15,"Not found")</f>
        <v/>
      </c>
    </row>
    <row r="2109">
      <c r="A2109" t="n">
        <v>106428</v>
      </c>
      <c r="B2109" s="1" t="n">
        <v>45855</v>
      </c>
      <c r="C2109" t="inlineStr">
        <is>
          <t>S04</t>
        </is>
      </c>
      <c r="D2109" t="inlineStr">
        <is>
          <t>P303</t>
        </is>
      </c>
      <c r="E2109" t="n">
        <v>2</v>
      </c>
      <c r="F2109" t="n">
        <v>12</v>
      </c>
      <c r="G2109" t="n">
        <v>0.2</v>
      </c>
      <c r="H2109">
        <f>E2109*F2109*(1-G2109)</f>
        <v/>
      </c>
      <c r="I2109">
        <f>XLOOKUP(D2109,Products!$A$2:$A$15,Products!$B$2:$B$15,"Not found")</f>
        <v/>
      </c>
    </row>
    <row r="2110">
      <c r="A2110" t="n">
        <v>106429</v>
      </c>
      <c r="B2110" s="1" t="n">
        <v>45855</v>
      </c>
      <c r="C2110" t="inlineStr">
        <is>
          <t>S06</t>
        </is>
      </c>
      <c r="D2110" t="inlineStr">
        <is>
          <t>P203</t>
        </is>
      </c>
      <c r="E2110" t="n">
        <v>2</v>
      </c>
      <c r="F2110" t="n">
        <v>19.5</v>
      </c>
      <c r="G2110" t="n">
        <v>0</v>
      </c>
      <c r="H2110">
        <f>E2110*F2110*(1-G2110)</f>
        <v/>
      </c>
      <c r="I2110">
        <f>XLOOKUP(D2110,Products!$A$2:$A$15,Products!$B$2:$B$15,"Not found")</f>
        <v/>
      </c>
    </row>
    <row r="2111">
      <c r="A2111" t="n">
        <v>106430</v>
      </c>
      <c r="B2111" s="1" t="n">
        <v>45856</v>
      </c>
      <c r="C2111" t="inlineStr">
        <is>
          <t>S01</t>
        </is>
      </c>
      <c r="D2111" t="inlineStr">
        <is>
          <t>P301</t>
        </is>
      </c>
      <c r="E2111" t="n">
        <v>1</v>
      </c>
      <c r="F2111" t="n">
        <v>119</v>
      </c>
      <c r="G2111" t="n">
        <v>0.15</v>
      </c>
      <c r="H2111">
        <f>E2111*F2111*(1-G2111)</f>
        <v/>
      </c>
      <c r="I2111">
        <f>XLOOKUP(D2111,Products!$A$2:$A$15,Products!$B$2:$B$15,"Not found")</f>
        <v/>
      </c>
    </row>
    <row r="2112">
      <c r="A2112" t="n">
        <v>106431</v>
      </c>
      <c r="B2112" s="1" t="n">
        <v>45856</v>
      </c>
      <c r="C2112" t="inlineStr">
        <is>
          <t>S01</t>
        </is>
      </c>
      <c r="D2112" t="inlineStr">
        <is>
          <t>P102</t>
        </is>
      </c>
      <c r="E2112" t="n">
        <v>1</v>
      </c>
      <c r="F2112" t="n">
        <v>14.5</v>
      </c>
      <c r="G2112" t="n">
        <v>0.15</v>
      </c>
      <c r="H2112">
        <f>E2112*F2112*(1-G2112)</f>
        <v/>
      </c>
      <c r="I2112">
        <f>XLOOKUP(D2112,Products!$A$2:$A$15,Products!$B$2:$B$15,"Not found")</f>
        <v/>
      </c>
    </row>
    <row r="2113">
      <c r="A2113" t="n">
        <v>106432</v>
      </c>
      <c r="B2113" s="1" t="n">
        <v>45856</v>
      </c>
      <c r="C2113" t="inlineStr">
        <is>
          <t>S01</t>
        </is>
      </c>
      <c r="D2113" t="inlineStr">
        <is>
          <t>P303</t>
        </is>
      </c>
      <c r="E2113" t="n">
        <v>4</v>
      </c>
      <c r="F2113" t="n">
        <v>12</v>
      </c>
      <c r="G2113" t="n">
        <v>0</v>
      </c>
      <c r="H2113">
        <f>E2113*F2113*(1-G2113)</f>
        <v/>
      </c>
      <c r="I2113">
        <f>XLOOKUP(D2113,Products!$A$2:$A$15,Products!$B$2:$B$15,"Not found")</f>
        <v/>
      </c>
    </row>
    <row r="2114">
      <c r="A2114" t="n">
        <v>106433</v>
      </c>
      <c r="B2114" s="1" t="n">
        <v>45856</v>
      </c>
      <c r="C2114" t="inlineStr">
        <is>
          <t>S03</t>
        </is>
      </c>
      <c r="D2114" t="inlineStr">
        <is>
          <t>P203</t>
        </is>
      </c>
      <c r="E2114" t="n">
        <v>2</v>
      </c>
      <c r="F2114" t="n">
        <v>19.5</v>
      </c>
      <c r="G2114" t="n">
        <v>0</v>
      </c>
      <c r="H2114">
        <f>E2114*F2114*(1-G2114)</f>
        <v/>
      </c>
      <c r="I2114">
        <f>XLOOKUP(D2114,Products!$A$2:$A$15,Products!$B$2:$B$15,"Not found")</f>
        <v/>
      </c>
    </row>
    <row r="2115">
      <c r="A2115" t="n">
        <v>106434</v>
      </c>
      <c r="B2115" s="1" t="n">
        <v>45856</v>
      </c>
      <c r="C2115" t="inlineStr">
        <is>
          <t>S04</t>
        </is>
      </c>
      <c r="D2115" t="inlineStr">
        <is>
          <t>P103</t>
        </is>
      </c>
      <c r="E2115" t="n">
        <v>4</v>
      </c>
      <c r="F2115" t="n">
        <v>29</v>
      </c>
      <c r="G2115" t="n">
        <v>0.1</v>
      </c>
      <c r="H2115">
        <f>E2115*F2115*(1-G2115)</f>
        <v/>
      </c>
      <c r="I2115">
        <f>XLOOKUP(D2115,Products!$A$2:$A$15,Products!$B$2:$B$15,"Not found")</f>
        <v/>
      </c>
    </row>
    <row r="2116">
      <c r="A2116" t="n">
        <v>106435</v>
      </c>
      <c r="B2116" s="1" t="n">
        <v>45856</v>
      </c>
      <c r="C2116" t="inlineStr">
        <is>
          <t>S04</t>
        </is>
      </c>
      <c r="D2116" t="inlineStr">
        <is>
          <t>P202</t>
        </is>
      </c>
      <c r="E2116" t="n">
        <v>2</v>
      </c>
      <c r="F2116" t="n">
        <v>79</v>
      </c>
      <c r="G2116" t="n">
        <v>0.15</v>
      </c>
      <c r="H2116">
        <f>E2116*F2116*(1-G2116)</f>
        <v/>
      </c>
      <c r="I2116">
        <f>XLOOKUP(D2116,Products!$A$2:$A$15,Products!$B$2:$B$15,"Not found")</f>
        <v/>
      </c>
    </row>
    <row r="2117">
      <c r="A2117" t="n">
        <v>106436</v>
      </c>
      <c r="B2117" s="1" t="n">
        <v>45856</v>
      </c>
      <c r="C2117" t="inlineStr">
        <is>
          <t>S04</t>
        </is>
      </c>
      <c r="D2117" t="inlineStr">
        <is>
          <t>P201</t>
        </is>
      </c>
      <c r="E2117" t="n">
        <v>1</v>
      </c>
      <c r="F2117" t="n">
        <v>149</v>
      </c>
      <c r="G2117" t="n">
        <v>0.2</v>
      </c>
      <c r="H2117">
        <f>E2117*F2117*(1-G2117)</f>
        <v/>
      </c>
      <c r="I2117">
        <f>XLOOKUP(D2117,Products!$A$2:$A$15,Products!$B$2:$B$15,"Not found")</f>
        <v/>
      </c>
    </row>
    <row r="2118">
      <c r="A2118" t="n">
        <v>106437</v>
      </c>
      <c r="B2118" s="1" t="n">
        <v>45856</v>
      </c>
      <c r="C2118" t="inlineStr">
        <is>
          <t>S04</t>
        </is>
      </c>
      <c r="D2118" t="inlineStr">
        <is>
          <t>P302</t>
        </is>
      </c>
      <c r="E2118" t="n">
        <v>2</v>
      </c>
      <c r="F2118" t="n">
        <v>24</v>
      </c>
      <c r="G2118" t="n">
        <v>0</v>
      </c>
      <c r="H2118">
        <f>E2118*F2118*(1-G2118)</f>
        <v/>
      </c>
      <c r="I2118">
        <f>XLOOKUP(D2118,Products!$A$2:$A$15,Products!$B$2:$B$15,"Not found")</f>
        <v/>
      </c>
    </row>
    <row r="2119">
      <c r="A2119" t="n">
        <v>106438</v>
      </c>
      <c r="B2119" s="1" t="n">
        <v>45856</v>
      </c>
      <c r="C2119" t="inlineStr">
        <is>
          <t>S05</t>
        </is>
      </c>
      <c r="D2119" t="inlineStr">
        <is>
          <t>P102</t>
        </is>
      </c>
      <c r="E2119" t="n">
        <v>4</v>
      </c>
      <c r="F2119" t="n">
        <v>14.5</v>
      </c>
      <c r="G2119" t="n">
        <v>0</v>
      </c>
      <c r="H2119">
        <f>E2119*F2119*(1-G2119)</f>
        <v/>
      </c>
      <c r="I2119">
        <f>XLOOKUP(D2119,Products!$A$2:$A$15,Products!$B$2:$B$15,"Not found")</f>
        <v/>
      </c>
    </row>
    <row r="2120">
      <c r="A2120" t="n">
        <v>106439</v>
      </c>
      <c r="B2120" s="1" t="n">
        <v>45857</v>
      </c>
      <c r="C2120" t="inlineStr">
        <is>
          <t>S01</t>
        </is>
      </c>
      <c r="D2120" t="inlineStr">
        <is>
          <t>P303</t>
        </is>
      </c>
      <c r="E2120" t="n">
        <v>3</v>
      </c>
      <c r="F2120" t="n">
        <v>12</v>
      </c>
      <c r="G2120" t="n">
        <v>0</v>
      </c>
      <c r="H2120">
        <f>E2120*F2120*(1-G2120)</f>
        <v/>
      </c>
      <c r="I2120">
        <f>XLOOKUP(D2120,Products!$A$2:$A$15,Products!$B$2:$B$15,"Not found")</f>
        <v/>
      </c>
    </row>
    <row r="2121">
      <c r="A2121" t="n">
        <v>106440</v>
      </c>
      <c r="B2121" s="1" t="n">
        <v>45857</v>
      </c>
      <c r="C2121" t="inlineStr">
        <is>
          <t>S01</t>
        </is>
      </c>
      <c r="D2121" t="inlineStr">
        <is>
          <t>P303</t>
        </is>
      </c>
      <c r="E2121" t="n">
        <v>2</v>
      </c>
      <c r="F2121" t="n">
        <v>12</v>
      </c>
      <c r="G2121" t="n">
        <v>0.1</v>
      </c>
      <c r="H2121">
        <f>E2121*F2121*(1-G2121)</f>
        <v/>
      </c>
      <c r="I2121">
        <f>XLOOKUP(D2121,Products!$A$2:$A$15,Products!$B$2:$B$15,"Not found")</f>
        <v/>
      </c>
    </row>
    <row r="2122">
      <c r="A2122" t="n">
        <v>106441</v>
      </c>
      <c r="B2122" s="1" t="n">
        <v>45857</v>
      </c>
      <c r="C2122" t="inlineStr">
        <is>
          <t>S01</t>
        </is>
      </c>
      <c r="D2122" t="inlineStr">
        <is>
          <t>P101</t>
        </is>
      </c>
      <c r="E2122" t="n">
        <v>1</v>
      </c>
      <c r="F2122" t="n">
        <v>39</v>
      </c>
      <c r="G2122" t="n">
        <v>0</v>
      </c>
      <c r="H2122">
        <f>E2122*F2122*(1-G2122)</f>
        <v/>
      </c>
      <c r="I2122">
        <f>XLOOKUP(D2122,Products!$A$2:$A$15,Products!$B$2:$B$15,"Not found")</f>
        <v/>
      </c>
    </row>
    <row r="2123">
      <c r="A2123" t="n">
        <v>106442</v>
      </c>
      <c r="B2123" s="1" t="n">
        <v>45857</v>
      </c>
      <c r="C2123" t="inlineStr">
        <is>
          <t>S02</t>
        </is>
      </c>
      <c r="D2123" t="inlineStr">
        <is>
          <t>P203</t>
        </is>
      </c>
      <c r="E2123" t="n">
        <v>3</v>
      </c>
      <c r="F2123" t="n">
        <v>19.5</v>
      </c>
      <c r="G2123" t="n">
        <v>0.2</v>
      </c>
      <c r="H2123">
        <f>E2123*F2123*(1-G2123)</f>
        <v/>
      </c>
      <c r="I2123">
        <f>XLOOKUP(D2123,Products!$A$2:$A$15,Products!$B$2:$B$15,"Not found")</f>
        <v/>
      </c>
    </row>
    <row r="2124">
      <c r="A2124" t="n">
        <v>106443</v>
      </c>
      <c r="B2124" s="1" t="n">
        <v>45857</v>
      </c>
      <c r="C2124" t="inlineStr">
        <is>
          <t>S02</t>
        </is>
      </c>
      <c r="D2124" t="inlineStr">
        <is>
          <t>P203</t>
        </is>
      </c>
      <c r="E2124" t="n">
        <v>2</v>
      </c>
      <c r="F2124" t="n">
        <v>19.5</v>
      </c>
      <c r="G2124" t="n">
        <v>0.15</v>
      </c>
      <c r="H2124">
        <f>E2124*F2124*(1-G2124)</f>
        <v/>
      </c>
      <c r="I2124">
        <f>XLOOKUP(D2124,Products!$A$2:$A$15,Products!$B$2:$B$15,"Not found")</f>
        <v/>
      </c>
    </row>
    <row r="2125">
      <c r="A2125" t="n">
        <v>106444</v>
      </c>
      <c r="B2125" s="1" t="n">
        <v>45857</v>
      </c>
      <c r="C2125" t="inlineStr">
        <is>
          <t>S02</t>
        </is>
      </c>
      <c r="D2125" t="inlineStr">
        <is>
          <t>P102</t>
        </is>
      </c>
      <c r="E2125" t="n">
        <v>2</v>
      </c>
      <c r="F2125" t="n">
        <v>14.5</v>
      </c>
      <c r="G2125" t="n">
        <v>0</v>
      </c>
      <c r="H2125">
        <f>E2125*F2125*(1-G2125)</f>
        <v/>
      </c>
      <c r="I2125">
        <f>XLOOKUP(D2125,Products!$A$2:$A$15,Products!$B$2:$B$15,"Not found")</f>
        <v/>
      </c>
    </row>
    <row r="2126">
      <c r="A2126" t="n">
        <v>106445</v>
      </c>
      <c r="B2126" s="1" t="n">
        <v>45857</v>
      </c>
      <c r="C2126" t="inlineStr">
        <is>
          <t>S03</t>
        </is>
      </c>
      <c r="D2126" t="inlineStr">
        <is>
          <t>P102</t>
        </is>
      </c>
      <c r="E2126" t="n">
        <v>3</v>
      </c>
      <c r="F2126" t="n">
        <v>14.5</v>
      </c>
      <c r="G2126" t="n">
        <v>0.15</v>
      </c>
      <c r="H2126">
        <f>E2126*F2126*(1-G2126)</f>
        <v/>
      </c>
      <c r="I2126">
        <f>XLOOKUP(D2126,Products!$A$2:$A$15,Products!$B$2:$B$15,"Not found")</f>
        <v/>
      </c>
    </row>
    <row r="2127">
      <c r="A2127" t="n">
        <v>106446</v>
      </c>
      <c r="B2127" s="1" t="n">
        <v>45857</v>
      </c>
      <c r="C2127" t="inlineStr">
        <is>
          <t>S03</t>
        </is>
      </c>
      <c r="D2127" t="inlineStr">
        <is>
          <t>P103</t>
        </is>
      </c>
      <c r="E2127" t="n">
        <v>1</v>
      </c>
      <c r="F2127" t="n">
        <v>29</v>
      </c>
      <c r="G2127" t="n">
        <v>0</v>
      </c>
      <c r="H2127">
        <f>E2127*F2127*(1-G2127)</f>
        <v/>
      </c>
      <c r="I2127">
        <f>XLOOKUP(D2127,Products!$A$2:$A$15,Products!$B$2:$B$15,"Not found")</f>
        <v/>
      </c>
    </row>
    <row r="2128">
      <c r="A2128" t="n">
        <v>106447</v>
      </c>
      <c r="B2128" s="1" t="n">
        <v>45857</v>
      </c>
      <c r="C2128" t="inlineStr">
        <is>
          <t>S04</t>
        </is>
      </c>
      <c r="D2128" t="inlineStr">
        <is>
          <t>P303</t>
        </is>
      </c>
      <c r="E2128" t="n">
        <v>2</v>
      </c>
      <c r="F2128" t="n">
        <v>12</v>
      </c>
      <c r="G2128" t="n">
        <v>0.15</v>
      </c>
      <c r="H2128">
        <f>E2128*F2128*(1-G2128)</f>
        <v/>
      </c>
      <c r="I2128">
        <f>XLOOKUP(D2128,Products!$A$2:$A$15,Products!$B$2:$B$15,"Not found")</f>
        <v/>
      </c>
    </row>
    <row r="2129">
      <c r="A2129" t="n">
        <v>106448</v>
      </c>
      <c r="B2129" s="1" t="n">
        <v>45857</v>
      </c>
      <c r="C2129" t="inlineStr">
        <is>
          <t>S05</t>
        </is>
      </c>
      <c r="D2129" t="inlineStr">
        <is>
          <t>P203</t>
        </is>
      </c>
      <c r="E2129" t="n">
        <v>4</v>
      </c>
      <c r="F2129" t="n">
        <v>19.5</v>
      </c>
      <c r="G2129" t="n">
        <v>0.2</v>
      </c>
      <c r="H2129">
        <f>E2129*F2129*(1-G2129)</f>
        <v/>
      </c>
      <c r="I2129">
        <f>XLOOKUP(D2129,Products!$A$2:$A$15,Products!$B$2:$B$15,"Not found")</f>
        <v/>
      </c>
    </row>
    <row r="2130">
      <c r="A2130" t="n">
        <v>106449</v>
      </c>
      <c r="B2130" s="1" t="n">
        <v>45857</v>
      </c>
      <c r="C2130" t="inlineStr">
        <is>
          <t>S05</t>
        </is>
      </c>
      <c r="D2130" t="inlineStr">
        <is>
          <t>P301</t>
        </is>
      </c>
      <c r="E2130" t="n">
        <v>1</v>
      </c>
      <c r="F2130" t="n">
        <v>119</v>
      </c>
      <c r="G2130" t="n">
        <v>0.1</v>
      </c>
      <c r="H2130">
        <f>E2130*F2130*(1-G2130)</f>
        <v/>
      </c>
      <c r="I2130">
        <f>XLOOKUP(D2130,Products!$A$2:$A$15,Products!$B$2:$B$15,"Not found")</f>
        <v/>
      </c>
    </row>
    <row r="2131">
      <c r="A2131" t="n">
        <v>106450</v>
      </c>
      <c r="B2131" s="1" t="n">
        <v>45857</v>
      </c>
      <c r="C2131" t="inlineStr">
        <is>
          <t>S05</t>
        </is>
      </c>
      <c r="D2131" t="inlineStr">
        <is>
          <t>P101</t>
        </is>
      </c>
      <c r="E2131" t="n">
        <v>1</v>
      </c>
      <c r="F2131" t="n">
        <v>39</v>
      </c>
      <c r="G2131" t="n">
        <v>0</v>
      </c>
      <c r="H2131">
        <f>E2131*F2131*(1-G2131)</f>
        <v/>
      </c>
      <c r="I2131">
        <f>XLOOKUP(D2131,Products!$A$2:$A$15,Products!$B$2:$B$15,"Not found")</f>
        <v/>
      </c>
    </row>
    <row r="2132">
      <c r="A2132" t="n">
        <v>106451</v>
      </c>
      <c r="B2132" s="1" t="n">
        <v>45857</v>
      </c>
      <c r="C2132" t="inlineStr">
        <is>
          <t>S05</t>
        </is>
      </c>
      <c r="D2132" t="inlineStr">
        <is>
          <t>P101</t>
        </is>
      </c>
      <c r="E2132" t="n">
        <v>2</v>
      </c>
      <c r="F2132" t="n">
        <v>39</v>
      </c>
      <c r="G2132" t="n">
        <v>0</v>
      </c>
      <c r="H2132">
        <f>E2132*F2132*(1-G2132)</f>
        <v/>
      </c>
      <c r="I2132">
        <f>XLOOKUP(D2132,Products!$A$2:$A$15,Products!$B$2:$B$15,"Not found")</f>
        <v/>
      </c>
    </row>
    <row r="2133">
      <c r="A2133" t="n">
        <v>106452</v>
      </c>
      <c r="B2133" s="1" t="n">
        <v>45858</v>
      </c>
      <c r="C2133" t="inlineStr">
        <is>
          <t>S01</t>
        </is>
      </c>
      <c r="D2133" t="inlineStr">
        <is>
          <t>P303</t>
        </is>
      </c>
      <c r="E2133" t="n">
        <v>1</v>
      </c>
      <c r="F2133" t="n">
        <v>12</v>
      </c>
      <c r="G2133" t="n">
        <v>0.1</v>
      </c>
      <c r="H2133">
        <f>E2133*F2133*(1-G2133)</f>
        <v/>
      </c>
      <c r="I2133">
        <f>XLOOKUP(D2133,Products!$A$2:$A$15,Products!$B$2:$B$15,"Not found")</f>
        <v/>
      </c>
    </row>
    <row r="2134">
      <c r="A2134" t="n">
        <v>106453</v>
      </c>
      <c r="B2134" s="1" t="n">
        <v>45858</v>
      </c>
      <c r="C2134" t="inlineStr">
        <is>
          <t>S02</t>
        </is>
      </c>
      <c r="D2134" t="inlineStr">
        <is>
          <t>P302</t>
        </is>
      </c>
      <c r="E2134" t="n">
        <v>1</v>
      </c>
      <c r="F2134" t="n">
        <v>24</v>
      </c>
      <c r="G2134" t="n">
        <v>0.15</v>
      </c>
      <c r="H2134">
        <f>E2134*F2134*(1-G2134)</f>
        <v/>
      </c>
      <c r="I2134">
        <f>XLOOKUP(D2134,Products!$A$2:$A$15,Products!$B$2:$B$15,"Not found")</f>
        <v/>
      </c>
    </row>
    <row r="2135">
      <c r="A2135" t="n">
        <v>106454</v>
      </c>
      <c r="B2135" s="1" t="n">
        <v>45858</v>
      </c>
      <c r="C2135" t="inlineStr">
        <is>
          <t>S03</t>
        </is>
      </c>
      <c r="D2135" t="inlineStr">
        <is>
          <t>P102</t>
        </is>
      </c>
      <c r="E2135" t="n">
        <v>2</v>
      </c>
      <c r="F2135" t="n">
        <v>14.5</v>
      </c>
      <c r="G2135" t="n">
        <v>0.15</v>
      </c>
      <c r="H2135">
        <f>E2135*F2135*(1-G2135)</f>
        <v/>
      </c>
      <c r="I2135">
        <f>XLOOKUP(D2135,Products!$A$2:$A$15,Products!$B$2:$B$15,"Not found")</f>
        <v/>
      </c>
    </row>
    <row r="2136">
      <c r="A2136" t="n">
        <v>106455</v>
      </c>
      <c r="B2136" s="1" t="n">
        <v>45858</v>
      </c>
      <c r="C2136" t="inlineStr">
        <is>
          <t>S03</t>
        </is>
      </c>
      <c r="D2136" t="inlineStr">
        <is>
          <t>P102</t>
        </is>
      </c>
      <c r="E2136" t="n">
        <v>2</v>
      </c>
      <c r="F2136" t="n">
        <v>14.5</v>
      </c>
      <c r="G2136" t="n">
        <v>0.1</v>
      </c>
      <c r="H2136">
        <f>E2136*F2136*(1-G2136)</f>
        <v/>
      </c>
      <c r="I2136">
        <f>XLOOKUP(D2136,Products!$A$2:$A$15,Products!$B$2:$B$15,"Not found")</f>
        <v/>
      </c>
    </row>
    <row r="2137">
      <c r="A2137" t="n">
        <v>106456</v>
      </c>
      <c r="B2137" s="1" t="n">
        <v>45858</v>
      </c>
      <c r="C2137" t="inlineStr">
        <is>
          <t>S03</t>
        </is>
      </c>
      <c r="D2137" t="inlineStr">
        <is>
          <t>P203</t>
        </is>
      </c>
      <c r="E2137" t="n">
        <v>2</v>
      </c>
      <c r="F2137" t="n">
        <v>19.5</v>
      </c>
      <c r="G2137" t="n">
        <v>0.15</v>
      </c>
      <c r="H2137">
        <f>E2137*F2137*(1-G2137)</f>
        <v/>
      </c>
      <c r="I2137">
        <f>XLOOKUP(D2137,Products!$A$2:$A$15,Products!$B$2:$B$15,"Not found")</f>
        <v/>
      </c>
    </row>
    <row r="2138">
      <c r="A2138" t="n">
        <v>106457</v>
      </c>
      <c r="B2138" s="1" t="n">
        <v>45858</v>
      </c>
      <c r="C2138" t="inlineStr">
        <is>
          <t>S04</t>
        </is>
      </c>
      <c r="D2138" t="inlineStr">
        <is>
          <t>P303</t>
        </is>
      </c>
      <c r="E2138" t="n">
        <v>1</v>
      </c>
      <c r="F2138" t="n">
        <v>12</v>
      </c>
      <c r="G2138" t="n">
        <v>0</v>
      </c>
      <c r="H2138">
        <f>E2138*F2138*(1-G2138)</f>
        <v/>
      </c>
      <c r="I2138">
        <f>XLOOKUP(D2138,Products!$A$2:$A$15,Products!$B$2:$B$15,"Not found")</f>
        <v/>
      </c>
    </row>
    <row r="2139">
      <c r="A2139" t="n">
        <v>106458</v>
      </c>
      <c r="B2139" s="1" t="n">
        <v>45858</v>
      </c>
      <c r="C2139" t="inlineStr">
        <is>
          <t>S04</t>
        </is>
      </c>
      <c r="D2139" t="inlineStr">
        <is>
          <t>P103</t>
        </is>
      </c>
      <c r="E2139" t="n">
        <v>2</v>
      </c>
      <c r="F2139" t="n">
        <v>29</v>
      </c>
      <c r="G2139" t="n">
        <v>0.2</v>
      </c>
      <c r="H2139">
        <f>E2139*F2139*(1-G2139)</f>
        <v/>
      </c>
      <c r="I2139">
        <f>XLOOKUP(D2139,Products!$A$2:$A$15,Products!$B$2:$B$15,"Not found")</f>
        <v/>
      </c>
    </row>
    <row r="2140">
      <c r="A2140" t="n">
        <v>106459</v>
      </c>
      <c r="B2140" s="1" t="n">
        <v>45858</v>
      </c>
      <c r="C2140" t="inlineStr">
        <is>
          <t>S05</t>
        </is>
      </c>
      <c r="D2140" t="inlineStr">
        <is>
          <t>P102</t>
        </is>
      </c>
      <c r="E2140" t="n">
        <v>1</v>
      </c>
      <c r="F2140" t="n">
        <v>14.5</v>
      </c>
      <c r="G2140" t="n">
        <v>0</v>
      </c>
      <c r="H2140">
        <f>E2140*F2140*(1-G2140)</f>
        <v/>
      </c>
      <c r="I2140">
        <f>XLOOKUP(D2140,Products!$A$2:$A$15,Products!$B$2:$B$15,"Not found")</f>
        <v/>
      </c>
    </row>
    <row r="2141">
      <c r="A2141" t="n">
        <v>106460</v>
      </c>
      <c r="B2141" s="1" t="n">
        <v>45858</v>
      </c>
      <c r="C2141" t="inlineStr">
        <is>
          <t>S05</t>
        </is>
      </c>
      <c r="D2141" t="inlineStr">
        <is>
          <t>P302</t>
        </is>
      </c>
      <c r="E2141" t="n">
        <v>4</v>
      </c>
      <c r="F2141" t="n">
        <v>24</v>
      </c>
      <c r="G2141" t="n">
        <v>0</v>
      </c>
      <c r="H2141">
        <f>E2141*F2141*(1-G2141)</f>
        <v/>
      </c>
      <c r="I2141">
        <f>XLOOKUP(D2141,Products!$A$2:$A$15,Products!$B$2:$B$15,"Not found")</f>
        <v/>
      </c>
    </row>
    <row r="2142">
      <c r="A2142" t="n">
        <v>106461</v>
      </c>
      <c r="B2142" s="1" t="n">
        <v>45858</v>
      </c>
      <c r="C2142" t="inlineStr">
        <is>
          <t>S05</t>
        </is>
      </c>
      <c r="D2142" t="inlineStr">
        <is>
          <t>P102</t>
        </is>
      </c>
      <c r="E2142" t="n">
        <v>1</v>
      </c>
      <c r="F2142" t="n">
        <v>14.5</v>
      </c>
      <c r="G2142" t="n">
        <v>0</v>
      </c>
      <c r="H2142">
        <f>E2142*F2142*(1-G2142)</f>
        <v/>
      </c>
      <c r="I2142">
        <f>XLOOKUP(D2142,Products!$A$2:$A$15,Products!$B$2:$B$15,"Not found")</f>
        <v/>
      </c>
    </row>
    <row r="2143">
      <c r="A2143" t="n">
        <v>106462</v>
      </c>
      <c r="B2143" s="1" t="n">
        <v>45858</v>
      </c>
      <c r="C2143" t="inlineStr">
        <is>
          <t>S05</t>
        </is>
      </c>
      <c r="D2143" t="inlineStr">
        <is>
          <t>P303</t>
        </is>
      </c>
      <c r="E2143" t="n">
        <v>1</v>
      </c>
      <c r="F2143" t="n">
        <v>12</v>
      </c>
      <c r="G2143" t="n">
        <v>0.15</v>
      </c>
      <c r="H2143">
        <f>E2143*F2143*(1-G2143)</f>
        <v/>
      </c>
      <c r="I2143">
        <f>XLOOKUP(D2143,Products!$A$2:$A$15,Products!$B$2:$B$15,"Not found")</f>
        <v/>
      </c>
    </row>
    <row r="2144">
      <c r="A2144" t="n">
        <v>106463</v>
      </c>
      <c r="B2144" s="1" t="n">
        <v>45858</v>
      </c>
      <c r="C2144" t="inlineStr">
        <is>
          <t>S06</t>
        </is>
      </c>
      <c r="D2144" t="inlineStr">
        <is>
          <t>P103</t>
        </is>
      </c>
      <c r="E2144" t="n">
        <v>2</v>
      </c>
      <c r="F2144" t="n">
        <v>29</v>
      </c>
      <c r="G2144" t="n">
        <v>0</v>
      </c>
      <c r="H2144">
        <f>E2144*F2144*(1-G2144)</f>
        <v/>
      </c>
      <c r="I2144">
        <f>XLOOKUP(D2144,Products!$A$2:$A$15,Products!$B$2:$B$15,"Not found")</f>
        <v/>
      </c>
    </row>
    <row r="2145">
      <c r="A2145" t="n">
        <v>106464</v>
      </c>
      <c r="B2145" s="1" t="n">
        <v>45858</v>
      </c>
      <c r="C2145" t="inlineStr">
        <is>
          <t>S06</t>
        </is>
      </c>
      <c r="D2145" t="inlineStr">
        <is>
          <t>P401</t>
        </is>
      </c>
      <c r="E2145" t="n">
        <v>1</v>
      </c>
      <c r="F2145" t="n">
        <v>549</v>
      </c>
      <c r="G2145" t="n">
        <v>0.2</v>
      </c>
      <c r="H2145">
        <f>E2145*F2145*(1-G2145)</f>
        <v/>
      </c>
      <c r="I2145">
        <f>XLOOKUP(D2145,Products!$A$2:$A$15,Products!$B$2:$B$15,"Not found")</f>
        <v/>
      </c>
    </row>
    <row r="2146">
      <c r="A2146" t="n">
        <v>106465</v>
      </c>
      <c r="B2146" s="1" t="n">
        <v>45859</v>
      </c>
      <c r="C2146" t="inlineStr">
        <is>
          <t>S01</t>
        </is>
      </c>
      <c r="D2146" t="inlineStr">
        <is>
          <t>P101</t>
        </is>
      </c>
      <c r="E2146" t="n">
        <v>2</v>
      </c>
      <c r="F2146" t="n">
        <v>39</v>
      </c>
      <c r="G2146" t="n">
        <v>0</v>
      </c>
      <c r="H2146">
        <f>E2146*F2146*(1-G2146)</f>
        <v/>
      </c>
      <c r="I2146">
        <f>XLOOKUP(D2146,Products!$A$2:$A$15,Products!$B$2:$B$15,"Not found")</f>
        <v/>
      </c>
    </row>
    <row r="2147">
      <c r="A2147" t="n">
        <v>106466</v>
      </c>
      <c r="B2147" s="1" t="n">
        <v>45859</v>
      </c>
      <c r="C2147" t="inlineStr">
        <is>
          <t>S01</t>
        </is>
      </c>
      <c r="D2147" t="inlineStr">
        <is>
          <t>P303</t>
        </is>
      </c>
      <c r="E2147" t="n">
        <v>4</v>
      </c>
      <c r="F2147" t="n">
        <v>12</v>
      </c>
      <c r="G2147" t="n">
        <v>0.15</v>
      </c>
      <c r="H2147">
        <f>E2147*F2147*(1-G2147)</f>
        <v/>
      </c>
      <c r="I2147">
        <f>XLOOKUP(D2147,Products!$A$2:$A$15,Products!$B$2:$B$15,"Not found")</f>
        <v/>
      </c>
    </row>
    <row r="2148">
      <c r="A2148" t="n">
        <v>106467</v>
      </c>
      <c r="B2148" s="1" t="n">
        <v>45859</v>
      </c>
      <c r="C2148" t="inlineStr">
        <is>
          <t>S01</t>
        </is>
      </c>
      <c r="D2148" t="inlineStr">
        <is>
          <t>P103</t>
        </is>
      </c>
      <c r="E2148" t="n">
        <v>3</v>
      </c>
      <c r="F2148" t="n">
        <v>29</v>
      </c>
      <c r="G2148" t="n">
        <v>0</v>
      </c>
      <c r="H2148">
        <f>E2148*F2148*(1-G2148)</f>
        <v/>
      </c>
      <c r="I2148">
        <f>XLOOKUP(D2148,Products!$A$2:$A$15,Products!$B$2:$B$15,"Not found")</f>
        <v/>
      </c>
    </row>
    <row r="2149">
      <c r="A2149" t="n">
        <v>106468</v>
      </c>
      <c r="B2149" s="1" t="n">
        <v>45859</v>
      </c>
      <c r="C2149" t="inlineStr">
        <is>
          <t>S02</t>
        </is>
      </c>
      <c r="D2149" t="inlineStr">
        <is>
          <t>P301</t>
        </is>
      </c>
      <c r="E2149" t="n">
        <v>1</v>
      </c>
      <c r="F2149" t="n">
        <v>119</v>
      </c>
      <c r="G2149" t="n">
        <v>0.15</v>
      </c>
      <c r="H2149">
        <f>E2149*F2149*(1-G2149)</f>
        <v/>
      </c>
      <c r="I2149">
        <f>XLOOKUP(D2149,Products!$A$2:$A$15,Products!$B$2:$B$15,"Not found")</f>
        <v/>
      </c>
    </row>
    <row r="2150">
      <c r="A2150" t="n">
        <v>106469</v>
      </c>
      <c r="B2150" s="1" t="n">
        <v>45859</v>
      </c>
      <c r="C2150" t="inlineStr">
        <is>
          <t>S02</t>
        </is>
      </c>
      <c r="D2150" t="inlineStr">
        <is>
          <t>P102</t>
        </is>
      </c>
      <c r="E2150" t="n">
        <v>2</v>
      </c>
      <c r="F2150" t="n">
        <v>14.5</v>
      </c>
      <c r="G2150" t="n">
        <v>0</v>
      </c>
      <c r="H2150">
        <f>E2150*F2150*(1-G2150)</f>
        <v/>
      </c>
      <c r="I2150">
        <f>XLOOKUP(D2150,Products!$A$2:$A$15,Products!$B$2:$B$15,"Not found")</f>
        <v/>
      </c>
    </row>
    <row r="2151">
      <c r="A2151" t="n">
        <v>106470</v>
      </c>
      <c r="B2151" s="1" t="n">
        <v>45859</v>
      </c>
      <c r="C2151" t="inlineStr">
        <is>
          <t>S04</t>
        </is>
      </c>
      <c r="D2151" t="inlineStr">
        <is>
          <t>P303</t>
        </is>
      </c>
      <c r="E2151" t="n">
        <v>4</v>
      </c>
      <c r="F2151" t="n">
        <v>12</v>
      </c>
      <c r="G2151" t="n">
        <v>0.15</v>
      </c>
      <c r="H2151">
        <f>E2151*F2151*(1-G2151)</f>
        <v/>
      </c>
      <c r="I2151">
        <f>XLOOKUP(D2151,Products!$A$2:$A$15,Products!$B$2:$B$15,"Not found")</f>
        <v/>
      </c>
    </row>
    <row r="2152">
      <c r="A2152" t="n">
        <v>106471</v>
      </c>
      <c r="B2152" s="1" t="n">
        <v>45859</v>
      </c>
      <c r="C2152" t="inlineStr">
        <is>
          <t>S04</t>
        </is>
      </c>
      <c r="D2152" t="inlineStr">
        <is>
          <t>P101</t>
        </is>
      </c>
      <c r="E2152" t="n">
        <v>1</v>
      </c>
      <c r="F2152" t="n">
        <v>39</v>
      </c>
      <c r="G2152" t="n">
        <v>0.2</v>
      </c>
      <c r="H2152">
        <f>E2152*F2152*(1-G2152)</f>
        <v/>
      </c>
      <c r="I2152">
        <f>XLOOKUP(D2152,Products!$A$2:$A$15,Products!$B$2:$B$15,"Not found")</f>
        <v/>
      </c>
    </row>
    <row r="2153">
      <c r="A2153" t="n">
        <v>106472</v>
      </c>
      <c r="B2153" s="1" t="n">
        <v>45859</v>
      </c>
      <c r="C2153" t="inlineStr">
        <is>
          <t>S04</t>
        </is>
      </c>
      <c r="D2153" t="inlineStr">
        <is>
          <t>P303</t>
        </is>
      </c>
      <c r="E2153" t="n">
        <v>1</v>
      </c>
      <c r="F2153" t="n">
        <v>12</v>
      </c>
      <c r="G2153" t="n">
        <v>0.1</v>
      </c>
      <c r="H2153">
        <f>E2153*F2153*(1-G2153)</f>
        <v/>
      </c>
      <c r="I2153">
        <f>XLOOKUP(D2153,Products!$A$2:$A$15,Products!$B$2:$B$15,"Not found")</f>
        <v/>
      </c>
    </row>
    <row r="2154">
      <c r="A2154" t="n">
        <v>106473</v>
      </c>
      <c r="B2154" s="1" t="n">
        <v>45859</v>
      </c>
      <c r="C2154" t="inlineStr">
        <is>
          <t>S04</t>
        </is>
      </c>
      <c r="D2154" t="inlineStr">
        <is>
          <t>P403</t>
        </is>
      </c>
      <c r="E2154" t="n">
        <v>1</v>
      </c>
      <c r="F2154" t="n">
        <v>89</v>
      </c>
      <c r="G2154" t="n">
        <v>0.2</v>
      </c>
      <c r="H2154">
        <f>E2154*F2154*(1-G2154)</f>
        <v/>
      </c>
      <c r="I2154">
        <f>XLOOKUP(D2154,Products!$A$2:$A$15,Products!$B$2:$B$15,"Not found")</f>
        <v/>
      </c>
    </row>
    <row r="2155">
      <c r="A2155" t="n">
        <v>106474</v>
      </c>
      <c r="B2155" s="1" t="n">
        <v>45859</v>
      </c>
      <c r="C2155" t="inlineStr">
        <is>
          <t>S05</t>
        </is>
      </c>
      <c r="D2155" t="inlineStr">
        <is>
          <t>P201</t>
        </is>
      </c>
      <c r="E2155" t="n">
        <v>1</v>
      </c>
      <c r="F2155" t="n">
        <v>149</v>
      </c>
      <c r="G2155" t="n">
        <v>0</v>
      </c>
      <c r="H2155">
        <f>E2155*F2155*(1-G2155)</f>
        <v/>
      </c>
      <c r="I2155">
        <f>XLOOKUP(D2155,Products!$A$2:$A$15,Products!$B$2:$B$15,"Not found")</f>
        <v/>
      </c>
    </row>
    <row r="2156">
      <c r="A2156" t="n">
        <v>106475</v>
      </c>
      <c r="B2156" s="1" t="n">
        <v>45859</v>
      </c>
      <c r="C2156" t="inlineStr">
        <is>
          <t>S05</t>
        </is>
      </c>
      <c r="D2156" t="inlineStr">
        <is>
          <t>P101</t>
        </is>
      </c>
      <c r="E2156" t="n">
        <v>4</v>
      </c>
      <c r="F2156" t="n">
        <v>39</v>
      </c>
      <c r="G2156" t="n">
        <v>0</v>
      </c>
      <c r="H2156">
        <f>E2156*F2156*(1-G2156)</f>
        <v/>
      </c>
      <c r="I2156">
        <f>XLOOKUP(D2156,Products!$A$2:$A$15,Products!$B$2:$B$15,"Not found")</f>
        <v/>
      </c>
    </row>
    <row r="2157">
      <c r="A2157" t="n">
        <v>106476</v>
      </c>
      <c r="B2157" s="1" t="n">
        <v>45860</v>
      </c>
      <c r="C2157" t="inlineStr">
        <is>
          <t>S01</t>
        </is>
      </c>
      <c r="D2157" t="inlineStr">
        <is>
          <t>P201</t>
        </is>
      </c>
      <c r="E2157" t="n">
        <v>1</v>
      </c>
      <c r="F2157" t="n">
        <v>149</v>
      </c>
      <c r="G2157" t="n">
        <v>0</v>
      </c>
      <c r="H2157">
        <f>E2157*F2157*(1-G2157)</f>
        <v/>
      </c>
      <c r="I2157">
        <f>XLOOKUP(D2157,Products!$A$2:$A$15,Products!$B$2:$B$15,"Not found")</f>
        <v/>
      </c>
    </row>
    <row r="2158">
      <c r="A2158" t="n">
        <v>106477</v>
      </c>
      <c r="B2158" s="1" t="n">
        <v>45860</v>
      </c>
      <c r="C2158" t="inlineStr">
        <is>
          <t>S01</t>
        </is>
      </c>
      <c r="D2158" t="inlineStr">
        <is>
          <t>P101</t>
        </is>
      </c>
      <c r="E2158" t="n">
        <v>2</v>
      </c>
      <c r="F2158" t="n">
        <v>39</v>
      </c>
      <c r="G2158" t="n">
        <v>0.1</v>
      </c>
      <c r="H2158">
        <f>E2158*F2158*(1-G2158)</f>
        <v/>
      </c>
      <c r="I2158">
        <f>XLOOKUP(D2158,Products!$A$2:$A$15,Products!$B$2:$B$15,"Not found")</f>
        <v/>
      </c>
    </row>
    <row r="2159">
      <c r="A2159" t="n">
        <v>106478</v>
      </c>
      <c r="B2159" s="1" t="n">
        <v>45860</v>
      </c>
      <c r="C2159" t="inlineStr">
        <is>
          <t>S02</t>
        </is>
      </c>
      <c r="D2159" t="inlineStr">
        <is>
          <t>P102</t>
        </is>
      </c>
      <c r="E2159" t="n">
        <v>1</v>
      </c>
      <c r="F2159" t="n">
        <v>14.5</v>
      </c>
      <c r="G2159" t="n">
        <v>0</v>
      </c>
      <c r="H2159">
        <f>E2159*F2159*(1-G2159)</f>
        <v/>
      </c>
      <c r="I2159">
        <f>XLOOKUP(D2159,Products!$A$2:$A$15,Products!$B$2:$B$15,"Not found")</f>
        <v/>
      </c>
    </row>
    <row r="2160">
      <c r="A2160" t="n">
        <v>106479</v>
      </c>
      <c r="B2160" s="1" t="n">
        <v>45860</v>
      </c>
      <c r="C2160" t="inlineStr">
        <is>
          <t>S02</t>
        </is>
      </c>
      <c r="D2160" t="inlineStr">
        <is>
          <t>P103</t>
        </is>
      </c>
      <c r="E2160" t="n">
        <v>2</v>
      </c>
      <c r="F2160" t="n">
        <v>29</v>
      </c>
      <c r="G2160" t="n">
        <v>0.2</v>
      </c>
      <c r="H2160">
        <f>E2160*F2160*(1-G2160)</f>
        <v/>
      </c>
      <c r="I2160">
        <f>XLOOKUP(D2160,Products!$A$2:$A$15,Products!$B$2:$B$15,"Not found")</f>
        <v/>
      </c>
    </row>
    <row r="2161">
      <c r="A2161" t="n">
        <v>106480</v>
      </c>
      <c r="B2161" s="1" t="n">
        <v>45860</v>
      </c>
      <c r="C2161" t="inlineStr">
        <is>
          <t>S04</t>
        </is>
      </c>
      <c r="D2161" t="inlineStr">
        <is>
          <t>P303</t>
        </is>
      </c>
      <c r="E2161" t="n">
        <v>2</v>
      </c>
      <c r="F2161" t="n">
        <v>12</v>
      </c>
      <c r="G2161" t="n">
        <v>0.1</v>
      </c>
      <c r="H2161">
        <f>E2161*F2161*(1-G2161)</f>
        <v/>
      </c>
      <c r="I2161">
        <f>XLOOKUP(D2161,Products!$A$2:$A$15,Products!$B$2:$B$15,"Not found")</f>
        <v/>
      </c>
    </row>
    <row r="2162">
      <c r="A2162" t="n">
        <v>106481</v>
      </c>
      <c r="B2162" s="1" t="n">
        <v>45860</v>
      </c>
      <c r="C2162" t="inlineStr">
        <is>
          <t>S04</t>
        </is>
      </c>
      <c r="D2162" t="inlineStr">
        <is>
          <t>P203</t>
        </is>
      </c>
      <c r="E2162" t="n">
        <v>1</v>
      </c>
      <c r="F2162" t="n">
        <v>19.5</v>
      </c>
      <c r="G2162" t="n">
        <v>0</v>
      </c>
      <c r="H2162">
        <f>E2162*F2162*(1-G2162)</f>
        <v/>
      </c>
      <c r="I2162">
        <f>XLOOKUP(D2162,Products!$A$2:$A$15,Products!$B$2:$B$15,"Not found")</f>
        <v/>
      </c>
    </row>
    <row r="2163">
      <c r="A2163" t="n">
        <v>106482</v>
      </c>
      <c r="B2163" s="1" t="n">
        <v>45860</v>
      </c>
      <c r="C2163" t="inlineStr">
        <is>
          <t>S05</t>
        </is>
      </c>
      <c r="D2163" t="inlineStr">
        <is>
          <t>P202</t>
        </is>
      </c>
      <c r="E2163" t="n">
        <v>4</v>
      </c>
      <c r="F2163" t="n">
        <v>79</v>
      </c>
      <c r="G2163" t="n">
        <v>0</v>
      </c>
      <c r="H2163">
        <f>E2163*F2163*(1-G2163)</f>
        <v/>
      </c>
      <c r="I2163">
        <f>XLOOKUP(D2163,Products!$A$2:$A$15,Products!$B$2:$B$15,"Not found")</f>
        <v/>
      </c>
    </row>
    <row r="2164">
      <c r="A2164" t="n">
        <v>106483</v>
      </c>
      <c r="B2164" s="1" t="n">
        <v>45861</v>
      </c>
      <c r="C2164" t="inlineStr">
        <is>
          <t>S01</t>
        </is>
      </c>
      <c r="D2164" t="inlineStr">
        <is>
          <t>P201</t>
        </is>
      </c>
      <c r="E2164" t="n">
        <v>1</v>
      </c>
      <c r="F2164" t="n">
        <v>149</v>
      </c>
      <c r="G2164" t="n">
        <v>0.2</v>
      </c>
      <c r="H2164">
        <f>E2164*F2164*(1-G2164)</f>
        <v/>
      </c>
      <c r="I2164">
        <f>XLOOKUP(D2164,Products!$A$2:$A$15,Products!$B$2:$B$15,"Not found")</f>
        <v/>
      </c>
    </row>
    <row r="2165">
      <c r="A2165" t="n">
        <v>106484</v>
      </c>
      <c r="B2165" s="1" t="n">
        <v>45861</v>
      </c>
      <c r="C2165" t="inlineStr">
        <is>
          <t>S01</t>
        </is>
      </c>
      <c r="D2165" t="inlineStr">
        <is>
          <t>P101</t>
        </is>
      </c>
      <c r="E2165" t="n">
        <v>3</v>
      </c>
      <c r="F2165" t="n">
        <v>39</v>
      </c>
      <c r="G2165" t="n">
        <v>0.1</v>
      </c>
      <c r="H2165">
        <f>E2165*F2165*(1-G2165)</f>
        <v/>
      </c>
      <c r="I2165">
        <f>XLOOKUP(D2165,Products!$A$2:$A$15,Products!$B$2:$B$15,"Not found")</f>
        <v/>
      </c>
    </row>
    <row r="2166">
      <c r="A2166" t="n">
        <v>106485</v>
      </c>
      <c r="B2166" s="1" t="n">
        <v>45861</v>
      </c>
      <c r="C2166" t="inlineStr">
        <is>
          <t>S02</t>
        </is>
      </c>
      <c r="D2166" t="inlineStr">
        <is>
          <t>P403</t>
        </is>
      </c>
      <c r="E2166" t="n">
        <v>4</v>
      </c>
      <c r="F2166" t="n">
        <v>89</v>
      </c>
      <c r="G2166" t="n">
        <v>0.2</v>
      </c>
      <c r="H2166">
        <f>E2166*F2166*(1-G2166)</f>
        <v/>
      </c>
      <c r="I2166">
        <f>XLOOKUP(D2166,Products!$A$2:$A$15,Products!$B$2:$B$15,"Not found")</f>
        <v/>
      </c>
    </row>
    <row r="2167">
      <c r="A2167" t="n">
        <v>106486</v>
      </c>
      <c r="B2167" s="1" t="n">
        <v>45861</v>
      </c>
      <c r="C2167" t="inlineStr">
        <is>
          <t>S02</t>
        </is>
      </c>
      <c r="D2167" t="inlineStr">
        <is>
          <t>P203</t>
        </is>
      </c>
      <c r="E2167" t="n">
        <v>2</v>
      </c>
      <c r="F2167" t="n">
        <v>19.5</v>
      </c>
      <c r="G2167" t="n">
        <v>0.15</v>
      </c>
      <c r="H2167">
        <f>E2167*F2167*(1-G2167)</f>
        <v/>
      </c>
      <c r="I2167">
        <f>XLOOKUP(D2167,Products!$A$2:$A$15,Products!$B$2:$B$15,"Not found")</f>
        <v/>
      </c>
    </row>
    <row r="2168">
      <c r="A2168" t="n">
        <v>106487</v>
      </c>
      <c r="B2168" s="1" t="n">
        <v>45861</v>
      </c>
      <c r="C2168" t="inlineStr">
        <is>
          <t>S02</t>
        </is>
      </c>
      <c r="D2168" t="inlineStr">
        <is>
          <t>P303</t>
        </is>
      </c>
      <c r="E2168" t="n">
        <v>1</v>
      </c>
      <c r="F2168" t="n">
        <v>12</v>
      </c>
      <c r="G2168" t="n">
        <v>0</v>
      </c>
      <c r="H2168">
        <f>E2168*F2168*(1-G2168)</f>
        <v/>
      </c>
      <c r="I2168">
        <f>XLOOKUP(D2168,Products!$A$2:$A$15,Products!$B$2:$B$15,"Not found")</f>
        <v/>
      </c>
    </row>
    <row r="2169">
      <c r="A2169" t="n">
        <v>106488</v>
      </c>
      <c r="B2169" s="1" t="n">
        <v>45861</v>
      </c>
      <c r="C2169" t="inlineStr">
        <is>
          <t>S03</t>
        </is>
      </c>
      <c r="D2169" t="inlineStr">
        <is>
          <t>P303</t>
        </is>
      </c>
      <c r="E2169" t="n">
        <v>1</v>
      </c>
      <c r="F2169" t="n">
        <v>12</v>
      </c>
      <c r="G2169" t="n">
        <v>0</v>
      </c>
      <c r="H2169">
        <f>E2169*F2169*(1-G2169)</f>
        <v/>
      </c>
      <c r="I2169">
        <f>XLOOKUP(D2169,Products!$A$2:$A$15,Products!$B$2:$B$15,"Not found")</f>
        <v/>
      </c>
    </row>
    <row r="2170">
      <c r="A2170" t="n">
        <v>106489</v>
      </c>
      <c r="B2170" s="1" t="n">
        <v>45861</v>
      </c>
      <c r="C2170" t="inlineStr">
        <is>
          <t>S03</t>
        </is>
      </c>
      <c r="D2170" t="inlineStr">
        <is>
          <t>P101</t>
        </is>
      </c>
      <c r="E2170" t="n">
        <v>1</v>
      </c>
      <c r="F2170" t="n">
        <v>39</v>
      </c>
      <c r="G2170" t="n">
        <v>0</v>
      </c>
      <c r="H2170">
        <f>E2170*F2170*(1-G2170)</f>
        <v/>
      </c>
      <c r="I2170">
        <f>XLOOKUP(D2170,Products!$A$2:$A$15,Products!$B$2:$B$15,"Not found")</f>
        <v/>
      </c>
    </row>
    <row r="2171">
      <c r="A2171" t="n">
        <v>106490</v>
      </c>
      <c r="B2171" s="1" t="n">
        <v>45861</v>
      </c>
      <c r="C2171" t="inlineStr">
        <is>
          <t>S03</t>
        </is>
      </c>
      <c r="D2171" t="inlineStr">
        <is>
          <t>P201</t>
        </is>
      </c>
      <c r="E2171" t="n">
        <v>1</v>
      </c>
      <c r="F2171" t="n">
        <v>149</v>
      </c>
      <c r="G2171" t="n">
        <v>0.1</v>
      </c>
      <c r="H2171">
        <f>E2171*F2171*(1-G2171)</f>
        <v/>
      </c>
      <c r="I2171">
        <f>XLOOKUP(D2171,Products!$A$2:$A$15,Products!$B$2:$B$15,"Not found")</f>
        <v/>
      </c>
    </row>
    <row r="2172">
      <c r="A2172" t="n">
        <v>106491</v>
      </c>
      <c r="B2172" s="1" t="n">
        <v>45861</v>
      </c>
      <c r="C2172" t="inlineStr">
        <is>
          <t>S04</t>
        </is>
      </c>
      <c r="D2172" t="inlineStr">
        <is>
          <t>P102</t>
        </is>
      </c>
      <c r="E2172" t="n">
        <v>1</v>
      </c>
      <c r="F2172" t="n">
        <v>14.5</v>
      </c>
      <c r="G2172" t="n">
        <v>0</v>
      </c>
      <c r="H2172">
        <f>E2172*F2172*(1-G2172)</f>
        <v/>
      </c>
      <c r="I2172">
        <f>XLOOKUP(D2172,Products!$A$2:$A$15,Products!$B$2:$B$15,"Not found")</f>
        <v/>
      </c>
    </row>
    <row r="2173">
      <c r="A2173" t="n">
        <v>106492</v>
      </c>
      <c r="B2173" s="1" t="n">
        <v>45861</v>
      </c>
      <c r="C2173" t="inlineStr">
        <is>
          <t>S04</t>
        </is>
      </c>
      <c r="D2173" t="inlineStr">
        <is>
          <t>P303</t>
        </is>
      </c>
      <c r="E2173" t="n">
        <v>1</v>
      </c>
      <c r="F2173" t="n">
        <v>12</v>
      </c>
      <c r="G2173" t="n">
        <v>0.15</v>
      </c>
      <c r="H2173">
        <f>E2173*F2173*(1-G2173)</f>
        <v/>
      </c>
      <c r="I2173">
        <f>XLOOKUP(D2173,Products!$A$2:$A$15,Products!$B$2:$B$15,"Not found")</f>
        <v/>
      </c>
    </row>
    <row r="2174">
      <c r="A2174" t="n">
        <v>106493</v>
      </c>
      <c r="B2174" s="1" t="n">
        <v>45861</v>
      </c>
      <c r="C2174" t="inlineStr">
        <is>
          <t>S05</t>
        </is>
      </c>
      <c r="D2174" t="inlineStr">
        <is>
          <t>P203</t>
        </is>
      </c>
      <c r="E2174" t="n">
        <v>2</v>
      </c>
      <c r="F2174" t="n">
        <v>19.5</v>
      </c>
      <c r="G2174" t="n">
        <v>0.1</v>
      </c>
      <c r="H2174">
        <f>E2174*F2174*(1-G2174)</f>
        <v/>
      </c>
      <c r="I2174">
        <f>XLOOKUP(D2174,Products!$A$2:$A$15,Products!$B$2:$B$15,"Not found")</f>
        <v/>
      </c>
    </row>
    <row r="2175">
      <c r="A2175" t="n">
        <v>106494</v>
      </c>
      <c r="B2175" s="1" t="n">
        <v>45861</v>
      </c>
      <c r="C2175" t="inlineStr">
        <is>
          <t>S05</t>
        </is>
      </c>
      <c r="D2175" t="inlineStr">
        <is>
          <t>P202</t>
        </is>
      </c>
      <c r="E2175" t="n">
        <v>1</v>
      </c>
      <c r="F2175" t="n">
        <v>79</v>
      </c>
      <c r="G2175" t="n">
        <v>0</v>
      </c>
      <c r="H2175">
        <f>E2175*F2175*(1-G2175)</f>
        <v/>
      </c>
      <c r="I2175">
        <f>XLOOKUP(D2175,Products!$A$2:$A$15,Products!$B$2:$B$15,"Not found")</f>
        <v/>
      </c>
    </row>
    <row r="2176">
      <c r="A2176" t="n">
        <v>106495</v>
      </c>
      <c r="B2176" s="1" t="n">
        <v>45861</v>
      </c>
      <c r="C2176" t="inlineStr">
        <is>
          <t>S05</t>
        </is>
      </c>
      <c r="D2176" t="inlineStr">
        <is>
          <t>P403</t>
        </is>
      </c>
      <c r="E2176" t="n">
        <v>2</v>
      </c>
      <c r="F2176" t="n">
        <v>89</v>
      </c>
      <c r="G2176" t="n">
        <v>0.2</v>
      </c>
      <c r="H2176">
        <f>E2176*F2176*(1-G2176)</f>
        <v/>
      </c>
      <c r="I2176">
        <f>XLOOKUP(D2176,Products!$A$2:$A$15,Products!$B$2:$B$15,"Not found")</f>
        <v/>
      </c>
    </row>
    <row r="2177">
      <c r="A2177" t="n">
        <v>106496</v>
      </c>
      <c r="B2177" s="1" t="n">
        <v>45861</v>
      </c>
      <c r="C2177" t="inlineStr">
        <is>
          <t>S05</t>
        </is>
      </c>
      <c r="D2177" t="inlineStr">
        <is>
          <t>P302</t>
        </is>
      </c>
      <c r="E2177" t="n">
        <v>4</v>
      </c>
      <c r="F2177" t="n">
        <v>24</v>
      </c>
      <c r="G2177" t="n">
        <v>0</v>
      </c>
      <c r="H2177">
        <f>E2177*F2177*(1-G2177)</f>
        <v/>
      </c>
      <c r="I2177">
        <f>XLOOKUP(D2177,Products!$A$2:$A$15,Products!$B$2:$B$15,"Not found")</f>
        <v/>
      </c>
    </row>
    <row r="2178">
      <c r="A2178" t="n">
        <v>106497</v>
      </c>
      <c r="B2178" s="1" t="n">
        <v>45862</v>
      </c>
      <c r="C2178" t="inlineStr">
        <is>
          <t>S01</t>
        </is>
      </c>
      <c r="D2178" t="inlineStr">
        <is>
          <t>P301</t>
        </is>
      </c>
      <c r="E2178" t="n">
        <v>1</v>
      </c>
      <c r="F2178" t="n">
        <v>119</v>
      </c>
      <c r="G2178" t="n">
        <v>0.2</v>
      </c>
      <c r="H2178">
        <f>E2178*F2178*(1-G2178)</f>
        <v/>
      </c>
      <c r="I2178">
        <f>XLOOKUP(D2178,Products!$A$2:$A$15,Products!$B$2:$B$15,"Not found")</f>
        <v/>
      </c>
    </row>
    <row r="2179">
      <c r="A2179" t="n">
        <v>106498</v>
      </c>
      <c r="B2179" s="1" t="n">
        <v>45862</v>
      </c>
      <c r="C2179" t="inlineStr">
        <is>
          <t>S01</t>
        </is>
      </c>
      <c r="D2179" t="inlineStr">
        <is>
          <t>P102</t>
        </is>
      </c>
      <c r="E2179" t="n">
        <v>2</v>
      </c>
      <c r="F2179" t="n">
        <v>14.5</v>
      </c>
      <c r="G2179" t="n">
        <v>0</v>
      </c>
      <c r="H2179">
        <f>E2179*F2179*(1-G2179)</f>
        <v/>
      </c>
      <c r="I2179">
        <f>XLOOKUP(D2179,Products!$A$2:$A$15,Products!$B$2:$B$15,"Not found")</f>
        <v/>
      </c>
    </row>
    <row r="2180">
      <c r="A2180" t="n">
        <v>106499</v>
      </c>
      <c r="B2180" s="1" t="n">
        <v>45862</v>
      </c>
      <c r="C2180" t="inlineStr">
        <is>
          <t>S02</t>
        </is>
      </c>
      <c r="D2180" t="inlineStr">
        <is>
          <t>P103</t>
        </is>
      </c>
      <c r="E2180" t="n">
        <v>2</v>
      </c>
      <c r="F2180" t="n">
        <v>29</v>
      </c>
      <c r="G2180" t="n">
        <v>0</v>
      </c>
      <c r="H2180">
        <f>E2180*F2180*(1-G2180)</f>
        <v/>
      </c>
      <c r="I2180">
        <f>XLOOKUP(D2180,Products!$A$2:$A$15,Products!$B$2:$B$15,"Not found")</f>
        <v/>
      </c>
    </row>
    <row r="2181">
      <c r="A2181" t="n">
        <v>106500</v>
      </c>
      <c r="B2181" s="1" t="n">
        <v>45862</v>
      </c>
      <c r="C2181" t="inlineStr">
        <is>
          <t>S03</t>
        </is>
      </c>
      <c r="D2181" t="inlineStr">
        <is>
          <t>P103</t>
        </is>
      </c>
      <c r="E2181" t="n">
        <v>1</v>
      </c>
      <c r="F2181" t="n">
        <v>29</v>
      </c>
      <c r="G2181" t="n">
        <v>0.1</v>
      </c>
      <c r="H2181">
        <f>E2181*F2181*(1-G2181)</f>
        <v/>
      </c>
      <c r="I2181">
        <f>XLOOKUP(D2181,Products!$A$2:$A$15,Products!$B$2:$B$15,"Not found")</f>
        <v/>
      </c>
    </row>
    <row r="2182">
      <c r="A2182" t="n">
        <v>106501</v>
      </c>
      <c r="B2182" s="1" t="n">
        <v>45862</v>
      </c>
      <c r="C2182" t="inlineStr">
        <is>
          <t>S03</t>
        </is>
      </c>
      <c r="D2182" t="inlineStr">
        <is>
          <t>P103</t>
        </is>
      </c>
      <c r="E2182" t="n">
        <v>2</v>
      </c>
      <c r="F2182" t="n">
        <v>29</v>
      </c>
      <c r="G2182" t="n">
        <v>0.1</v>
      </c>
      <c r="H2182">
        <f>E2182*F2182*(1-G2182)</f>
        <v/>
      </c>
      <c r="I2182">
        <f>XLOOKUP(D2182,Products!$A$2:$A$15,Products!$B$2:$B$15,"Not found")</f>
        <v/>
      </c>
    </row>
    <row r="2183">
      <c r="A2183" t="n">
        <v>106502</v>
      </c>
      <c r="B2183" s="1" t="n">
        <v>45862</v>
      </c>
      <c r="C2183" t="inlineStr">
        <is>
          <t>S03</t>
        </is>
      </c>
      <c r="D2183" t="inlineStr">
        <is>
          <t>P101</t>
        </is>
      </c>
      <c r="E2183" t="n">
        <v>2</v>
      </c>
      <c r="F2183" t="n">
        <v>39</v>
      </c>
      <c r="G2183" t="n">
        <v>0.1</v>
      </c>
      <c r="H2183">
        <f>E2183*F2183*(1-G2183)</f>
        <v/>
      </c>
      <c r="I2183">
        <f>XLOOKUP(D2183,Products!$A$2:$A$15,Products!$B$2:$B$15,"Not found")</f>
        <v/>
      </c>
    </row>
    <row r="2184">
      <c r="A2184" t="n">
        <v>106503</v>
      </c>
      <c r="B2184" s="1" t="n">
        <v>45862</v>
      </c>
      <c r="C2184" t="inlineStr">
        <is>
          <t>S04</t>
        </is>
      </c>
      <c r="D2184" t="inlineStr">
        <is>
          <t>P302</t>
        </is>
      </c>
      <c r="E2184" t="n">
        <v>2</v>
      </c>
      <c r="F2184" t="n">
        <v>24</v>
      </c>
      <c r="G2184" t="n">
        <v>0</v>
      </c>
      <c r="H2184">
        <f>E2184*F2184*(1-G2184)</f>
        <v/>
      </c>
      <c r="I2184">
        <f>XLOOKUP(D2184,Products!$A$2:$A$15,Products!$B$2:$B$15,"Not found")</f>
        <v/>
      </c>
    </row>
    <row r="2185">
      <c r="A2185" t="n">
        <v>106504</v>
      </c>
      <c r="B2185" s="1" t="n">
        <v>45862</v>
      </c>
      <c r="C2185" t="inlineStr">
        <is>
          <t>S04</t>
        </is>
      </c>
      <c r="D2185" t="inlineStr">
        <is>
          <t>P301</t>
        </is>
      </c>
      <c r="E2185" t="n">
        <v>1</v>
      </c>
      <c r="F2185" t="n">
        <v>119</v>
      </c>
      <c r="G2185" t="n">
        <v>0.15</v>
      </c>
      <c r="H2185">
        <f>E2185*F2185*(1-G2185)</f>
        <v/>
      </c>
      <c r="I2185">
        <f>XLOOKUP(D2185,Products!$A$2:$A$15,Products!$B$2:$B$15,"Not found")</f>
        <v/>
      </c>
    </row>
    <row r="2186">
      <c r="A2186" t="n">
        <v>106505</v>
      </c>
      <c r="B2186" s="1" t="n">
        <v>45862</v>
      </c>
      <c r="C2186" t="inlineStr">
        <is>
          <t>S05</t>
        </is>
      </c>
      <c r="D2186" t="inlineStr">
        <is>
          <t>P104</t>
        </is>
      </c>
      <c r="E2186" t="n">
        <v>1</v>
      </c>
      <c r="F2186" t="n">
        <v>189</v>
      </c>
      <c r="G2186" t="n">
        <v>0.1</v>
      </c>
      <c r="H2186">
        <f>E2186*F2186*(1-G2186)</f>
        <v/>
      </c>
      <c r="I2186">
        <f>XLOOKUP(D2186,Products!$A$2:$A$15,Products!$B$2:$B$15,"Not found")</f>
        <v/>
      </c>
    </row>
    <row r="2187">
      <c r="A2187" t="n">
        <v>106506</v>
      </c>
      <c r="B2187" s="1" t="n">
        <v>45862</v>
      </c>
      <c r="C2187" t="inlineStr">
        <is>
          <t>S05</t>
        </is>
      </c>
      <c r="D2187" t="inlineStr">
        <is>
          <t>P203</t>
        </is>
      </c>
      <c r="E2187" t="n">
        <v>3</v>
      </c>
      <c r="F2187" t="n">
        <v>19.5</v>
      </c>
      <c r="G2187" t="n">
        <v>0</v>
      </c>
      <c r="H2187">
        <f>E2187*F2187*(1-G2187)</f>
        <v/>
      </c>
      <c r="I2187">
        <f>XLOOKUP(D2187,Products!$A$2:$A$15,Products!$B$2:$B$15,"Not found")</f>
        <v/>
      </c>
    </row>
    <row r="2188">
      <c r="A2188" t="n">
        <v>106507</v>
      </c>
      <c r="B2188" s="1" t="n">
        <v>45862</v>
      </c>
      <c r="C2188" t="inlineStr">
        <is>
          <t>S05</t>
        </is>
      </c>
      <c r="D2188" t="inlineStr">
        <is>
          <t>P203</t>
        </is>
      </c>
      <c r="E2188" t="n">
        <v>4</v>
      </c>
      <c r="F2188" t="n">
        <v>19.5</v>
      </c>
      <c r="G2188" t="n">
        <v>0</v>
      </c>
      <c r="H2188">
        <f>E2188*F2188*(1-G2188)</f>
        <v/>
      </c>
      <c r="I2188">
        <f>XLOOKUP(D2188,Products!$A$2:$A$15,Products!$B$2:$B$15,"Not found")</f>
        <v/>
      </c>
    </row>
    <row r="2189">
      <c r="A2189" t="n">
        <v>106508</v>
      </c>
      <c r="B2189" s="1" t="n">
        <v>45863</v>
      </c>
      <c r="C2189" t="inlineStr">
        <is>
          <t>S01</t>
        </is>
      </c>
      <c r="D2189" t="inlineStr">
        <is>
          <t>P102</t>
        </is>
      </c>
      <c r="E2189" t="n">
        <v>1</v>
      </c>
      <c r="F2189" t="n">
        <v>14.5</v>
      </c>
      <c r="G2189" t="n">
        <v>0</v>
      </c>
      <c r="H2189">
        <f>E2189*F2189*(1-G2189)</f>
        <v/>
      </c>
      <c r="I2189">
        <f>XLOOKUP(D2189,Products!$A$2:$A$15,Products!$B$2:$B$15,"Not found")</f>
        <v/>
      </c>
    </row>
    <row r="2190">
      <c r="A2190" t="n">
        <v>106509</v>
      </c>
      <c r="B2190" s="1" t="n">
        <v>45863</v>
      </c>
      <c r="C2190" t="inlineStr">
        <is>
          <t>S01</t>
        </is>
      </c>
      <c r="D2190" t="inlineStr">
        <is>
          <t>P101</t>
        </is>
      </c>
      <c r="E2190" t="n">
        <v>1</v>
      </c>
      <c r="F2190" t="n">
        <v>39</v>
      </c>
      <c r="G2190" t="n">
        <v>0.1</v>
      </c>
      <c r="H2190">
        <f>E2190*F2190*(1-G2190)</f>
        <v/>
      </c>
      <c r="I2190">
        <f>XLOOKUP(D2190,Products!$A$2:$A$15,Products!$B$2:$B$15,"Not found")</f>
        <v/>
      </c>
    </row>
    <row r="2191">
      <c r="A2191" t="n">
        <v>106510</v>
      </c>
      <c r="B2191" s="1" t="n">
        <v>45863</v>
      </c>
      <c r="C2191" t="inlineStr">
        <is>
          <t>S02</t>
        </is>
      </c>
      <c r="D2191" t="inlineStr">
        <is>
          <t>P303</t>
        </is>
      </c>
      <c r="E2191" t="n">
        <v>1</v>
      </c>
      <c r="F2191" t="n">
        <v>12</v>
      </c>
      <c r="G2191" t="n">
        <v>0</v>
      </c>
      <c r="H2191">
        <f>E2191*F2191*(1-G2191)</f>
        <v/>
      </c>
      <c r="I2191">
        <f>XLOOKUP(D2191,Products!$A$2:$A$15,Products!$B$2:$B$15,"Not found")</f>
        <v/>
      </c>
    </row>
    <row r="2192">
      <c r="A2192" t="n">
        <v>106511</v>
      </c>
      <c r="B2192" s="1" t="n">
        <v>45863</v>
      </c>
      <c r="C2192" t="inlineStr">
        <is>
          <t>S02</t>
        </is>
      </c>
      <c r="D2192" t="inlineStr">
        <is>
          <t>P303</t>
        </is>
      </c>
      <c r="E2192" t="n">
        <v>3</v>
      </c>
      <c r="F2192" t="n">
        <v>12</v>
      </c>
      <c r="G2192" t="n">
        <v>0.2</v>
      </c>
      <c r="H2192">
        <f>E2192*F2192*(1-G2192)</f>
        <v/>
      </c>
      <c r="I2192">
        <f>XLOOKUP(D2192,Products!$A$2:$A$15,Products!$B$2:$B$15,"Not found")</f>
        <v/>
      </c>
    </row>
    <row r="2193">
      <c r="A2193" t="n">
        <v>106512</v>
      </c>
      <c r="B2193" s="1" t="n">
        <v>45863</v>
      </c>
      <c r="C2193" t="inlineStr">
        <is>
          <t>S03</t>
        </is>
      </c>
      <c r="D2193" t="inlineStr">
        <is>
          <t>P203</t>
        </is>
      </c>
      <c r="E2193" t="n">
        <v>1</v>
      </c>
      <c r="F2193" t="n">
        <v>19.5</v>
      </c>
      <c r="G2193" t="n">
        <v>0.1</v>
      </c>
      <c r="H2193">
        <f>E2193*F2193*(1-G2193)</f>
        <v/>
      </c>
      <c r="I2193">
        <f>XLOOKUP(D2193,Products!$A$2:$A$15,Products!$B$2:$B$15,"Not found")</f>
        <v/>
      </c>
    </row>
    <row r="2194">
      <c r="A2194" t="n">
        <v>106513</v>
      </c>
      <c r="B2194" s="1" t="n">
        <v>45863</v>
      </c>
      <c r="C2194" t="inlineStr">
        <is>
          <t>S03</t>
        </is>
      </c>
      <c r="D2194" t="inlineStr">
        <is>
          <t>P103</t>
        </is>
      </c>
      <c r="E2194" t="n">
        <v>1</v>
      </c>
      <c r="F2194" t="n">
        <v>29</v>
      </c>
      <c r="G2194" t="n">
        <v>0</v>
      </c>
      <c r="H2194">
        <f>E2194*F2194*(1-G2194)</f>
        <v/>
      </c>
      <c r="I2194">
        <f>XLOOKUP(D2194,Products!$A$2:$A$15,Products!$B$2:$B$15,"Not found")</f>
        <v/>
      </c>
    </row>
    <row r="2195">
      <c r="A2195" t="n">
        <v>106514</v>
      </c>
      <c r="B2195" s="1" t="n">
        <v>45863</v>
      </c>
      <c r="C2195" t="inlineStr">
        <is>
          <t>S03</t>
        </is>
      </c>
      <c r="D2195" t="inlineStr">
        <is>
          <t>P102</t>
        </is>
      </c>
      <c r="E2195" t="n">
        <v>2</v>
      </c>
      <c r="F2195" t="n">
        <v>14.5</v>
      </c>
      <c r="G2195" t="n">
        <v>0</v>
      </c>
      <c r="H2195">
        <f>E2195*F2195*(1-G2195)</f>
        <v/>
      </c>
      <c r="I2195">
        <f>XLOOKUP(D2195,Products!$A$2:$A$15,Products!$B$2:$B$15,"Not found")</f>
        <v/>
      </c>
    </row>
    <row r="2196">
      <c r="A2196" t="n">
        <v>106515</v>
      </c>
      <c r="B2196" s="1" t="n">
        <v>45863</v>
      </c>
      <c r="C2196" t="inlineStr">
        <is>
          <t>S04</t>
        </is>
      </c>
      <c r="D2196" t="inlineStr">
        <is>
          <t>P102</t>
        </is>
      </c>
      <c r="E2196" t="n">
        <v>1</v>
      </c>
      <c r="F2196" t="n">
        <v>14.5</v>
      </c>
      <c r="G2196" t="n">
        <v>0</v>
      </c>
      <c r="H2196">
        <f>E2196*F2196*(1-G2196)</f>
        <v/>
      </c>
      <c r="I2196">
        <f>XLOOKUP(D2196,Products!$A$2:$A$15,Products!$B$2:$B$15,"Not found")</f>
        <v/>
      </c>
    </row>
    <row r="2197">
      <c r="A2197" t="n">
        <v>106516</v>
      </c>
      <c r="B2197" s="1" t="n">
        <v>45863</v>
      </c>
      <c r="C2197" t="inlineStr">
        <is>
          <t>S04</t>
        </is>
      </c>
      <c r="D2197" t="inlineStr">
        <is>
          <t>P303</t>
        </is>
      </c>
      <c r="E2197" t="n">
        <v>2</v>
      </c>
      <c r="F2197" t="n">
        <v>12</v>
      </c>
      <c r="G2197" t="n">
        <v>0.2</v>
      </c>
      <c r="H2197">
        <f>E2197*F2197*(1-G2197)</f>
        <v/>
      </c>
      <c r="I2197">
        <f>XLOOKUP(D2197,Products!$A$2:$A$15,Products!$B$2:$B$15,"Not found")</f>
        <v/>
      </c>
    </row>
    <row r="2198">
      <c r="A2198" t="n">
        <v>106517</v>
      </c>
      <c r="B2198" s="1" t="n">
        <v>45863</v>
      </c>
      <c r="C2198" t="inlineStr">
        <is>
          <t>S05</t>
        </is>
      </c>
      <c r="D2198" t="inlineStr">
        <is>
          <t>P301</t>
        </is>
      </c>
      <c r="E2198" t="n">
        <v>1</v>
      </c>
      <c r="F2198" t="n">
        <v>119</v>
      </c>
      <c r="G2198" t="n">
        <v>0</v>
      </c>
      <c r="H2198">
        <f>E2198*F2198*(1-G2198)</f>
        <v/>
      </c>
      <c r="I2198">
        <f>XLOOKUP(D2198,Products!$A$2:$A$15,Products!$B$2:$B$15,"Not found")</f>
        <v/>
      </c>
    </row>
    <row r="2199">
      <c r="A2199" t="n">
        <v>106518</v>
      </c>
      <c r="B2199" s="1" t="n">
        <v>45863</v>
      </c>
      <c r="C2199" t="inlineStr">
        <is>
          <t>S05</t>
        </is>
      </c>
      <c r="D2199" t="inlineStr">
        <is>
          <t>P103</t>
        </is>
      </c>
      <c r="E2199" t="n">
        <v>2</v>
      </c>
      <c r="F2199" t="n">
        <v>29</v>
      </c>
      <c r="G2199" t="n">
        <v>0.2</v>
      </c>
      <c r="H2199">
        <f>E2199*F2199*(1-G2199)</f>
        <v/>
      </c>
      <c r="I2199">
        <f>XLOOKUP(D2199,Products!$A$2:$A$15,Products!$B$2:$B$15,"Not found")</f>
        <v/>
      </c>
    </row>
    <row r="2200">
      <c r="A2200" t="n">
        <v>106519</v>
      </c>
      <c r="B2200" s="1" t="n">
        <v>45863</v>
      </c>
      <c r="C2200" t="inlineStr">
        <is>
          <t>S06</t>
        </is>
      </c>
      <c r="D2200" t="inlineStr">
        <is>
          <t>P302</t>
        </is>
      </c>
      <c r="E2200" t="n">
        <v>4</v>
      </c>
      <c r="F2200" t="n">
        <v>24</v>
      </c>
      <c r="G2200" t="n">
        <v>0</v>
      </c>
      <c r="H2200">
        <f>E2200*F2200*(1-G2200)</f>
        <v/>
      </c>
      <c r="I2200">
        <f>XLOOKUP(D2200,Products!$A$2:$A$15,Products!$B$2:$B$15,"Not found")</f>
        <v/>
      </c>
    </row>
    <row r="2201">
      <c r="A2201" t="n">
        <v>106520</v>
      </c>
      <c r="B2201" s="1" t="n">
        <v>45864</v>
      </c>
      <c r="C2201" t="inlineStr">
        <is>
          <t>S01</t>
        </is>
      </c>
      <c r="D2201" t="inlineStr">
        <is>
          <t>P102</t>
        </is>
      </c>
      <c r="E2201" t="n">
        <v>1</v>
      </c>
      <c r="F2201" t="n">
        <v>14.5</v>
      </c>
      <c r="G2201" t="n">
        <v>0</v>
      </c>
      <c r="H2201">
        <f>E2201*F2201*(1-G2201)</f>
        <v/>
      </c>
      <c r="I2201">
        <f>XLOOKUP(D2201,Products!$A$2:$A$15,Products!$B$2:$B$15,"Not found")</f>
        <v/>
      </c>
    </row>
    <row r="2202">
      <c r="A2202" t="n">
        <v>106521</v>
      </c>
      <c r="B2202" s="1" t="n">
        <v>45864</v>
      </c>
      <c r="C2202" t="inlineStr">
        <is>
          <t>S01</t>
        </is>
      </c>
      <c r="D2202" t="inlineStr">
        <is>
          <t>P101</t>
        </is>
      </c>
      <c r="E2202" t="n">
        <v>2</v>
      </c>
      <c r="F2202" t="n">
        <v>39</v>
      </c>
      <c r="G2202" t="n">
        <v>0.2</v>
      </c>
      <c r="H2202">
        <f>E2202*F2202*(1-G2202)</f>
        <v/>
      </c>
      <c r="I2202">
        <f>XLOOKUP(D2202,Products!$A$2:$A$15,Products!$B$2:$B$15,"Not found")</f>
        <v/>
      </c>
    </row>
    <row r="2203">
      <c r="A2203" t="n">
        <v>106522</v>
      </c>
      <c r="B2203" s="1" t="n">
        <v>45864</v>
      </c>
      <c r="C2203" t="inlineStr">
        <is>
          <t>S01</t>
        </is>
      </c>
      <c r="D2203" t="inlineStr">
        <is>
          <t>P201</t>
        </is>
      </c>
      <c r="E2203" t="n">
        <v>1</v>
      </c>
      <c r="F2203" t="n">
        <v>149</v>
      </c>
      <c r="G2203" t="n">
        <v>0</v>
      </c>
      <c r="H2203">
        <f>E2203*F2203*(1-G2203)</f>
        <v/>
      </c>
      <c r="I2203">
        <f>XLOOKUP(D2203,Products!$A$2:$A$15,Products!$B$2:$B$15,"Not found")</f>
        <v/>
      </c>
    </row>
    <row r="2204">
      <c r="A2204" t="n">
        <v>106523</v>
      </c>
      <c r="B2204" s="1" t="n">
        <v>45864</v>
      </c>
      <c r="C2204" t="inlineStr">
        <is>
          <t>S02</t>
        </is>
      </c>
      <c r="D2204" t="inlineStr">
        <is>
          <t>P301</t>
        </is>
      </c>
      <c r="E2204" t="n">
        <v>1</v>
      </c>
      <c r="F2204" t="n">
        <v>119</v>
      </c>
      <c r="G2204" t="n">
        <v>0.1</v>
      </c>
      <c r="H2204">
        <f>E2204*F2204*(1-G2204)</f>
        <v/>
      </c>
      <c r="I2204">
        <f>XLOOKUP(D2204,Products!$A$2:$A$15,Products!$B$2:$B$15,"Not found")</f>
        <v/>
      </c>
    </row>
    <row r="2205">
      <c r="A2205" t="n">
        <v>106524</v>
      </c>
      <c r="B2205" s="1" t="n">
        <v>45864</v>
      </c>
      <c r="C2205" t="inlineStr">
        <is>
          <t>S03</t>
        </is>
      </c>
      <c r="D2205" t="inlineStr">
        <is>
          <t>P202</t>
        </is>
      </c>
      <c r="E2205" t="n">
        <v>1</v>
      </c>
      <c r="F2205" t="n">
        <v>79</v>
      </c>
      <c r="G2205" t="n">
        <v>0</v>
      </c>
      <c r="H2205">
        <f>E2205*F2205*(1-G2205)</f>
        <v/>
      </c>
      <c r="I2205">
        <f>XLOOKUP(D2205,Products!$A$2:$A$15,Products!$B$2:$B$15,"Not found")</f>
        <v/>
      </c>
    </row>
    <row r="2206">
      <c r="A2206" t="n">
        <v>106525</v>
      </c>
      <c r="B2206" s="1" t="n">
        <v>45864</v>
      </c>
      <c r="C2206" t="inlineStr">
        <is>
          <t>S05</t>
        </is>
      </c>
      <c r="D2206" t="inlineStr">
        <is>
          <t>P302</t>
        </is>
      </c>
      <c r="E2206" t="n">
        <v>1</v>
      </c>
      <c r="F2206" t="n">
        <v>24</v>
      </c>
      <c r="G2206" t="n">
        <v>0</v>
      </c>
      <c r="H2206">
        <f>E2206*F2206*(1-G2206)</f>
        <v/>
      </c>
      <c r="I2206">
        <f>XLOOKUP(D2206,Products!$A$2:$A$15,Products!$B$2:$B$15,"Not found")</f>
        <v/>
      </c>
    </row>
    <row r="2207">
      <c r="A2207" t="n">
        <v>106526</v>
      </c>
      <c r="B2207" s="1" t="n">
        <v>45864</v>
      </c>
      <c r="C2207" t="inlineStr">
        <is>
          <t>S05</t>
        </is>
      </c>
      <c r="D2207" t="inlineStr">
        <is>
          <t>P103</t>
        </is>
      </c>
      <c r="E2207" t="n">
        <v>4</v>
      </c>
      <c r="F2207" t="n">
        <v>29</v>
      </c>
      <c r="G2207" t="n">
        <v>0.2</v>
      </c>
      <c r="H2207">
        <f>E2207*F2207*(1-G2207)</f>
        <v/>
      </c>
      <c r="I2207">
        <f>XLOOKUP(D2207,Products!$A$2:$A$15,Products!$B$2:$B$15,"Not found")</f>
        <v/>
      </c>
    </row>
    <row r="2208">
      <c r="A2208" t="n">
        <v>106527</v>
      </c>
      <c r="B2208" s="1" t="n">
        <v>45864</v>
      </c>
      <c r="C2208" t="inlineStr">
        <is>
          <t>S06</t>
        </is>
      </c>
      <c r="D2208" t="inlineStr">
        <is>
          <t>P202</t>
        </is>
      </c>
      <c r="E2208" t="n">
        <v>2</v>
      </c>
      <c r="F2208" t="n">
        <v>79</v>
      </c>
      <c r="G2208" t="n">
        <v>0</v>
      </c>
      <c r="H2208">
        <f>E2208*F2208*(1-G2208)</f>
        <v/>
      </c>
      <c r="I2208">
        <f>XLOOKUP(D2208,Products!$A$2:$A$15,Products!$B$2:$B$15,"Not found")</f>
        <v/>
      </c>
    </row>
    <row r="2209">
      <c r="A2209" t="n">
        <v>106528</v>
      </c>
      <c r="B2209" s="1" t="n">
        <v>45865</v>
      </c>
      <c r="C2209" t="inlineStr">
        <is>
          <t>S01</t>
        </is>
      </c>
      <c r="D2209" t="inlineStr">
        <is>
          <t>P302</t>
        </is>
      </c>
      <c r="E2209" t="n">
        <v>1</v>
      </c>
      <c r="F2209" t="n">
        <v>24</v>
      </c>
      <c r="G2209" t="n">
        <v>0</v>
      </c>
      <c r="H2209">
        <f>E2209*F2209*(1-G2209)</f>
        <v/>
      </c>
      <c r="I2209">
        <f>XLOOKUP(D2209,Products!$A$2:$A$15,Products!$B$2:$B$15,"Not found")</f>
        <v/>
      </c>
    </row>
    <row r="2210">
      <c r="A2210" t="n">
        <v>106529</v>
      </c>
      <c r="B2210" s="1" t="n">
        <v>45865</v>
      </c>
      <c r="C2210" t="inlineStr">
        <is>
          <t>S01</t>
        </is>
      </c>
      <c r="D2210" t="inlineStr">
        <is>
          <t>P301</t>
        </is>
      </c>
      <c r="E2210" t="n">
        <v>1</v>
      </c>
      <c r="F2210" t="n">
        <v>119</v>
      </c>
      <c r="G2210" t="n">
        <v>0</v>
      </c>
      <c r="H2210">
        <f>E2210*F2210*(1-G2210)</f>
        <v/>
      </c>
      <c r="I2210">
        <f>XLOOKUP(D2210,Products!$A$2:$A$15,Products!$B$2:$B$15,"Not found")</f>
        <v/>
      </c>
    </row>
    <row r="2211">
      <c r="A2211" t="n">
        <v>106530</v>
      </c>
      <c r="B2211" s="1" t="n">
        <v>45865</v>
      </c>
      <c r="C2211" t="inlineStr">
        <is>
          <t>S01</t>
        </is>
      </c>
      <c r="D2211" t="inlineStr">
        <is>
          <t>P102</t>
        </is>
      </c>
      <c r="E2211" t="n">
        <v>1</v>
      </c>
      <c r="F2211" t="n">
        <v>14.5</v>
      </c>
      <c r="G2211" t="n">
        <v>0</v>
      </c>
      <c r="H2211">
        <f>E2211*F2211*(1-G2211)</f>
        <v/>
      </c>
      <c r="I2211">
        <f>XLOOKUP(D2211,Products!$A$2:$A$15,Products!$B$2:$B$15,"Not found")</f>
        <v/>
      </c>
    </row>
    <row r="2212">
      <c r="A2212" t="n">
        <v>106531</v>
      </c>
      <c r="B2212" s="1" t="n">
        <v>45865</v>
      </c>
      <c r="C2212" t="inlineStr">
        <is>
          <t>S02</t>
        </is>
      </c>
      <c r="D2212" t="inlineStr">
        <is>
          <t>P203</t>
        </is>
      </c>
      <c r="E2212" t="n">
        <v>1</v>
      </c>
      <c r="F2212" t="n">
        <v>19.5</v>
      </c>
      <c r="G2212" t="n">
        <v>0</v>
      </c>
      <c r="H2212">
        <f>E2212*F2212*(1-G2212)</f>
        <v/>
      </c>
      <c r="I2212">
        <f>XLOOKUP(D2212,Products!$A$2:$A$15,Products!$B$2:$B$15,"Not found")</f>
        <v/>
      </c>
    </row>
    <row r="2213">
      <c r="A2213" t="n">
        <v>106532</v>
      </c>
      <c r="B2213" s="1" t="n">
        <v>45865</v>
      </c>
      <c r="C2213" t="inlineStr">
        <is>
          <t>S03</t>
        </is>
      </c>
      <c r="D2213" t="inlineStr">
        <is>
          <t>P302</t>
        </is>
      </c>
      <c r="E2213" t="n">
        <v>4</v>
      </c>
      <c r="F2213" t="n">
        <v>24</v>
      </c>
      <c r="G2213" t="n">
        <v>0</v>
      </c>
      <c r="H2213">
        <f>E2213*F2213*(1-G2213)</f>
        <v/>
      </c>
      <c r="I2213">
        <f>XLOOKUP(D2213,Products!$A$2:$A$15,Products!$B$2:$B$15,"Not found")</f>
        <v/>
      </c>
    </row>
    <row r="2214">
      <c r="A2214" t="n">
        <v>106533</v>
      </c>
      <c r="B2214" s="1" t="n">
        <v>45865</v>
      </c>
      <c r="C2214" t="inlineStr">
        <is>
          <t>S03</t>
        </is>
      </c>
      <c r="D2214" t="inlineStr">
        <is>
          <t>P303</t>
        </is>
      </c>
      <c r="E2214" t="n">
        <v>2</v>
      </c>
      <c r="F2214" t="n">
        <v>12</v>
      </c>
      <c r="G2214" t="n">
        <v>0</v>
      </c>
      <c r="H2214">
        <f>E2214*F2214*(1-G2214)</f>
        <v/>
      </c>
      <c r="I2214">
        <f>XLOOKUP(D2214,Products!$A$2:$A$15,Products!$B$2:$B$15,"Not found")</f>
        <v/>
      </c>
    </row>
    <row r="2215">
      <c r="A2215" t="n">
        <v>106534</v>
      </c>
      <c r="B2215" s="1" t="n">
        <v>45865</v>
      </c>
      <c r="C2215" t="inlineStr">
        <is>
          <t>S03</t>
        </is>
      </c>
      <c r="D2215" t="inlineStr">
        <is>
          <t>P303</t>
        </is>
      </c>
      <c r="E2215" t="n">
        <v>2</v>
      </c>
      <c r="F2215" t="n">
        <v>12</v>
      </c>
      <c r="G2215" t="n">
        <v>0</v>
      </c>
      <c r="H2215">
        <f>E2215*F2215*(1-G2215)</f>
        <v/>
      </c>
      <c r="I2215">
        <f>XLOOKUP(D2215,Products!$A$2:$A$15,Products!$B$2:$B$15,"Not found")</f>
        <v/>
      </c>
    </row>
    <row r="2216">
      <c r="A2216" t="n">
        <v>106535</v>
      </c>
      <c r="B2216" s="1" t="n">
        <v>45865</v>
      </c>
      <c r="C2216" t="inlineStr">
        <is>
          <t>S04</t>
        </is>
      </c>
      <c r="D2216" t="inlineStr">
        <is>
          <t>P102</t>
        </is>
      </c>
      <c r="E2216" t="n">
        <v>2</v>
      </c>
      <c r="F2216" t="n">
        <v>14.5</v>
      </c>
      <c r="G2216" t="n">
        <v>0.1</v>
      </c>
      <c r="H2216">
        <f>E2216*F2216*(1-G2216)</f>
        <v/>
      </c>
      <c r="I2216">
        <f>XLOOKUP(D2216,Products!$A$2:$A$15,Products!$B$2:$B$15,"Not found")</f>
        <v/>
      </c>
    </row>
    <row r="2217">
      <c r="A2217" t="n">
        <v>106536</v>
      </c>
      <c r="B2217" s="1" t="n">
        <v>45865</v>
      </c>
      <c r="C2217" t="inlineStr">
        <is>
          <t>S04</t>
        </is>
      </c>
      <c r="D2217" t="inlineStr">
        <is>
          <t>P101</t>
        </is>
      </c>
      <c r="E2217" t="n">
        <v>1</v>
      </c>
      <c r="F2217" t="n">
        <v>39</v>
      </c>
      <c r="G2217" t="n">
        <v>0.1</v>
      </c>
      <c r="H2217">
        <f>E2217*F2217*(1-G2217)</f>
        <v/>
      </c>
      <c r="I2217">
        <f>XLOOKUP(D2217,Products!$A$2:$A$15,Products!$B$2:$B$15,"Not found")</f>
        <v/>
      </c>
    </row>
    <row r="2218">
      <c r="A2218" t="n">
        <v>106537</v>
      </c>
      <c r="B2218" s="1" t="n">
        <v>45865</v>
      </c>
      <c r="C2218" t="inlineStr">
        <is>
          <t>S04</t>
        </is>
      </c>
      <c r="D2218" t="inlineStr">
        <is>
          <t>P202</t>
        </is>
      </c>
      <c r="E2218" t="n">
        <v>2</v>
      </c>
      <c r="F2218" t="n">
        <v>79</v>
      </c>
      <c r="G2218" t="n">
        <v>0.2</v>
      </c>
      <c r="H2218">
        <f>E2218*F2218*(1-G2218)</f>
        <v/>
      </c>
      <c r="I2218">
        <f>XLOOKUP(D2218,Products!$A$2:$A$15,Products!$B$2:$B$15,"Not found")</f>
        <v/>
      </c>
    </row>
    <row r="2219">
      <c r="A2219" t="n">
        <v>106538</v>
      </c>
      <c r="B2219" s="1" t="n">
        <v>45865</v>
      </c>
      <c r="C2219" t="inlineStr">
        <is>
          <t>S04</t>
        </is>
      </c>
      <c r="D2219" t="inlineStr">
        <is>
          <t>P403</t>
        </is>
      </c>
      <c r="E2219" t="n">
        <v>1</v>
      </c>
      <c r="F2219" t="n">
        <v>89</v>
      </c>
      <c r="G2219" t="n">
        <v>0.2</v>
      </c>
      <c r="H2219">
        <f>E2219*F2219*(1-G2219)</f>
        <v/>
      </c>
      <c r="I2219">
        <f>XLOOKUP(D2219,Products!$A$2:$A$15,Products!$B$2:$B$15,"Not found")</f>
        <v/>
      </c>
    </row>
    <row r="2220">
      <c r="A2220" t="n">
        <v>106539</v>
      </c>
      <c r="B2220" s="1" t="n">
        <v>45865</v>
      </c>
      <c r="C2220" t="inlineStr">
        <is>
          <t>S05</t>
        </is>
      </c>
      <c r="D2220" t="inlineStr">
        <is>
          <t>P101</t>
        </is>
      </c>
      <c r="E2220" t="n">
        <v>1</v>
      </c>
      <c r="F2220" t="n">
        <v>39</v>
      </c>
      <c r="G2220" t="n">
        <v>0</v>
      </c>
      <c r="H2220">
        <f>E2220*F2220*(1-G2220)</f>
        <v/>
      </c>
      <c r="I2220">
        <f>XLOOKUP(D2220,Products!$A$2:$A$15,Products!$B$2:$B$15,"Not found")</f>
        <v/>
      </c>
    </row>
    <row r="2221">
      <c r="A2221" t="n">
        <v>106540</v>
      </c>
      <c r="B2221" s="1" t="n">
        <v>45865</v>
      </c>
      <c r="C2221" t="inlineStr">
        <is>
          <t>S06</t>
        </is>
      </c>
      <c r="D2221" t="inlineStr">
        <is>
          <t>P301</t>
        </is>
      </c>
      <c r="E2221" t="n">
        <v>1</v>
      </c>
      <c r="F2221" t="n">
        <v>119</v>
      </c>
      <c r="G2221" t="n">
        <v>0</v>
      </c>
      <c r="H2221">
        <f>E2221*F2221*(1-G2221)</f>
        <v/>
      </c>
      <c r="I2221">
        <f>XLOOKUP(D2221,Products!$A$2:$A$15,Products!$B$2:$B$15,"Not found")</f>
        <v/>
      </c>
    </row>
    <row r="2222">
      <c r="A2222" t="n">
        <v>106541</v>
      </c>
      <c r="B2222" s="1" t="n">
        <v>45865</v>
      </c>
      <c r="C2222" t="inlineStr">
        <is>
          <t>S06</t>
        </is>
      </c>
      <c r="D2222" t="inlineStr">
        <is>
          <t>P103</t>
        </is>
      </c>
      <c r="E2222" t="n">
        <v>1</v>
      </c>
      <c r="F2222" t="n">
        <v>29</v>
      </c>
      <c r="G2222" t="n">
        <v>0</v>
      </c>
      <c r="H2222">
        <f>E2222*F2222*(1-G2222)</f>
        <v/>
      </c>
      <c r="I2222">
        <f>XLOOKUP(D2222,Products!$A$2:$A$15,Products!$B$2:$B$15,"Not found")</f>
        <v/>
      </c>
    </row>
    <row r="2223">
      <c r="A2223" t="n">
        <v>106542</v>
      </c>
      <c r="B2223" s="1" t="n">
        <v>45866</v>
      </c>
      <c r="C2223" t="inlineStr">
        <is>
          <t>S01</t>
        </is>
      </c>
      <c r="D2223" t="inlineStr">
        <is>
          <t>P301</t>
        </is>
      </c>
      <c r="E2223" t="n">
        <v>1</v>
      </c>
      <c r="F2223" t="n">
        <v>119</v>
      </c>
      <c r="G2223" t="n">
        <v>0</v>
      </c>
      <c r="H2223">
        <f>E2223*F2223*(1-G2223)</f>
        <v/>
      </c>
      <c r="I2223">
        <f>XLOOKUP(D2223,Products!$A$2:$A$15,Products!$B$2:$B$15,"Not found")</f>
        <v/>
      </c>
    </row>
    <row r="2224">
      <c r="A2224" t="n">
        <v>106543</v>
      </c>
      <c r="B2224" s="1" t="n">
        <v>45866</v>
      </c>
      <c r="C2224" t="inlineStr">
        <is>
          <t>S02</t>
        </is>
      </c>
      <c r="D2224" t="inlineStr">
        <is>
          <t>P103</t>
        </is>
      </c>
      <c r="E2224" t="n">
        <v>4</v>
      </c>
      <c r="F2224" t="n">
        <v>29</v>
      </c>
      <c r="G2224" t="n">
        <v>0</v>
      </c>
      <c r="H2224">
        <f>E2224*F2224*(1-G2224)</f>
        <v/>
      </c>
      <c r="I2224">
        <f>XLOOKUP(D2224,Products!$A$2:$A$15,Products!$B$2:$B$15,"Not found")</f>
        <v/>
      </c>
    </row>
    <row r="2225">
      <c r="A2225" t="n">
        <v>106544</v>
      </c>
      <c r="B2225" s="1" t="n">
        <v>45866</v>
      </c>
      <c r="C2225" t="inlineStr">
        <is>
          <t>S04</t>
        </is>
      </c>
      <c r="D2225" t="inlineStr">
        <is>
          <t>P301</t>
        </is>
      </c>
      <c r="E2225" t="n">
        <v>1</v>
      </c>
      <c r="F2225" t="n">
        <v>119</v>
      </c>
      <c r="G2225" t="n">
        <v>0</v>
      </c>
      <c r="H2225">
        <f>E2225*F2225*(1-G2225)</f>
        <v/>
      </c>
      <c r="I2225">
        <f>XLOOKUP(D2225,Products!$A$2:$A$15,Products!$B$2:$B$15,"Not found")</f>
        <v/>
      </c>
    </row>
    <row r="2226">
      <c r="A2226" t="n">
        <v>106545</v>
      </c>
      <c r="B2226" s="1" t="n">
        <v>45866</v>
      </c>
      <c r="C2226" t="inlineStr">
        <is>
          <t>S05</t>
        </is>
      </c>
      <c r="D2226" t="inlineStr">
        <is>
          <t>P202</t>
        </is>
      </c>
      <c r="E2226" t="n">
        <v>4</v>
      </c>
      <c r="F2226" t="n">
        <v>79</v>
      </c>
      <c r="G2226" t="n">
        <v>0.2</v>
      </c>
      <c r="H2226">
        <f>E2226*F2226*(1-G2226)</f>
        <v/>
      </c>
      <c r="I2226">
        <f>XLOOKUP(D2226,Products!$A$2:$A$15,Products!$B$2:$B$15,"Not found")</f>
        <v/>
      </c>
    </row>
    <row r="2227">
      <c r="A2227" t="n">
        <v>106546</v>
      </c>
      <c r="B2227" s="1" t="n">
        <v>45866</v>
      </c>
      <c r="C2227" t="inlineStr">
        <is>
          <t>S05</t>
        </is>
      </c>
      <c r="D2227" t="inlineStr">
        <is>
          <t>P301</t>
        </is>
      </c>
      <c r="E2227" t="n">
        <v>1</v>
      </c>
      <c r="F2227" t="n">
        <v>119</v>
      </c>
      <c r="G2227" t="n">
        <v>0.2</v>
      </c>
      <c r="H2227">
        <f>E2227*F2227*(1-G2227)</f>
        <v/>
      </c>
      <c r="I2227">
        <f>XLOOKUP(D2227,Products!$A$2:$A$15,Products!$B$2:$B$15,"Not found")</f>
        <v/>
      </c>
    </row>
    <row r="2228">
      <c r="A2228" t="n">
        <v>106547</v>
      </c>
      <c r="B2228" s="1" t="n">
        <v>45866</v>
      </c>
      <c r="C2228" t="inlineStr">
        <is>
          <t>S05</t>
        </is>
      </c>
      <c r="D2228" t="inlineStr">
        <is>
          <t>P103</t>
        </is>
      </c>
      <c r="E2228" t="n">
        <v>1</v>
      </c>
      <c r="F2228" t="n">
        <v>29</v>
      </c>
      <c r="G2228" t="n">
        <v>0</v>
      </c>
      <c r="H2228">
        <f>E2228*F2228*(1-G2228)</f>
        <v/>
      </c>
      <c r="I2228">
        <f>XLOOKUP(D2228,Products!$A$2:$A$15,Products!$B$2:$B$15,"Not found")</f>
        <v/>
      </c>
    </row>
    <row r="2229">
      <c r="A2229" t="n">
        <v>106548</v>
      </c>
      <c r="B2229" s="1" t="n">
        <v>45866</v>
      </c>
      <c r="C2229" t="inlineStr">
        <is>
          <t>S05</t>
        </is>
      </c>
      <c r="D2229" t="inlineStr">
        <is>
          <t>P401</t>
        </is>
      </c>
      <c r="E2229" t="n">
        <v>1</v>
      </c>
      <c r="F2229" t="n">
        <v>549</v>
      </c>
      <c r="G2229" t="n">
        <v>0.2</v>
      </c>
      <c r="H2229">
        <f>E2229*F2229*(1-G2229)</f>
        <v/>
      </c>
      <c r="I2229">
        <f>XLOOKUP(D2229,Products!$A$2:$A$15,Products!$B$2:$B$15,"Not found")</f>
        <v/>
      </c>
    </row>
    <row r="2230">
      <c r="A2230" t="n">
        <v>106549</v>
      </c>
      <c r="B2230" s="1" t="n">
        <v>45866</v>
      </c>
      <c r="C2230" t="inlineStr">
        <is>
          <t>S06</t>
        </is>
      </c>
      <c r="D2230" t="inlineStr">
        <is>
          <t>P101</t>
        </is>
      </c>
      <c r="E2230" t="n">
        <v>2</v>
      </c>
      <c r="F2230" t="n">
        <v>39</v>
      </c>
      <c r="G2230" t="n">
        <v>0.15</v>
      </c>
      <c r="H2230">
        <f>E2230*F2230*(1-G2230)</f>
        <v/>
      </c>
      <c r="I2230">
        <f>XLOOKUP(D2230,Products!$A$2:$A$15,Products!$B$2:$B$15,"Not found")</f>
        <v/>
      </c>
    </row>
    <row r="2231">
      <c r="A2231" t="n">
        <v>106550</v>
      </c>
      <c r="B2231" s="1" t="n">
        <v>45867</v>
      </c>
      <c r="C2231" t="inlineStr">
        <is>
          <t>S01</t>
        </is>
      </c>
      <c r="D2231" t="inlineStr">
        <is>
          <t>P102</t>
        </is>
      </c>
      <c r="E2231" t="n">
        <v>3</v>
      </c>
      <c r="F2231" t="n">
        <v>14.5</v>
      </c>
      <c r="G2231" t="n">
        <v>0.1</v>
      </c>
      <c r="H2231">
        <f>E2231*F2231*(1-G2231)</f>
        <v/>
      </c>
      <c r="I2231">
        <f>XLOOKUP(D2231,Products!$A$2:$A$15,Products!$B$2:$B$15,"Not found")</f>
        <v/>
      </c>
    </row>
    <row r="2232">
      <c r="A2232" t="n">
        <v>106551</v>
      </c>
      <c r="B2232" s="1" t="n">
        <v>45867</v>
      </c>
      <c r="C2232" t="inlineStr">
        <is>
          <t>S02</t>
        </is>
      </c>
      <c r="D2232" t="inlineStr">
        <is>
          <t>P201</t>
        </is>
      </c>
      <c r="E2232" t="n">
        <v>1</v>
      </c>
      <c r="F2232" t="n">
        <v>149</v>
      </c>
      <c r="G2232" t="n">
        <v>0.2</v>
      </c>
      <c r="H2232">
        <f>E2232*F2232*(1-G2232)</f>
        <v/>
      </c>
      <c r="I2232">
        <f>XLOOKUP(D2232,Products!$A$2:$A$15,Products!$B$2:$B$15,"Not found")</f>
        <v/>
      </c>
    </row>
    <row r="2233">
      <c r="A2233" t="n">
        <v>106552</v>
      </c>
      <c r="B2233" s="1" t="n">
        <v>45867</v>
      </c>
      <c r="C2233" t="inlineStr">
        <is>
          <t>S03</t>
        </is>
      </c>
      <c r="D2233" t="inlineStr">
        <is>
          <t>P101</t>
        </is>
      </c>
      <c r="E2233" t="n">
        <v>2</v>
      </c>
      <c r="F2233" t="n">
        <v>39</v>
      </c>
      <c r="G2233" t="n">
        <v>0</v>
      </c>
      <c r="H2233">
        <f>E2233*F2233*(1-G2233)</f>
        <v/>
      </c>
      <c r="I2233">
        <f>XLOOKUP(D2233,Products!$A$2:$A$15,Products!$B$2:$B$15,"Not found")</f>
        <v/>
      </c>
    </row>
    <row r="2234">
      <c r="A2234" t="n">
        <v>106553</v>
      </c>
      <c r="B2234" s="1" t="n">
        <v>45867</v>
      </c>
      <c r="C2234" t="inlineStr">
        <is>
          <t>S03</t>
        </is>
      </c>
      <c r="D2234" t="inlineStr">
        <is>
          <t>P101</t>
        </is>
      </c>
      <c r="E2234" t="n">
        <v>1</v>
      </c>
      <c r="F2234" t="n">
        <v>39</v>
      </c>
      <c r="G2234" t="n">
        <v>0</v>
      </c>
      <c r="H2234">
        <f>E2234*F2234*(1-G2234)</f>
        <v/>
      </c>
      <c r="I2234">
        <f>XLOOKUP(D2234,Products!$A$2:$A$15,Products!$B$2:$B$15,"Not found")</f>
        <v/>
      </c>
    </row>
    <row r="2235">
      <c r="A2235" t="n">
        <v>106554</v>
      </c>
      <c r="B2235" s="1" t="n">
        <v>45867</v>
      </c>
      <c r="C2235" t="inlineStr">
        <is>
          <t>S03</t>
        </is>
      </c>
      <c r="D2235" t="inlineStr">
        <is>
          <t>P301</t>
        </is>
      </c>
      <c r="E2235" t="n">
        <v>1</v>
      </c>
      <c r="F2235" t="n">
        <v>119</v>
      </c>
      <c r="G2235" t="n">
        <v>0.15</v>
      </c>
      <c r="H2235">
        <f>E2235*F2235*(1-G2235)</f>
        <v/>
      </c>
      <c r="I2235">
        <f>XLOOKUP(D2235,Products!$A$2:$A$15,Products!$B$2:$B$15,"Not found")</f>
        <v/>
      </c>
    </row>
    <row r="2236">
      <c r="A2236" t="n">
        <v>106555</v>
      </c>
      <c r="B2236" s="1" t="n">
        <v>45867</v>
      </c>
      <c r="C2236" t="inlineStr">
        <is>
          <t>S03</t>
        </is>
      </c>
      <c r="D2236" t="inlineStr">
        <is>
          <t>P302</t>
        </is>
      </c>
      <c r="E2236" t="n">
        <v>3</v>
      </c>
      <c r="F2236" t="n">
        <v>24</v>
      </c>
      <c r="G2236" t="n">
        <v>0.1</v>
      </c>
      <c r="H2236">
        <f>E2236*F2236*(1-G2236)</f>
        <v/>
      </c>
      <c r="I2236">
        <f>XLOOKUP(D2236,Products!$A$2:$A$15,Products!$B$2:$B$15,"Not found")</f>
        <v/>
      </c>
    </row>
    <row r="2237">
      <c r="A2237" t="n">
        <v>106556</v>
      </c>
      <c r="B2237" s="1" t="n">
        <v>45867</v>
      </c>
      <c r="C2237" t="inlineStr">
        <is>
          <t>S04</t>
        </is>
      </c>
      <c r="D2237" t="inlineStr">
        <is>
          <t>P102</t>
        </is>
      </c>
      <c r="E2237" t="n">
        <v>2</v>
      </c>
      <c r="F2237" t="n">
        <v>14.5</v>
      </c>
      <c r="G2237" t="n">
        <v>0</v>
      </c>
      <c r="H2237">
        <f>E2237*F2237*(1-G2237)</f>
        <v/>
      </c>
      <c r="I2237">
        <f>XLOOKUP(D2237,Products!$A$2:$A$15,Products!$B$2:$B$15,"Not found")</f>
        <v/>
      </c>
    </row>
    <row r="2238">
      <c r="A2238" t="n">
        <v>106557</v>
      </c>
      <c r="B2238" s="1" t="n">
        <v>45867</v>
      </c>
      <c r="C2238" t="inlineStr">
        <is>
          <t>S04</t>
        </is>
      </c>
      <c r="D2238" t="inlineStr">
        <is>
          <t>P203</t>
        </is>
      </c>
      <c r="E2238" t="n">
        <v>2</v>
      </c>
      <c r="F2238" t="n">
        <v>19.5</v>
      </c>
      <c r="G2238" t="n">
        <v>0.2</v>
      </c>
      <c r="H2238">
        <f>E2238*F2238*(1-G2238)</f>
        <v/>
      </c>
      <c r="I2238">
        <f>XLOOKUP(D2238,Products!$A$2:$A$15,Products!$B$2:$B$15,"Not found")</f>
        <v/>
      </c>
    </row>
    <row r="2239">
      <c r="A2239" t="n">
        <v>106558</v>
      </c>
      <c r="B2239" s="1" t="n">
        <v>45867</v>
      </c>
      <c r="C2239" t="inlineStr">
        <is>
          <t>S04</t>
        </is>
      </c>
      <c r="D2239" t="inlineStr">
        <is>
          <t>P302</t>
        </is>
      </c>
      <c r="E2239" t="n">
        <v>1</v>
      </c>
      <c r="F2239" t="n">
        <v>24</v>
      </c>
      <c r="G2239" t="n">
        <v>0</v>
      </c>
      <c r="H2239">
        <f>E2239*F2239*(1-G2239)</f>
        <v/>
      </c>
      <c r="I2239">
        <f>XLOOKUP(D2239,Products!$A$2:$A$15,Products!$B$2:$B$15,"Not found")</f>
        <v/>
      </c>
    </row>
    <row r="2240">
      <c r="A2240" t="n">
        <v>106559</v>
      </c>
      <c r="B2240" s="1" t="n">
        <v>45867</v>
      </c>
      <c r="C2240" t="inlineStr">
        <is>
          <t>S05</t>
        </is>
      </c>
      <c r="D2240" t="inlineStr">
        <is>
          <t>P202</t>
        </is>
      </c>
      <c r="E2240" t="n">
        <v>2</v>
      </c>
      <c r="F2240" t="n">
        <v>79</v>
      </c>
      <c r="G2240" t="n">
        <v>0</v>
      </c>
      <c r="H2240">
        <f>E2240*F2240*(1-G2240)</f>
        <v/>
      </c>
      <c r="I2240">
        <f>XLOOKUP(D2240,Products!$A$2:$A$15,Products!$B$2:$B$15,"Not found")</f>
        <v/>
      </c>
    </row>
    <row r="2241">
      <c r="A2241" t="n">
        <v>106560</v>
      </c>
      <c r="B2241" s="1" t="n">
        <v>45867</v>
      </c>
      <c r="C2241" t="inlineStr">
        <is>
          <t>S05</t>
        </is>
      </c>
      <c r="D2241" t="inlineStr">
        <is>
          <t>P302</t>
        </is>
      </c>
      <c r="E2241" t="n">
        <v>1</v>
      </c>
      <c r="F2241" t="n">
        <v>24</v>
      </c>
      <c r="G2241" t="n">
        <v>0</v>
      </c>
      <c r="H2241">
        <f>E2241*F2241*(1-G2241)</f>
        <v/>
      </c>
      <c r="I2241">
        <f>XLOOKUP(D2241,Products!$A$2:$A$15,Products!$B$2:$B$15,"Not found")</f>
        <v/>
      </c>
    </row>
    <row r="2242">
      <c r="A2242" t="n">
        <v>106561</v>
      </c>
      <c r="B2242" s="1" t="n">
        <v>45868</v>
      </c>
      <c r="C2242" t="inlineStr">
        <is>
          <t>S01</t>
        </is>
      </c>
      <c r="D2242" t="inlineStr">
        <is>
          <t>P101</t>
        </is>
      </c>
      <c r="E2242" t="n">
        <v>3</v>
      </c>
      <c r="F2242" t="n">
        <v>39</v>
      </c>
      <c r="G2242" t="n">
        <v>0.1</v>
      </c>
      <c r="H2242">
        <f>E2242*F2242*(1-G2242)</f>
        <v/>
      </c>
      <c r="I2242">
        <f>XLOOKUP(D2242,Products!$A$2:$A$15,Products!$B$2:$B$15,"Not found")</f>
        <v/>
      </c>
    </row>
    <row r="2243">
      <c r="A2243" t="n">
        <v>106562</v>
      </c>
      <c r="B2243" s="1" t="n">
        <v>45868</v>
      </c>
      <c r="C2243" t="inlineStr">
        <is>
          <t>S01</t>
        </is>
      </c>
      <c r="D2243" t="inlineStr">
        <is>
          <t>P302</t>
        </is>
      </c>
      <c r="E2243" t="n">
        <v>2</v>
      </c>
      <c r="F2243" t="n">
        <v>24</v>
      </c>
      <c r="G2243" t="n">
        <v>0.15</v>
      </c>
      <c r="H2243">
        <f>E2243*F2243*(1-G2243)</f>
        <v/>
      </c>
      <c r="I2243">
        <f>XLOOKUP(D2243,Products!$A$2:$A$15,Products!$B$2:$B$15,"Not found")</f>
        <v/>
      </c>
    </row>
    <row r="2244">
      <c r="A2244" t="n">
        <v>106563</v>
      </c>
      <c r="B2244" s="1" t="n">
        <v>45868</v>
      </c>
      <c r="C2244" t="inlineStr">
        <is>
          <t>S01</t>
        </is>
      </c>
      <c r="D2244" t="inlineStr">
        <is>
          <t>P102</t>
        </is>
      </c>
      <c r="E2244" t="n">
        <v>2</v>
      </c>
      <c r="F2244" t="n">
        <v>14.5</v>
      </c>
      <c r="G2244" t="n">
        <v>0</v>
      </c>
      <c r="H2244">
        <f>E2244*F2244*(1-G2244)</f>
        <v/>
      </c>
      <c r="I2244">
        <f>XLOOKUP(D2244,Products!$A$2:$A$15,Products!$B$2:$B$15,"Not found")</f>
        <v/>
      </c>
    </row>
    <row r="2245">
      <c r="A2245" t="n">
        <v>106564</v>
      </c>
      <c r="B2245" s="1" t="n">
        <v>45868</v>
      </c>
      <c r="C2245" t="inlineStr">
        <is>
          <t>S01</t>
        </is>
      </c>
      <c r="D2245" t="inlineStr">
        <is>
          <t>P303</t>
        </is>
      </c>
      <c r="E2245" t="n">
        <v>3</v>
      </c>
      <c r="F2245" t="n">
        <v>12</v>
      </c>
      <c r="G2245" t="n">
        <v>0</v>
      </c>
      <c r="H2245">
        <f>E2245*F2245*(1-G2245)</f>
        <v/>
      </c>
      <c r="I2245">
        <f>XLOOKUP(D2245,Products!$A$2:$A$15,Products!$B$2:$B$15,"Not found")</f>
        <v/>
      </c>
    </row>
    <row r="2246">
      <c r="A2246" t="n">
        <v>106565</v>
      </c>
      <c r="B2246" s="1" t="n">
        <v>45868</v>
      </c>
      <c r="C2246" t="inlineStr">
        <is>
          <t>S02</t>
        </is>
      </c>
      <c r="D2246" t="inlineStr">
        <is>
          <t>P302</t>
        </is>
      </c>
      <c r="E2246" t="n">
        <v>3</v>
      </c>
      <c r="F2246" t="n">
        <v>24</v>
      </c>
      <c r="G2246" t="n">
        <v>0</v>
      </c>
      <c r="H2246">
        <f>E2246*F2246*(1-G2246)</f>
        <v/>
      </c>
      <c r="I2246">
        <f>XLOOKUP(D2246,Products!$A$2:$A$15,Products!$B$2:$B$15,"Not found")</f>
        <v/>
      </c>
    </row>
    <row r="2247">
      <c r="A2247" t="n">
        <v>106566</v>
      </c>
      <c r="B2247" s="1" t="n">
        <v>45868</v>
      </c>
      <c r="C2247" t="inlineStr">
        <is>
          <t>S02</t>
        </is>
      </c>
      <c r="D2247" t="inlineStr">
        <is>
          <t>P102</t>
        </is>
      </c>
      <c r="E2247" t="n">
        <v>1</v>
      </c>
      <c r="F2247" t="n">
        <v>14.5</v>
      </c>
      <c r="G2247" t="n">
        <v>0.2</v>
      </c>
      <c r="H2247">
        <f>E2247*F2247*(1-G2247)</f>
        <v/>
      </c>
      <c r="I2247">
        <f>XLOOKUP(D2247,Products!$A$2:$A$15,Products!$B$2:$B$15,"Not found")</f>
        <v/>
      </c>
    </row>
    <row r="2248">
      <c r="A2248" t="n">
        <v>106567</v>
      </c>
      <c r="B2248" s="1" t="n">
        <v>45868</v>
      </c>
      <c r="C2248" t="inlineStr">
        <is>
          <t>S02</t>
        </is>
      </c>
      <c r="D2248" t="inlineStr">
        <is>
          <t>P303</t>
        </is>
      </c>
      <c r="E2248" t="n">
        <v>1</v>
      </c>
      <c r="F2248" t="n">
        <v>12</v>
      </c>
      <c r="G2248" t="n">
        <v>0</v>
      </c>
      <c r="H2248">
        <f>E2248*F2248*(1-G2248)</f>
        <v/>
      </c>
      <c r="I2248">
        <f>XLOOKUP(D2248,Products!$A$2:$A$15,Products!$B$2:$B$15,"Not found")</f>
        <v/>
      </c>
    </row>
    <row r="2249">
      <c r="A2249" t="n">
        <v>106568</v>
      </c>
      <c r="B2249" s="1" t="n">
        <v>45868</v>
      </c>
      <c r="C2249" t="inlineStr">
        <is>
          <t>S02</t>
        </is>
      </c>
      <c r="D2249" t="inlineStr">
        <is>
          <t>P102</t>
        </is>
      </c>
      <c r="E2249" t="n">
        <v>4</v>
      </c>
      <c r="F2249" t="n">
        <v>14.5</v>
      </c>
      <c r="G2249" t="n">
        <v>0.2</v>
      </c>
      <c r="H2249">
        <f>E2249*F2249*(1-G2249)</f>
        <v/>
      </c>
      <c r="I2249">
        <f>XLOOKUP(D2249,Products!$A$2:$A$15,Products!$B$2:$B$15,"Not found")</f>
        <v/>
      </c>
    </row>
    <row r="2250">
      <c r="A2250" t="n">
        <v>106569</v>
      </c>
      <c r="B2250" s="1" t="n">
        <v>45868</v>
      </c>
      <c r="C2250" t="inlineStr">
        <is>
          <t>S04</t>
        </is>
      </c>
      <c r="D2250" t="inlineStr">
        <is>
          <t>P102</t>
        </is>
      </c>
      <c r="E2250" t="n">
        <v>2</v>
      </c>
      <c r="F2250" t="n">
        <v>14.5</v>
      </c>
      <c r="G2250" t="n">
        <v>0.2</v>
      </c>
      <c r="H2250">
        <f>E2250*F2250*(1-G2250)</f>
        <v/>
      </c>
      <c r="I2250">
        <f>XLOOKUP(D2250,Products!$A$2:$A$15,Products!$B$2:$B$15,"Not found")</f>
        <v/>
      </c>
    </row>
    <row r="2251">
      <c r="A2251" t="n">
        <v>106570</v>
      </c>
      <c r="B2251" s="1" t="n">
        <v>45868</v>
      </c>
      <c r="C2251" t="inlineStr">
        <is>
          <t>S05</t>
        </is>
      </c>
      <c r="D2251" t="inlineStr">
        <is>
          <t>P202</t>
        </is>
      </c>
      <c r="E2251" t="n">
        <v>1</v>
      </c>
      <c r="F2251" t="n">
        <v>79</v>
      </c>
      <c r="G2251" t="n">
        <v>0</v>
      </c>
      <c r="H2251">
        <f>E2251*F2251*(1-G2251)</f>
        <v/>
      </c>
      <c r="I2251">
        <f>XLOOKUP(D2251,Products!$A$2:$A$15,Products!$B$2:$B$15,"Not found")</f>
        <v/>
      </c>
    </row>
    <row r="2252">
      <c r="A2252" t="n">
        <v>106571</v>
      </c>
      <c r="B2252" s="1" t="n">
        <v>45868</v>
      </c>
      <c r="C2252" t="inlineStr">
        <is>
          <t>S06</t>
        </is>
      </c>
      <c r="D2252" t="inlineStr">
        <is>
          <t>P103</t>
        </is>
      </c>
      <c r="E2252" t="n">
        <v>4</v>
      </c>
      <c r="F2252" t="n">
        <v>29</v>
      </c>
      <c r="G2252" t="n">
        <v>0</v>
      </c>
      <c r="H2252">
        <f>E2252*F2252*(1-G2252)</f>
        <v/>
      </c>
      <c r="I2252">
        <f>XLOOKUP(D2252,Products!$A$2:$A$15,Products!$B$2:$B$15,"Not found")</f>
        <v/>
      </c>
    </row>
    <row r="2253">
      <c r="A2253" t="n">
        <v>106572</v>
      </c>
      <c r="B2253" s="1" t="n">
        <v>45869</v>
      </c>
      <c r="C2253" t="inlineStr">
        <is>
          <t>S01</t>
        </is>
      </c>
      <c r="D2253" t="inlineStr">
        <is>
          <t>P403</t>
        </is>
      </c>
      <c r="E2253" t="n">
        <v>2</v>
      </c>
      <c r="F2253" t="n">
        <v>89</v>
      </c>
      <c r="G2253" t="n">
        <v>0.2</v>
      </c>
      <c r="H2253">
        <f>E2253*F2253*(1-G2253)</f>
        <v/>
      </c>
      <c r="I2253">
        <f>XLOOKUP(D2253,Products!$A$2:$A$15,Products!$B$2:$B$15,"Not found")</f>
        <v/>
      </c>
    </row>
    <row r="2254">
      <c r="A2254" t="n">
        <v>106573</v>
      </c>
      <c r="B2254" s="1" t="n">
        <v>45869</v>
      </c>
      <c r="C2254" t="inlineStr">
        <is>
          <t>S03</t>
        </is>
      </c>
      <c r="D2254" t="inlineStr">
        <is>
          <t>P101</t>
        </is>
      </c>
      <c r="E2254" t="n">
        <v>1</v>
      </c>
      <c r="F2254" t="n">
        <v>39</v>
      </c>
      <c r="G2254" t="n">
        <v>0</v>
      </c>
      <c r="H2254">
        <f>E2254*F2254*(1-G2254)</f>
        <v/>
      </c>
      <c r="I2254">
        <f>XLOOKUP(D2254,Products!$A$2:$A$15,Products!$B$2:$B$15,"Not found")</f>
        <v/>
      </c>
    </row>
    <row r="2255">
      <c r="A2255" t="n">
        <v>106574</v>
      </c>
      <c r="B2255" s="1" t="n">
        <v>45869</v>
      </c>
      <c r="C2255" t="inlineStr">
        <is>
          <t>S04</t>
        </is>
      </c>
      <c r="D2255" t="inlineStr">
        <is>
          <t>P103</t>
        </is>
      </c>
      <c r="E2255" t="n">
        <v>4</v>
      </c>
      <c r="F2255" t="n">
        <v>29</v>
      </c>
      <c r="G2255" t="n">
        <v>0</v>
      </c>
      <c r="H2255">
        <f>E2255*F2255*(1-G2255)</f>
        <v/>
      </c>
      <c r="I2255">
        <f>XLOOKUP(D2255,Products!$A$2:$A$15,Products!$B$2:$B$15,"Not found")</f>
        <v/>
      </c>
    </row>
    <row r="2256">
      <c r="A2256" t="n">
        <v>106575</v>
      </c>
      <c r="B2256" s="1" t="n">
        <v>45870</v>
      </c>
      <c r="C2256" t="inlineStr">
        <is>
          <t>S01</t>
        </is>
      </c>
      <c r="D2256" t="inlineStr">
        <is>
          <t>P103</t>
        </is>
      </c>
      <c r="E2256" t="n">
        <v>3</v>
      </c>
      <c r="F2256" t="n">
        <v>29</v>
      </c>
      <c r="G2256" t="n">
        <v>0.2</v>
      </c>
      <c r="H2256">
        <f>E2256*F2256*(1-G2256)</f>
        <v/>
      </c>
      <c r="I2256">
        <f>XLOOKUP(D2256,Products!$A$2:$A$15,Products!$B$2:$B$15,"Not found")</f>
        <v/>
      </c>
    </row>
    <row r="2257">
      <c r="A2257" t="n">
        <v>106576</v>
      </c>
      <c r="B2257" s="1" t="n">
        <v>45870</v>
      </c>
      <c r="C2257" t="inlineStr">
        <is>
          <t>S01</t>
        </is>
      </c>
      <c r="D2257" t="inlineStr">
        <is>
          <t>P103</t>
        </is>
      </c>
      <c r="E2257" t="n">
        <v>2</v>
      </c>
      <c r="F2257" t="n">
        <v>29</v>
      </c>
      <c r="G2257" t="n">
        <v>0.1</v>
      </c>
      <c r="H2257">
        <f>E2257*F2257*(1-G2257)</f>
        <v/>
      </c>
      <c r="I2257">
        <f>XLOOKUP(D2257,Products!$A$2:$A$15,Products!$B$2:$B$15,"Not found")</f>
        <v/>
      </c>
    </row>
    <row r="2258">
      <c r="A2258" t="n">
        <v>106577</v>
      </c>
      <c r="B2258" s="1" t="n">
        <v>45870</v>
      </c>
      <c r="C2258" t="inlineStr">
        <is>
          <t>S01</t>
        </is>
      </c>
      <c r="D2258" t="inlineStr">
        <is>
          <t>P204</t>
        </is>
      </c>
      <c r="E2258" t="n">
        <v>1</v>
      </c>
      <c r="F2258" t="n">
        <v>229</v>
      </c>
      <c r="G2258" t="n">
        <v>0.15</v>
      </c>
      <c r="H2258">
        <f>E2258*F2258*(1-G2258)</f>
        <v/>
      </c>
      <c r="I2258">
        <f>XLOOKUP(D2258,Products!$A$2:$A$15,Products!$B$2:$B$15,"Not found")</f>
        <v/>
      </c>
    </row>
    <row r="2259">
      <c r="A2259" t="n">
        <v>106578</v>
      </c>
      <c r="B2259" s="1" t="n">
        <v>45870</v>
      </c>
      <c r="C2259" t="inlineStr">
        <is>
          <t>S02</t>
        </is>
      </c>
      <c r="D2259" t="inlineStr">
        <is>
          <t>P102</t>
        </is>
      </c>
      <c r="E2259" t="n">
        <v>2</v>
      </c>
      <c r="F2259" t="n">
        <v>14.5</v>
      </c>
      <c r="G2259" t="n">
        <v>0</v>
      </c>
      <c r="H2259">
        <f>E2259*F2259*(1-G2259)</f>
        <v/>
      </c>
      <c r="I2259">
        <f>XLOOKUP(D2259,Products!$A$2:$A$15,Products!$B$2:$B$15,"Not found")</f>
        <v/>
      </c>
    </row>
    <row r="2260">
      <c r="A2260" t="n">
        <v>106579</v>
      </c>
      <c r="B2260" s="1" t="n">
        <v>45870</v>
      </c>
      <c r="C2260" t="inlineStr">
        <is>
          <t>S05</t>
        </is>
      </c>
      <c r="D2260" t="inlineStr">
        <is>
          <t>P102</t>
        </is>
      </c>
      <c r="E2260" t="n">
        <v>4</v>
      </c>
      <c r="F2260" t="n">
        <v>14.5</v>
      </c>
      <c r="G2260" t="n">
        <v>0</v>
      </c>
      <c r="H2260">
        <f>E2260*F2260*(1-G2260)</f>
        <v/>
      </c>
      <c r="I2260">
        <f>XLOOKUP(D2260,Products!$A$2:$A$15,Products!$B$2:$B$15,"Not found")</f>
        <v/>
      </c>
    </row>
    <row r="2261">
      <c r="A2261" t="n">
        <v>106580</v>
      </c>
      <c r="B2261" s="1" t="n">
        <v>45871</v>
      </c>
      <c r="C2261" t="inlineStr">
        <is>
          <t>S01</t>
        </is>
      </c>
      <c r="D2261" t="inlineStr">
        <is>
          <t>P302</t>
        </is>
      </c>
      <c r="E2261" t="n">
        <v>4</v>
      </c>
      <c r="F2261" t="n">
        <v>24</v>
      </c>
      <c r="G2261" t="n">
        <v>0.1</v>
      </c>
      <c r="H2261">
        <f>E2261*F2261*(1-G2261)</f>
        <v/>
      </c>
      <c r="I2261">
        <f>XLOOKUP(D2261,Products!$A$2:$A$15,Products!$B$2:$B$15,"Not found")</f>
        <v/>
      </c>
    </row>
    <row r="2262">
      <c r="A2262" t="n">
        <v>106581</v>
      </c>
      <c r="B2262" s="1" t="n">
        <v>45871</v>
      </c>
      <c r="C2262" t="inlineStr">
        <is>
          <t>S01</t>
        </is>
      </c>
      <c r="D2262" t="inlineStr">
        <is>
          <t>P201</t>
        </is>
      </c>
      <c r="E2262" t="n">
        <v>1</v>
      </c>
      <c r="F2262" t="n">
        <v>149</v>
      </c>
      <c r="G2262" t="n">
        <v>0</v>
      </c>
      <c r="H2262">
        <f>E2262*F2262*(1-G2262)</f>
        <v/>
      </c>
      <c r="I2262">
        <f>XLOOKUP(D2262,Products!$A$2:$A$15,Products!$B$2:$B$15,"Not found")</f>
        <v/>
      </c>
    </row>
    <row r="2263">
      <c r="A2263" t="n">
        <v>106582</v>
      </c>
      <c r="B2263" s="1" t="n">
        <v>45871</v>
      </c>
      <c r="C2263" t="inlineStr">
        <is>
          <t>S01</t>
        </is>
      </c>
      <c r="D2263" t="inlineStr">
        <is>
          <t>P101</t>
        </is>
      </c>
      <c r="E2263" t="n">
        <v>1</v>
      </c>
      <c r="F2263" t="n">
        <v>39</v>
      </c>
      <c r="G2263" t="n">
        <v>0.2</v>
      </c>
      <c r="H2263">
        <f>E2263*F2263*(1-G2263)</f>
        <v/>
      </c>
      <c r="I2263">
        <f>XLOOKUP(D2263,Products!$A$2:$A$15,Products!$B$2:$B$15,"Not found")</f>
        <v/>
      </c>
    </row>
    <row r="2264">
      <c r="A2264" t="n">
        <v>106583</v>
      </c>
      <c r="B2264" s="1" t="n">
        <v>45871</v>
      </c>
      <c r="C2264" t="inlineStr">
        <is>
          <t>S01</t>
        </is>
      </c>
      <c r="D2264" t="inlineStr">
        <is>
          <t>P104</t>
        </is>
      </c>
      <c r="E2264" t="n">
        <v>1</v>
      </c>
      <c r="F2264" t="n">
        <v>189</v>
      </c>
      <c r="G2264" t="n">
        <v>0</v>
      </c>
      <c r="H2264">
        <f>E2264*F2264*(1-G2264)</f>
        <v/>
      </c>
      <c r="I2264">
        <f>XLOOKUP(D2264,Products!$A$2:$A$15,Products!$B$2:$B$15,"Not found")</f>
        <v/>
      </c>
    </row>
    <row r="2265">
      <c r="A2265" t="n">
        <v>106584</v>
      </c>
      <c r="B2265" s="1" t="n">
        <v>45871</v>
      </c>
      <c r="C2265" t="inlineStr">
        <is>
          <t>S04</t>
        </is>
      </c>
      <c r="D2265" t="inlineStr">
        <is>
          <t>P102</t>
        </is>
      </c>
      <c r="E2265" t="n">
        <v>2</v>
      </c>
      <c r="F2265" t="n">
        <v>14.5</v>
      </c>
      <c r="G2265" t="n">
        <v>0.15</v>
      </c>
      <c r="H2265">
        <f>E2265*F2265*(1-G2265)</f>
        <v/>
      </c>
      <c r="I2265">
        <f>XLOOKUP(D2265,Products!$A$2:$A$15,Products!$B$2:$B$15,"Not found")</f>
        <v/>
      </c>
    </row>
    <row r="2266">
      <c r="A2266" t="n">
        <v>106585</v>
      </c>
      <c r="B2266" s="1" t="n">
        <v>45871</v>
      </c>
      <c r="C2266" t="inlineStr">
        <is>
          <t>S04</t>
        </is>
      </c>
      <c r="D2266" t="inlineStr">
        <is>
          <t>P203</t>
        </is>
      </c>
      <c r="E2266" t="n">
        <v>3</v>
      </c>
      <c r="F2266" t="n">
        <v>19.5</v>
      </c>
      <c r="G2266" t="n">
        <v>0.15</v>
      </c>
      <c r="H2266">
        <f>E2266*F2266*(1-G2266)</f>
        <v/>
      </c>
      <c r="I2266">
        <f>XLOOKUP(D2266,Products!$A$2:$A$15,Products!$B$2:$B$15,"Not found")</f>
        <v/>
      </c>
    </row>
    <row r="2267">
      <c r="A2267" t="n">
        <v>106586</v>
      </c>
      <c r="B2267" s="1" t="n">
        <v>45871</v>
      </c>
      <c r="C2267" t="inlineStr">
        <is>
          <t>S05</t>
        </is>
      </c>
      <c r="D2267" t="inlineStr">
        <is>
          <t>P201</t>
        </is>
      </c>
      <c r="E2267" t="n">
        <v>1</v>
      </c>
      <c r="F2267" t="n">
        <v>149</v>
      </c>
      <c r="G2267" t="n">
        <v>0</v>
      </c>
      <c r="H2267">
        <f>E2267*F2267*(1-G2267)</f>
        <v/>
      </c>
      <c r="I2267">
        <f>XLOOKUP(D2267,Products!$A$2:$A$15,Products!$B$2:$B$15,"Not found")</f>
        <v/>
      </c>
    </row>
    <row r="2268">
      <c r="A2268" t="n">
        <v>106587</v>
      </c>
      <c r="B2268" s="1" t="n">
        <v>45871</v>
      </c>
      <c r="C2268" t="inlineStr">
        <is>
          <t>S05</t>
        </is>
      </c>
      <c r="D2268" t="inlineStr">
        <is>
          <t>P102</t>
        </is>
      </c>
      <c r="E2268" t="n">
        <v>2</v>
      </c>
      <c r="F2268" t="n">
        <v>14.5</v>
      </c>
      <c r="G2268" t="n">
        <v>0.1</v>
      </c>
      <c r="H2268">
        <f>E2268*F2268*(1-G2268)</f>
        <v/>
      </c>
      <c r="I2268">
        <f>XLOOKUP(D2268,Products!$A$2:$A$15,Products!$B$2:$B$15,"Not found")</f>
        <v/>
      </c>
    </row>
    <row r="2269">
      <c r="A2269" t="n">
        <v>106588</v>
      </c>
      <c r="B2269" s="1" t="n">
        <v>45871</v>
      </c>
      <c r="C2269" t="inlineStr">
        <is>
          <t>S05</t>
        </is>
      </c>
      <c r="D2269" t="inlineStr">
        <is>
          <t>P302</t>
        </is>
      </c>
      <c r="E2269" t="n">
        <v>1</v>
      </c>
      <c r="F2269" t="n">
        <v>24</v>
      </c>
      <c r="G2269" t="n">
        <v>0</v>
      </c>
      <c r="H2269">
        <f>E2269*F2269*(1-G2269)</f>
        <v/>
      </c>
      <c r="I2269">
        <f>XLOOKUP(D2269,Products!$A$2:$A$15,Products!$B$2:$B$15,"Not found")</f>
        <v/>
      </c>
    </row>
    <row r="2270">
      <c r="A2270" t="n">
        <v>106589</v>
      </c>
      <c r="B2270" s="1" t="n">
        <v>45871</v>
      </c>
      <c r="C2270" t="inlineStr">
        <is>
          <t>S05</t>
        </is>
      </c>
      <c r="D2270" t="inlineStr">
        <is>
          <t>P101</t>
        </is>
      </c>
      <c r="E2270" t="n">
        <v>1</v>
      </c>
      <c r="F2270" t="n">
        <v>39</v>
      </c>
      <c r="G2270" t="n">
        <v>0</v>
      </c>
      <c r="H2270">
        <f>E2270*F2270*(1-G2270)</f>
        <v/>
      </c>
      <c r="I2270">
        <f>XLOOKUP(D2270,Products!$A$2:$A$15,Products!$B$2:$B$15,"Not found")</f>
        <v/>
      </c>
    </row>
    <row r="2271">
      <c r="A2271" t="n">
        <v>106590</v>
      </c>
      <c r="B2271" s="1" t="n">
        <v>45871</v>
      </c>
      <c r="C2271" t="inlineStr">
        <is>
          <t>S06</t>
        </is>
      </c>
      <c r="D2271" t="inlineStr">
        <is>
          <t>P202</t>
        </is>
      </c>
      <c r="E2271" t="n">
        <v>1</v>
      </c>
      <c r="F2271" t="n">
        <v>79</v>
      </c>
      <c r="G2271" t="n">
        <v>0</v>
      </c>
      <c r="H2271">
        <f>E2271*F2271*(1-G2271)</f>
        <v/>
      </c>
      <c r="I2271">
        <f>XLOOKUP(D2271,Products!$A$2:$A$15,Products!$B$2:$B$15,"Not found")</f>
        <v/>
      </c>
    </row>
    <row r="2272">
      <c r="A2272" t="n">
        <v>106591</v>
      </c>
      <c r="B2272" s="1" t="n">
        <v>45872</v>
      </c>
      <c r="C2272" t="inlineStr">
        <is>
          <t>S01</t>
        </is>
      </c>
      <c r="D2272" t="inlineStr">
        <is>
          <t>P203</t>
        </is>
      </c>
      <c r="E2272" t="n">
        <v>2</v>
      </c>
      <c r="F2272" t="n">
        <v>19.5</v>
      </c>
      <c r="G2272" t="n">
        <v>0.15</v>
      </c>
      <c r="H2272">
        <f>E2272*F2272*(1-G2272)</f>
        <v/>
      </c>
      <c r="I2272">
        <f>XLOOKUP(D2272,Products!$A$2:$A$15,Products!$B$2:$B$15,"Not found")</f>
        <v/>
      </c>
    </row>
    <row r="2273">
      <c r="A2273" t="n">
        <v>106592</v>
      </c>
      <c r="B2273" s="1" t="n">
        <v>45872</v>
      </c>
      <c r="C2273" t="inlineStr">
        <is>
          <t>S01</t>
        </is>
      </c>
      <c r="D2273" t="inlineStr">
        <is>
          <t>P303</t>
        </is>
      </c>
      <c r="E2273" t="n">
        <v>2</v>
      </c>
      <c r="F2273" t="n">
        <v>12</v>
      </c>
      <c r="G2273" t="n">
        <v>0</v>
      </c>
      <c r="H2273">
        <f>E2273*F2273*(1-G2273)</f>
        <v/>
      </c>
      <c r="I2273">
        <f>XLOOKUP(D2273,Products!$A$2:$A$15,Products!$B$2:$B$15,"Not found")</f>
        <v/>
      </c>
    </row>
    <row r="2274">
      <c r="A2274" t="n">
        <v>106593</v>
      </c>
      <c r="B2274" s="1" t="n">
        <v>45872</v>
      </c>
      <c r="C2274" t="inlineStr">
        <is>
          <t>S01</t>
        </is>
      </c>
      <c r="D2274" t="inlineStr">
        <is>
          <t>P203</t>
        </is>
      </c>
      <c r="E2274" t="n">
        <v>1</v>
      </c>
      <c r="F2274" t="n">
        <v>19.5</v>
      </c>
      <c r="G2274" t="n">
        <v>0.2</v>
      </c>
      <c r="H2274">
        <f>E2274*F2274*(1-G2274)</f>
        <v/>
      </c>
      <c r="I2274">
        <f>XLOOKUP(D2274,Products!$A$2:$A$15,Products!$B$2:$B$15,"Not found")</f>
        <v/>
      </c>
    </row>
    <row r="2275">
      <c r="A2275" t="n">
        <v>106594</v>
      </c>
      <c r="B2275" s="1" t="n">
        <v>45872</v>
      </c>
      <c r="C2275" t="inlineStr">
        <is>
          <t>S02</t>
        </is>
      </c>
      <c r="D2275" t="inlineStr">
        <is>
          <t>P102</t>
        </is>
      </c>
      <c r="E2275" t="n">
        <v>1</v>
      </c>
      <c r="F2275" t="n">
        <v>14.5</v>
      </c>
      <c r="G2275" t="n">
        <v>0</v>
      </c>
      <c r="H2275">
        <f>E2275*F2275*(1-G2275)</f>
        <v/>
      </c>
      <c r="I2275">
        <f>XLOOKUP(D2275,Products!$A$2:$A$15,Products!$B$2:$B$15,"Not found")</f>
        <v/>
      </c>
    </row>
    <row r="2276">
      <c r="A2276" t="n">
        <v>106595</v>
      </c>
      <c r="B2276" s="1" t="n">
        <v>45872</v>
      </c>
      <c r="C2276" t="inlineStr">
        <is>
          <t>S02</t>
        </is>
      </c>
      <c r="D2276" t="inlineStr">
        <is>
          <t>P102</t>
        </is>
      </c>
      <c r="E2276" t="n">
        <v>3</v>
      </c>
      <c r="F2276" t="n">
        <v>14.5</v>
      </c>
      <c r="G2276" t="n">
        <v>0</v>
      </c>
      <c r="H2276">
        <f>E2276*F2276*(1-G2276)</f>
        <v/>
      </c>
      <c r="I2276">
        <f>XLOOKUP(D2276,Products!$A$2:$A$15,Products!$B$2:$B$15,"Not found")</f>
        <v/>
      </c>
    </row>
    <row r="2277">
      <c r="A2277" t="n">
        <v>106596</v>
      </c>
      <c r="B2277" s="1" t="n">
        <v>45872</v>
      </c>
      <c r="C2277" t="inlineStr">
        <is>
          <t>S02</t>
        </is>
      </c>
      <c r="D2277" t="inlineStr">
        <is>
          <t>P102</t>
        </is>
      </c>
      <c r="E2277" t="n">
        <v>4</v>
      </c>
      <c r="F2277" t="n">
        <v>14.5</v>
      </c>
      <c r="G2277" t="n">
        <v>0.1</v>
      </c>
      <c r="H2277">
        <f>E2277*F2277*(1-G2277)</f>
        <v/>
      </c>
      <c r="I2277">
        <f>XLOOKUP(D2277,Products!$A$2:$A$15,Products!$B$2:$B$15,"Not found")</f>
        <v/>
      </c>
    </row>
    <row r="2278">
      <c r="A2278" t="n">
        <v>106597</v>
      </c>
      <c r="B2278" s="1" t="n">
        <v>45872</v>
      </c>
      <c r="C2278" t="inlineStr">
        <is>
          <t>S02</t>
        </is>
      </c>
      <c r="D2278" t="inlineStr">
        <is>
          <t>P101</t>
        </is>
      </c>
      <c r="E2278" t="n">
        <v>2</v>
      </c>
      <c r="F2278" t="n">
        <v>39</v>
      </c>
      <c r="G2278" t="n">
        <v>0</v>
      </c>
      <c r="H2278">
        <f>E2278*F2278*(1-G2278)</f>
        <v/>
      </c>
      <c r="I2278">
        <f>XLOOKUP(D2278,Products!$A$2:$A$15,Products!$B$2:$B$15,"Not found")</f>
        <v/>
      </c>
    </row>
    <row r="2279">
      <c r="A2279" t="n">
        <v>106598</v>
      </c>
      <c r="B2279" s="1" t="n">
        <v>45872</v>
      </c>
      <c r="C2279" t="inlineStr">
        <is>
          <t>S03</t>
        </is>
      </c>
      <c r="D2279" t="inlineStr">
        <is>
          <t>P101</t>
        </is>
      </c>
      <c r="E2279" t="n">
        <v>1</v>
      </c>
      <c r="F2279" t="n">
        <v>39</v>
      </c>
      <c r="G2279" t="n">
        <v>0</v>
      </c>
      <c r="H2279">
        <f>E2279*F2279*(1-G2279)</f>
        <v/>
      </c>
      <c r="I2279">
        <f>XLOOKUP(D2279,Products!$A$2:$A$15,Products!$B$2:$B$15,"Not found")</f>
        <v/>
      </c>
    </row>
    <row r="2280">
      <c r="A2280" t="n">
        <v>106599</v>
      </c>
      <c r="B2280" s="1" t="n">
        <v>45872</v>
      </c>
      <c r="C2280" t="inlineStr">
        <is>
          <t>S03</t>
        </is>
      </c>
      <c r="D2280" t="inlineStr">
        <is>
          <t>P103</t>
        </is>
      </c>
      <c r="E2280" t="n">
        <v>1</v>
      </c>
      <c r="F2280" t="n">
        <v>29</v>
      </c>
      <c r="G2280" t="n">
        <v>0</v>
      </c>
      <c r="H2280">
        <f>E2280*F2280*(1-G2280)</f>
        <v/>
      </c>
      <c r="I2280">
        <f>XLOOKUP(D2280,Products!$A$2:$A$15,Products!$B$2:$B$15,"Not found")</f>
        <v/>
      </c>
    </row>
    <row r="2281">
      <c r="A2281" t="n">
        <v>106600</v>
      </c>
      <c r="B2281" s="1" t="n">
        <v>45872</v>
      </c>
      <c r="C2281" t="inlineStr">
        <is>
          <t>S04</t>
        </is>
      </c>
      <c r="D2281" t="inlineStr">
        <is>
          <t>P302</t>
        </is>
      </c>
      <c r="E2281" t="n">
        <v>2</v>
      </c>
      <c r="F2281" t="n">
        <v>24</v>
      </c>
      <c r="G2281" t="n">
        <v>0</v>
      </c>
      <c r="H2281">
        <f>E2281*F2281*(1-G2281)</f>
        <v/>
      </c>
      <c r="I2281">
        <f>XLOOKUP(D2281,Products!$A$2:$A$15,Products!$B$2:$B$15,"Not found")</f>
        <v/>
      </c>
    </row>
    <row r="2282">
      <c r="A2282" t="n">
        <v>106601</v>
      </c>
      <c r="B2282" s="1" t="n">
        <v>45872</v>
      </c>
      <c r="C2282" t="inlineStr">
        <is>
          <t>S04</t>
        </is>
      </c>
      <c r="D2282" t="inlineStr">
        <is>
          <t>P204</t>
        </is>
      </c>
      <c r="E2282" t="n">
        <v>1</v>
      </c>
      <c r="F2282" t="n">
        <v>229</v>
      </c>
      <c r="G2282" t="n">
        <v>0</v>
      </c>
      <c r="H2282">
        <f>E2282*F2282*(1-G2282)</f>
        <v/>
      </c>
      <c r="I2282">
        <f>XLOOKUP(D2282,Products!$A$2:$A$15,Products!$B$2:$B$15,"Not found")</f>
        <v/>
      </c>
    </row>
    <row r="2283">
      <c r="A2283" t="n">
        <v>106602</v>
      </c>
      <c r="B2283" s="1" t="n">
        <v>45872</v>
      </c>
      <c r="C2283" t="inlineStr">
        <is>
          <t>S04</t>
        </is>
      </c>
      <c r="D2283" t="inlineStr">
        <is>
          <t>P204</t>
        </is>
      </c>
      <c r="E2283" t="n">
        <v>1</v>
      </c>
      <c r="F2283" t="n">
        <v>229</v>
      </c>
      <c r="G2283" t="n">
        <v>0</v>
      </c>
      <c r="H2283">
        <f>E2283*F2283*(1-G2283)</f>
        <v/>
      </c>
      <c r="I2283">
        <f>XLOOKUP(D2283,Products!$A$2:$A$15,Products!$B$2:$B$15,"Not found")</f>
        <v/>
      </c>
    </row>
    <row r="2284">
      <c r="A2284" t="n">
        <v>106603</v>
      </c>
      <c r="B2284" s="1" t="n">
        <v>45872</v>
      </c>
      <c r="C2284" t="inlineStr">
        <is>
          <t>S06</t>
        </is>
      </c>
      <c r="D2284" t="inlineStr">
        <is>
          <t>P102</t>
        </is>
      </c>
      <c r="E2284" t="n">
        <v>1</v>
      </c>
      <c r="F2284" t="n">
        <v>14.5</v>
      </c>
      <c r="G2284" t="n">
        <v>0</v>
      </c>
      <c r="H2284">
        <f>E2284*F2284*(1-G2284)</f>
        <v/>
      </c>
      <c r="I2284">
        <f>XLOOKUP(D2284,Products!$A$2:$A$15,Products!$B$2:$B$15,"Not found")</f>
        <v/>
      </c>
    </row>
    <row r="2285">
      <c r="A2285" t="n">
        <v>106604</v>
      </c>
      <c r="B2285" s="1" t="n">
        <v>45872</v>
      </c>
      <c r="C2285" t="inlineStr">
        <is>
          <t>S06</t>
        </is>
      </c>
      <c r="D2285" t="inlineStr">
        <is>
          <t>P402</t>
        </is>
      </c>
      <c r="E2285" t="n">
        <v>1</v>
      </c>
      <c r="F2285" t="n">
        <v>699</v>
      </c>
      <c r="G2285" t="n">
        <v>0</v>
      </c>
      <c r="H2285">
        <f>E2285*F2285*(1-G2285)</f>
        <v/>
      </c>
      <c r="I2285">
        <f>XLOOKUP(D2285,Products!$A$2:$A$15,Products!$B$2:$B$15,"Not found")</f>
        <v/>
      </c>
    </row>
    <row r="2286">
      <c r="A2286" t="n">
        <v>106605</v>
      </c>
      <c r="B2286" s="1" t="n">
        <v>45873</v>
      </c>
      <c r="C2286" t="inlineStr">
        <is>
          <t>S01</t>
        </is>
      </c>
      <c r="D2286" t="inlineStr">
        <is>
          <t>P102</t>
        </is>
      </c>
      <c r="E2286" t="n">
        <v>2</v>
      </c>
      <c r="F2286" t="n">
        <v>14.5</v>
      </c>
      <c r="G2286" t="n">
        <v>0</v>
      </c>
      <c r="H2286">
        <f>E2286*F2286*(1-G2286)</f>
        <v/>
      </c>
      <c r="I2286">
        <f>XLOOKUP(D2286,Products!$A$2:$A$15,Products!$B$2:$B$15,"Not found")</f>
        <v/>
      </c>
    </row>
    <row r="2287">
      <c r="A2287" t="n">
        <v>106606</v>
      </c>
      <c r="B2287" s="1" t="n">
        <v>45873</v>
      </c>
      <c r="C2287" t="inlineStr">
        <is>
          <t>S02</t>
        </is>
      </c>
      <c r="D2287" t="inlineStr">
        <is>
          <t>P101</t>
        </is>
      </c>
      <c r="E2287" t="n">
        <v>3</v>
      </c>
      <c r="F2287" t="n">
        <v>39</v>
      </c>
      <c r="G2287" t="n">
        <v>0.15</v>
      </c>
      <c r="H2287">
        <f>E2287*F2287*(1-G2287)</f>
        <v/>
      </c>
      <c r="I2287">
        <f>XLOOKUP(D2287,Products!$A$2:$A$15,Products!$B$2:$B$15,"Not found")</f>
        <v/>
      </c>
    </row>
    <row r="2288">
      <c r="A2288" t="n">
        <v>106607</v>
      </c>
      <c r="B2288" s="1" t="n">
        <v>45873</v>
      </c>
      <c r="C2288" t="inlineStr">
        <is>
          <t>S03</t>
        </is>
      </c>
      <c r="D2288" t="inlineStr">
        <is>
          <t>P204</t>
        </is>
      </c>
      <c r="E2288" t="n">
        <v>1</v>
      </c>
      <c r="F2288" t="n">
        <v>229</v>
      </c>
      <c r="G2288" t="n">
        <v>0</v>
      </c>
      <c r="H2288">
        <f>E2288*F2288*(1-G2288)</f>
        <v/>
      </c>
      <c r="I2288">
        <f>XLOOKUP(D2288,Products!$A$2:$A$15,Products!$B$2:$B$15,"Not found")</f>
        <v/>
      </c>
    </row>
    <row r="2289">
      <c r="A2289" t="n">
        <v>106608</v>
      </c>
      <c r="B2289" s="1" t="n">
        <v>45873</v>
      </c>
      <c r="C2289" t="inlineStr">
        <is>
          <t>S05</t>
        </is>
      </c>
      <c r="D2289" t="inlineStr">
        <is>
          <t>P302</t>
        </is>
      </c>
      <c r="E2289" t="n">
        <v>2</v>
      </c>
      <c r="F2289" t="n">
        <v>24</v>
      </c>
      <c r="G2289" t="n">
        <v>0</v>
      </c>
      <c r="H2289">
        <f>E2289*F2289*(1-G2289)</f>
        <v/>
      </c>
      <c r="I2289">
        <f>XLOOKUP(D2289,Products!$A$2:$A$15,Products!$B$2:$B$15,"Not found")</f>
        <v/>
      </c>
    </row>
    <row r="2290">
      <c r="A2290" t="n">
        <v>106609</v>
      </c>
      <c r="B2290" s="1" t="n">
        <v>45873</v>
      </c>
      <c r="C2290" t="inlineStr">
        <is>
          <t>S05</t>
        </is>
      </c>
      <c r="D2290" t="inlineStr">
        <is>
          <t>P102</t>
        </is>
      </c>
      <c r="E2290" t="n">
        <v>2</v>
      </c>
      <c r="F2290" t="n">
        <v>14.5</v>
      </c>
      <c r="G2290" t="n">
        <v>0</v>
      </c>
      <c r="H2290">
        <f>E2290*F2290*(1-G2290)</f>
        <v/>
      </c>
      <c r="I2290">
        <f>XLOOKUP(D2290,Products!$A$2:$A$15,Products!$B$2:$B$15,"Not found")</f>
        <v/>
      </c>
    </row>
    <row r="2291">
      <c r="A2291" t="n">
        <v>106610</v>
      </c>
      <c r="B2291" s="1" t="n">
        <v>45873</v>
      </c>
      <c r="C2291" t="inlineStr">
        <is>
          <t>S06</t>
        </is>
      </c>
      <c r="D2291" t="inlineStr">
        <is>
          <t>P301</t>
        </is>
      </c>
      <c r="E2291" t="n">
        <v>1</v>
      </c>
      <c r="F2291" t="n">
        <v>119</v>
      </c>
      <c r="G2291" t="n">
        <v>0</v>
      </c>
      <c r="H2291">
        <f>E2291*F2291*(1-G2291)</f>
        <v/>
      </c>
      <c r="I2291">
        <f>XLOOKUP(D2291,Products!$A$2:$A$15,Products!$B$2:$B$15,"Not found")</f>
        <v/>
      </c>
    </row>
    <row r="2292">
      <c r="A2292" t="n">
        <v>106611</v>
      </c>
      <c r="B2292" s="1" t="n">
        <v>45874</v>
      </c>
      <c r="C2292" t="inlineStr">
        <is>
          <t>S01</t>
        </is>
      </c>
      <c r="D2292" t="inlineStr">
        <is>
          <t>P202</t>
        </is>
      </c>
      <c r="E2292" t="n">
        <v>2</v>
      </c>
      <c r="F2292" t="n">
        <v>79</v>
      </c>
      <c r="G2292" t="n">
        <v>0</v>
      </c>
      <c r="H2292">
        <f>E2292*F2292*(1-G2292)</f>
        <v/>
      </c>
      <c r="I2292">
        <f>XLOOKUP(D2292,Products!$A$2:$A$15,Products!$B$2:$B$15,"Not found")</f>
        <v/>
      </c>
    </row>
    <row r="2293">
      <c r="A2293" t="n">
        <v>106612</v>
      </c>
      <c r="B2293" s="1" t="n">
        <v>45874</v>
      </c>
      <c r="C2293" t="inlineStr">
        <is>
          <t>S01</t>
        </is>
      </c>
      <c r="D2293" t="inlineStr">
        <is>
          <t>P203</t>
        </is>
      </c>
      <c r="E2293" t="n">
        <v>3</v>
      </c>
      <c r="F2293" t="n">
        <v>19.5</v>
      </c>
      <c r="G2293" t="n">
        <v>0</v>
      </c>
      <c r="H2293">
        <f>E2293*F2293*(1-G2293)</f>
        <v/>
      </c>
      <c r="I2293">
        <f>XLOOKUP(D2293,Products!$A$2:$A$15,Products!$B$2:$B$15,"Not found")</f>
        <v/>
      </c>
    </row>
    <row r="2294">
      <c r="A2294" t="n">
        <v>106613</v>
      </c>
      <c r="B2294" s="1" t="n">
        <v>45874</v>
      </c>
      <c r="C2294" t="inlineStr">
        <is>
          <t>S01</t>
        </is>
      </c>
      <c r="D2294" t="inlineStr">
        <is>
          <t>P201</t>
        </is>
      </c>
      <c r="E2294" t="n">
        <v>1</v>
      </c>
      <c r="F2294" t="n">
        <v>149</v>
      </c>
      <c r="G2294" t="n">
        <v>0.15</v>
      </c>
      <c r="H2294">
        <f>E2294*F2294*(1-G2294)</f>
        <v/>
      </c>
      <c r="I2294">
        <f>XLOOKUP(D2294,Products!$A$2:$A$15,Products!$B$2:$B$15,"Not found")</f>
        <v/>
      </c>
    </row>
    <row r="2295">
      <c r="A2295" t="n">
        <v>106614</v>
      </c>
      <c r="B2295" s="1" t="n">
        <v>45874</v>
      </c>
      <c r="C2295" t="inlineStr">
        <is>
          <t>S01</t>
        </is>
      </c>
      <c r="D2295" t="inlineStr">
        <is>
          <t>P403</t>
        </is>
      </c>
      <c r="E2295" t="n">
        <v>3</v>
      </c>
      <c r="F2295" t="n">
        <v>89</v>
      </c>
      <c r="G2295" t="n">
        <v>0.2</v>
      </c>
      <c r="H2295">
        <f>E2295*F2295*(1-G2295)</f>
        <v/>
      </c>
      <c r="I2295">
        <f>XLOOKUP(D2295,Products!$A$2:$A$15,Products!$B$2:$B$15,"Not found")</f>
        <v/>
      </c>
    </row>
    <row r="2296">
      <c r="A2296" t="n">
        <v>106615</v>
      </c>
      <c r="B2296" s="1" t="n">
        <v>45874</v>
      </c>
      <c r="C2296" t="inlineStr">
        <is>
          <t>S01</t>
        </is>
      </c>
      <c r="D2296" t="inlineStr">
        <is>
          <t>P101</t>
        </is>
      </c>
      <c r="E2296" t="n">
        <v>2</v>
      </c>
      <c r="F2296" t="n">
        <v>39</v>
      </c>
      <c r="G2296" t="n">
        <v>0.1</v>
      </c>
      <c r="H2296">
        <f>E2296*F2296*(1-G2296)</f>
        <v/>
      </c>
      <c r="I2296">
        <f>XLOOKUP(D2296,Products!$A$2:$A$15,Products!$B$2:$B$15,"Not found")</f>
        <v/>
      </c>
    </row>
    <row r="2297">
      <c r="A2297" t="n">
        <v>106616</v>
      </c>
      <c r="B2297" s="1" t="n">
        <v>45874</v>
      </c>
      <c r="C2297" t="inlineStr">
        <is>
          <t>S03</t>
        </is>
      </c>
      <c r="D2297" t="inlineStr">
        <is>
          <t>P302</t>
        </is>
      </c>
      <c r="E2297" t="n">
        <v>1</v>
      </c>
      <c r="F2297" t="n">
        <v>24</v>
      </c>
      <c r="G2297" t="n">
        <v>0</v>
      </c>
      <c r="H2297">
        <f>E2297*F2297*(1-G2297)</f>
        <v/>
      </c>
      <c r="I2297">
        <f>XLOOKUP(D2297,Products!$A$2:$A$15,Products!$B$2:$B$15,"Not found")</f>
        <v/>
      </c>
    </row>
    <row r="2298">
      <c r="A2298" t="n">
        <v>106617</v>
      </c>
      <c r="B2298" s="1" t="n">
        <v>45874</v>
      </c>
      <c r="C2298" t="inlineStr">
        <is>
          <t>S03</t>
        </is>
      </c>
      <c r="D2298" t="inlineStr">
        <is>
          <t>P102</t>
        </is>
      </c>
      <c r="E2298" t="n">
        <v>1</v>
      </c>
      <c r="F2298" t="n">
        <v>14.5</v>
      </c>
      <c r="G2298" t="n">
        <v>0.15</v>
      </c>
      <c r="H2298">
        <f>E2298*F2298*(1-G2298)</f>
        <v/>
      </c>
      <c r="I2298">
        <f>XLOOKUP(D2298,Products!$A$2:$A$15,Products!$B$2:$B$15,"Not found")</f>
        <v/>
      </c>
    </row>
    <row r="2299">
      <c r="A2299" t="n">
        <v>106618</v>
      </c>
      <c r="B2299" s="1" t="n">
        <v>45874</v>
      </c>
      <c r="C2299" t="inlineStr">
        <is>
          <t>S03</t>
        </is>
      </c>
      <c r="D2299" t="inlineStr">
        <is>
          <t>P203</t>
        </is>
      </c>
      <c r="E2299" t="n">
        <v>2</v>
      </c>
      <c r="F2299" t="n">
        <v>19.5</v>
      </c>
      <c r="G2299" t="n">
        <v>0.1</v>
      </c>
      <c r="H2299">
        <f>E2299*F2299*(1-G2299)</f>
        <v/>
      </c>
      <c r="I2299">
        <f>XLOOKUP(D2299,Products!$A$2:$A$15,Products!$B$2:$B$15,"Not found")</f>
        <v/>
      </c>
    </row>
    <row r="2300">
      <c r="A2300" t="n">
        <v>106619</v>
      </c>
      <c r="B2300" s="1" t="n">
        <v>45874</v>
      </c>
      <c r="C2300" t="inlineStr">
        <is>
          <t>S04</t>
        </is>
      </c>
      <c r="D2300" t="inlineStr">
        <is>
          <t>P303</t>
        </is>
      </c>
      <c r="E2300" t="n">
        <v>4</v>
      </c>
      <c r="F2300" t="n">
        <v>12</v>
      </c>
      <c r="G2300" t="n">
        <v>0.2</v>
      </c>
      <c r="H2300">
        <f>E2300*F2300*(1-G2300)</f>
        <v/>
      </c>
      <c r="I2300">
        <f>XLOOKUP(D2300,Products!$A$2:$A$15,Products!$B$2:$B$15,"Not found")</f>
        <v/>
      </c>
    </row>
    <row r="2301">
      <c r="A2301" t="n">
        <v>106620</v>
      </c>
      <c r="B2301" s="1" t="n">
        <v>45874</v>
      </c>
      <c r="C2301" t="inlineStr">
        <is>
          <t>S05</t>
        </is>
      </c>
      <c r="D2301" t="inlineStr">
        <is>
          <t>P101</t>
        </is>
      </c>
      <c r="E2301" t="n">
        <v>3</v>
      </c>
      <c r="F2301" t="n">
        <v>39</v>
      </c>
      <c r="G2301" t="n">
        <v>0</v>
      </c>
      <c r="H2301">
        <f>E2301*F2301*(1-G2301)</f>
        <v/>
      </c>
      <c r="I2301">
        <f>XLOOKUP(D2301,Products!$A$2:$A$15,Products!$B$2:$B$15,"Not found")</f>
        <v/>
      </c>
    </row>
    <row r="2302">
      <c r="A2302" t="n">
        <v>106621</v>
      </c>
      <c r="B2302" s="1" t="n">
        <v>45875</v>
      </c>
      <c r="C2302" t="inlineStr">
        <is>
          <t>S01</t>
        </is>
      </c>
      <c r="D2302" t="inlineStr">
        <is>
          <t>P303</t>
        </is>
      </c>
      <c r="E2302" t="n">
        <v>1</v>
      </c>
      <c r="F2302" t="n">
        <v>12</v>
      </c>
      <c r="G2302" t="n">
        <v>0</v>
      </c>
      <c r="H2302">
        <f>E2302*F2302*(1-G2302)</f>
        <v/>
      </c>
      <c r="I2302">
        <f>XLOOKUP(D2302,Products!$A$2:$A$15,Products!$B$2:$B$15,"Not found")</f>
        <v/>
      </c>
    </row>
    <row r="2303">
      <c r="A2303" t="n">
        <v>106622</v>
      </c>
      <c r="B2303" s="1" t="n">
        <v>45875</v>
      </c>
      <c r="C2303" t="inlineStr">
        <is>
          <t>S01</t>
        </is>
      </c>
      <c r="D2303" t="inlineStr">
        <is>
          <t>P302</t>
        </is>
      </c>
      <c r="E2303" t="n">
        <v>2</v>
      </c>
      <c r="F2303" t="n">
        <v>24</v>
      </c>
      <c r="G2303" t="n">
        <v>0.2</v>
      </c>
      <c r="H2303">
        <f>E2303*F2303*(1-G2303)</f>
        <v/>
      </c>
      <c r="I2303">
        <f>XLOOKUP(D2303,Products!$A$2:$A$15,Products!$B$2:$B$15,"Not found")</f>
        <v/>
      </c>
    </row>
    <row r="2304">
      <c r="A2304" t="n">
        <v>106623</v>
      </c>
      <c r="B2304" s="1" t="n">
        <v>45875</v>
      </c>
      <c r="C2304" t="inlineStr">
        <is>
          <t>S01</t>
        </is>
      </c>
      <c r="D2304" t="inlineStr">
        <is>
          <t>P101</t>
        </is>
      </c>
      <c r="E2304" t="n">
        <v>1</v>
      </c>
      <c r="F2304" t="n">
        <v>39</v>
      </c>
      <c r="G2304" t="n">
        <v>0.15</v>
      </c>
      <c r="H2304">
        <f>E2304*F2304*(1-G2304)</f>
        <v/>
      </c>
      <c r="I2304">
        <f>XLOOKUP(D2304,Products!$A$2:$A$15,Products!$B$2:$B$15,"Not found")</f>
        <v/>
      </c>
    </row>
    <row r="2305">
      <c r="A2305" t="n">
        <v>106624</v>
      </c>
      <c r="B2305" s="1" t="n">
        <v>45875</v>
      </c>
      <c r="C2305" t="inlineStr">
        <is>
          <t>S02</t>
        </is>
      </c>
      <c r="D2305" t="inlineStr">
        <is>
          <t>P102</t>
        </is>
      </c>
      <c r="E2305" t="n">
        <v>1</v>
      </c>
      <c r="F2305" t="n">
        <v>14.5</v>
      </c>
      <c r="G2305" t="n">
        <v>0.2</v>
      </c>
      <c r="H2305">
        <f>E2305*F2305*(1-G2305)</f>
        <v/>
      </c>
      <c r="I2305">
        <f>XLOOKUP(D2305,Products!$A$2:$A$15,Products!$B$2:$B$15,"Not found")</f>
        <v/>
      </c>
    </row>
    <row r="2306">
      <c r="A2306" t="n">
        <v>106625</v>
      </c>
      <c r="B2306" s="1" t="n">
        <v>45875</v>
      </c>
      <c r="C2306" t="inlineStr">
        <is>
          <t>S03</t>
        </is>
      </c>
      <c r="D2306" t="inlineStr">
        <is>
          <t>P203</t>
        </is>
      </c>
      <c r="E2306" t="n">
        <v>1</v>
      </c>
      <c r="F2306" t="n">
        <v>19.5</v>
      </c>
      <c r="G2306" t="n">
        <v>0</v>
      </c>
      <c r="H2306">
        <f>E2306*F2306*(1-G2306)</f>
        <v/>
      </c>
      <c r="I2306">
        <f>XLOOKUP(D2306,Products!$A$2:$A$15,Products!$B$2:$B$15,"Not found")</f>
        <v/>
      </c>
    </row>
    <row r="2307">
      <c r="A2307" t="n">
        <v>106626</v>
      </c>
      <c r="B2307" s="1" t="n">
        <v>45875</v>
      </c>
      <c r="C2307" t="inlineStr">
        <is>
          <t>S03</t>
        </is>
      </c>
      <c r="D2307" t="inlineStr">
        <is>
          <t>P301</t>
        </is>
      </c>
      <c r="E2307" t="n">
        <v>1</v>
      </c>
      <c r="F2307" t="n">
        <v>119</v>
      </c>
      <c r="G2307" t="n">
        <v>0.1</v>
      </c>
      <c r="H2307">
        <f>E2307*F2307*(1-G2307)</f>
        <v/>
      </c>
      <c r="I2307">
        <f>XLOOKUP(D2307,Products!$A$2:$A$15,Products!$B$2:$B$15,"Not found")</f>
        <v/>
      </c>
    </row>
    <row r="2308">
      <c r="A2308" t="n">
        <v>106627</v>
      </c>
      <c r="B2308" s="1" t="n">
        <v>45875</v>
      </c>
      <c r="C2308" t="inlineStr">
        <is>
          <t>S03</t>
        </is>
      </c>
      <c r="D2308" t="inlineStr">
        <is>
          <t>P102</t>
        </is>
      </c>
      <c r="E2308" t="n">
        <v>1</v>
      </c>
      <c r="F2308" t="n">
        <v>14.5</v>
      </c>
      <c r="G2308" t="n">
        <v>0</v>
      </c>
      <c r="H2308">
        <f>E2308*F2308*(1-G2308)</f>
        <v/>
      </c>
      <c r="I2308">
        <f>XLOOKUP(D2308,Products!$A$2:$A$15,Products!$B$2:$B$15,"Not found")</f>
        <v/>
      </c>
    </row>
    <row r="2309">
      <c r="A2309" t="n">
        <v>106628</v>
      </c>
      <c r="B2309" s="1" t="n">
        <v>45876</v>
      </c>
      <c r="C2309" t="inlineStr">
        <is>
          <t>S01</t>
        </is>
      </c>
      <c r="D2309" t="inlineStr">
        <is>
          <t>P104</t>
        </is>
      </c>
      <c r="E2309" t="n">
        <v>1</v>
      </c>
      <c r="F2309" t="n">
        <v>189</v>
      </c>
      <c r="G2309" t="n">
        <v>0</v>
      </c>
      <c r="H2309">
        <f>E2309*F2309*(1-G2309)</f>
        <v/>
      </c>
      <c r="I2309">
        <f>XLOOKUP(D2309,Products!$A$2:$A$15,Products!$B$2:$B$15,"Not found")</f>
        <v/>
      </c>
    </row>
    <row r="2310">
      <c r="A2310" t="n">
        <v>106629</v>
      </c>
      <c r="B2310" s="1" t="n">
        <v>45876</v>
      </c>
      <c r="C2310" t="inlineStr">
        <is>
          <t>S01</t>
        </is>
      </c>
      <c r="D2310" t="inlineStr">
        <is>
          <t>P102</t>
        </is>
      </c>
      <c r="E2310" t="n">
        <v>1</v>
      </c>
      <c r="F2310" t="n">
        <v>14.5</v>
      </c>
      <c r="G2310" t="n">
        <v>0</v>
      </c>
      <c r="H2310">
        <f>E2310*F2310*(1-G2310)</f>
        <v/>
      </c>
      <c r="I2310">
        <f>XLOOKUP(D2310,Products!$A$2:$A$15,Products!$B$2:$B$15,"Not found")</f>
        <v/>
      </c>
    </row>
    <row r="2311">
      <c r="A2311" t="n">
        <v>106630</v>
      </c>
      <c r="B2311" s="1" t="n">
        <v>45876</v>
      </c>
      <c r="C2311" t="inlineStr">
        <is>
          <t>S02</t>
        </is>
      </c>
      <c r="D2311" t="inlineStr">
        <is>
          <t>P101</t>
        </is>
      </c>
      <c r="E2311" t="n">
        <v>2</v>
      </c>
      <c r="F2311" t="n">
        <v>39</v>
      </c>
      <c r="G2311" t="n">
        <v>0</v>
      </c>
      <c r="H2311">
        <f>E2311*F2311*(1-G2311)</f>
        <v/>
      </c>
      <c r="I2311">
        <f>XLOOKUP(D2311,Products!$A$2:$A$15,Products!$B$2:$B$15,"Not found")</f>
        <v/>
      </c>
    </row>
    <row r="2312">
      <c r="A2312" t="n">
        <v>106631</v>
      </c>
      <c r="B2312" s="1" t="n">
        <v>45876</v>
      </c>
      <c r="C2312" t="inlineStr">
        <is>
          <t>S02</t>
        </is>
      </c>
      <c r="D2312" t="inlineStr">
        <is>
          <t>P202</t>
        </is>
      </c>
      <c r="E2312" t="n">
        <v>2</v>
      </c>
      <c r="F2312" t="n">
        <v>79</v>
      </c>
      <c r="G2312" t="n">
        <v>0.15</v>
      </c>
      <c r="H2312">
        <f>E2312*F2312*(1-G2312)</f>
        <v/>
      </c>
      <c r="I2312">
        <f>XLOOKUP(D2312,Products!$A$2:$A$15,Products!$B$2:$B$15,"Not found")</f>
        <v/>
      </c>
    </row>
    <row r="2313">
      <c r="A2313" t="n">
        <v>106632</v>
      </c>
      <c r="B2313" s="1" t="n">
        <v>45876</v>
      </c>
      <c r="C2313" t="inlineStr">
        <is>
          <t>S02</t>
        </is>
      </c>
      <c r="D2313" t="inlineStr">
        <is>
          <t>P203</t>
        </is>
      </c>
      <c r="E2313" t="n">
        <v>4</v>
      </c>
      <c r="F2313" t="n">
        <v>19.5</v>
      </c>
      <c r="G2313" t="n">
        <v>0</v>
      </c>
      <c r="H2313">
        <f>E2313*F2313*(1-G2313)</f>
        <v/>
      </c>
      <c r="I2313">
        <f>XLOOKUP(D2313,Products!$A$2:$A$15,Products!$B$2:$B$15,"Not found")</f>
        <v/>
      </c>
    </row>
    <row r="2314">
      <c r="A2314" t="n">
        <v>106633</v>
      </c>
      <c r="B2314" s="1" t="n">
        <v>45876</v>
      </c>
      <c r="C2314" t="inlineStr">
        <is>
          <t>S03</t>
        </is>
      </c>
      <c r="D2314" t="inlineStr">
        <is>
          <t>P203</t>
        </is>
      </c>
      <c r="E2314" t="n">
        <v>2</v>
      </c>
      <c r="F2314" t="n">
        <v>19.5</v>
      </c>
      <c r="G2314" t="n">
        <v>0.15</v>
      </c>
      <c r="H2314">
        <f>E2314*F2314*(1-G2314)</f>
        <v/>
      </c>
      <c r="I2314">
        <f>XLOOKUP(D2314,Products!$A$2:$A$15,Products!$B$2:$B$15,"Not found")</f>
        <v/>
      </c>
    </row>
    <row r="2315">
      <c r="A2315" t="n">
        <v>106634</v>
      </c>
      <c r="B2315" s="1" t="n">
        <v>45876</v>
      </c>
      <c r="C2315" t="inlineStr">
        <is>
          <t>S04</t>
        </is>
      </c>
      <c r="D2315" t="inlineStr">
        <is>
          <t>P201</t>
        </is>
      </c>
      <c r="E2315" t="n">
        <v>1</v>
      </c>
      <c r="F2315" t="n">
        <v>149</v>
      </c>
      <c r="G2315" t="n">
        <v>0.1</v>
      </c>
      <c r="H2315">
        <f>E2315*F2315*(1-G2315)</f>
        <v/>
      </c>
      <c r="I2315">
        <f>XLOOKUP(D2315,Products!$A$2:$A$15,Products!$B$2:$B$15,"Not found")</f>
        <v/>
      </c>
    </row>
    <row r="2316">
      <c r="A2316" t="n">
        <v>106635</v>
      </c>
      <c r="B2316" s="1" t="n">
        <v>45876</v>
      </c>
      <c r="C2316" t="inlineStr">
        <is>
          <t>S05</t>
        </is>
      </c>
      <c r="D2316" t="inlineStr">
        <is>
          <t>P302</t>
        </is>
      </c>
      <c r="E2316" t="n">
        <v>1</v>
      </c>
      <c r="F2316" t="n">
        <v>24</v>
      </c>
      <c r="G2316" t="n">
        <v>0.2</v>
      </c>
      <c r="H2316">
        <f>E2316*F2316*(1-G2316)</f>
        <v/>
      </c>
      <c r="I2316">
        <f>XLOOKUP(D2316,Products!$A$2:$A$15,Products!$B$2:$B$15,"Not found")</f>
        <v/>
      </c>
    </row>
    <row r="2317">
      <c r="A2317" t="n">
        <v>106636</v>
      </c>
      <c r="B2317" s="1" t="n">
        <v>45876</v>
      </c>
      <c r="C2317" t="inlineStr">
        <is>
          <t>S06</t>
        </is>
      </c>
      <c r="D2317" t="inlineStr">
        <is>
          <t>P102</t>
        </is>
      </c>
      <c r="E2317" t="n">
        <v>2</v>
      </c>
      <c r="F2317" t="n">
        <v>14.5</v>
      </c>
      <c r="G2317" t="n">
        <v>0</v>
      </c>
      <c r="H2317">
        <f>E2317*F2317*(1-G2317)</f>
        <v/>
      </c>
      <c r="I2317">
        <f>XLOOKUP(D2317,Products!$A$2:$A$15,Products!$B$2:$B$15,"Not found")</f>
        <v/>
      </c>
    </row>
    <row r="2318">
      <c r="A2318" t="n">
        <v>106637</v>
      </c>
      <c r="B2318" s="1" t="n">
        <v>45877</v>
      </c>
      <c r="C2318" t="inlineStr">
        <is>
          <t>S01</t>
        </is>
      </c>
      <c r="D2318" t="inlineStr">
        <is>
          <t>P301</t>
        </is>
      </c>
      <c r="E2318" t="n">
        <v>1</v>
      </c>
      <c r="F2318" t="n">
        <v>119</v>
      </c>
      <c r="G2318" t="n">
        <v>0</v>
      </c>
      <c r="H2318">
        <f>E2318*F2318*(1-G2318)</f>
        <v/>
      </c>
      <c r="I2318">
        <f>XLOOKUP(D2318,Products!$A$2:$A$15,Products!$B$2:$B$15,"Not found")</f>
        <v/>
      </c>
    </row>
    <row r="2319">
      <c r="A2319" t="n">
        <v>106638</v>
      </c>
      <c r="B2319" s="1" t="n">
        <v>45877</v>
      </c>
      <c r="C2319" t="inlineStr">
        <is>
          <t>S01</t>
        </is>
      </c>
      <c r="D2319" t="inlineStr">
        <is>
          <t>P103</t>
        </is>
      </c>
      <c r="E2319" t="n">
        <v>3</v>
      </c>
      <c r="F2319" t="n">
        <v>29</v>
      </c>
      <c r="G2319" t="n">
        <v>0</v>
      </c>
      <c r="H2319">
        <f>E2319*F2319*(1-G2319)</f>
        <v/>
      </c>
      <c r="I2319">
        <f>XLOOKUP(D2319,Products!$A$2:$A$15,Products!$B$2:$B$15,"Not found")</f>
        <v/>
      </c>
    </row>
    <row r="2320">
      <c r="A2320" t="n">
        <v>106639</v>
      </c>
      <c r="B2320" s="1" t="n">
        <v>45877</v>
      </c>
      <c r="C2320" t="inlineStr">
        <is>
          <t>S01</t>
        </is>
      </c>
      <c r="D2320" t="inlineStr">
        <is>
          <t>P202</t>
        </is>
      </c>
      <c r="E2320" t="n">
        <v>4</v>
      </c>
      <c r="F2320" t="n">
        <v>79</v>
      </c>
      <c r="G2320" t="n">
        <v>0</v>
      </c>
      <c r="H2320">
        <f>E2320*F2320*(1-G2320)</f>
        <v/>
      </c>
      <c r="I2320">
        <f>XLOOKUP(D2320,Products!$A$2:$A$15,Products!$B$2:$B$15,"Not found")</f>
        <v/>
      </c>
    </row>
    <row r="2321">
      <c r="A2321" t="n">
        <v>106640</v>
      </c>
      <c r="B2321" s="1" t="n">
        <v>45877</v>
      </c>
      <c r="C2321" t="inlineStr">
        <is>
          <t>S01</t>
        </is>
      </c>
      <c r="D2321" t="inlineStr">
        <is>
          <t>P202</t>
        </is>
      </c>
      <c r="E2321" t="n">
        <v>1</v>
      </c>
      <c r="F2321" t="n">
        <v>79</v>
      </c>
      <c r="G2321" t="n">
        <v>0</v>
      </c>
      <c r="H2321">
        <f>E2321*F2321*(1-G2321)</f>
        <v/>
      </c>
      <c r="I2321">
        <f>XLOOKUP(D2321,Products!$A$2:$A$15,Products!$B$2:$B$15,"Not found")</f>
        <v/>
      </c>
    </row>
    <row r="2322">
      <c r="A2322" t="n">
        <v>106641</v>
      </c>
      <c r="B2322" s="1" t="n">
        <v>45877</v>
      </c>
      <c r="C2322" t="inlineStr">
        <is>
          <t>S01</t>
        </is>
      </c>
      <c r="D2322" t="inlineStr">
        <is>
          <t>P303</t>
        </is>
      </c>
      <c r="E2322" t="n">
        <v>2</v>
      </c>
      <c r="F2322" t="n">
        <v>12</v>
      </c>
      <c r="G2322" t="n">
        <v>0</v>
      </c>
      <c r="H2322">
        <f>E2322*F2322*(1-G2322)</f>
        <v/>
      </c>
      <c r="I2322">
        <f>XLOOKUP(D2322,Products!$A$2:$A$15,Products!$B$2:$B$15,"Not found")</f>
        <v/>
      </c>
    </row>
    <row r="2323">
      <c r="A2323" t="n">
        <v>106642</v>
      </c>
      <c r="B2323" s="1" t="n">
        <v>45877</v>
      </c>
      <c r="C2323" t="inlineStr">
        <is>
          <t>S01</t>
        </is>
      </c>
      <c r="D2323" t="inlineStr">
        <is>
          <t>P101</t>
        </is>
      </c>
      <c r="E2323" t="n">
        <v>2</v>
      </c>
      <c r="F2323" t="n">
        <v>39</v>
      </c>
      <c r="G2323" t="n">
        <v>0</v>
      </c>
      <c r="H2323">
        <f>E2323*F2323*(1-G2323)</f>
        <v/>
      </c>
      <c r="I2323">
        <f>XLOOKUP(D2323,Products!$A$2:$A$15,Products!$B$2:$B$15,"Not found")</f>
        <v/>
      </c>
    </row>
    <row r="2324">
      <c r="A2324" t="n">
        <v>106643</v>
      </c>
      <c r="B2324" s="1" t="n">
        <v>45877</v>
      </c>
      <c r="C2324" t="inlineStr">
        <is>
          <t>S01</t>
        </is>
      </c>
      <c r="D2324" t="inlineStr">
        <is>
          <t>P301</t>
        </is>
      </c>
      <c r="E2324" t="n">
        <v>1</v>
      </c>
      <c r="F2324" t="n">
        <v>119</v>
      </c>
      <c r="G2324" t="n">
        <v>0.15</v>
      </c>
      <c r="H2324">
        <f>E2324*F2324*(1-G2324)</f>
        <v/>
      </c>
      <c r="I2324">
        <f>XLOOKUP(D2324,Products!$A$2:$A$15,Products!$B$2:$B$15,"Not found")</f>
        <v/>
      </c>
    </row>
    <row r="2325">
      <c r="A2325" t="n">
        <v>106644</v>
      </c>
      <c r="B2325" s="1" t="n">
        <v>45877</v>
      </c>
      <c r="C2325" t="inlineStr">
        <is>
          <t>S01</t>
        </is>
      </c>
      <c r="D2325" t="inlineStr">
        <is>
          <t>P102</t>
        </is>
      </c>
      <c r="E2325" t="n">
        <v>3</v>
      </c>
      <c r="F2325" t="n">
        <v>14.5</v>
      </c>
      <c r="G2325" t="n">
        <v>0.2</v>
      </c>
      <c r="H2325">
        <f>E2325*F2325*(1-G2325)</f>
        <v/>
      </c>
      <c r="I2325">
        <f>XLOOKUP(D2325,Products!$A$2:$A$15,Products!$B$2:$B$15,"Not found")</f>
        <v/>
      </c>
    </row>
    <row r="2326">
      <c r="A2326" t="n">
        <v>106645</v>
      </c>
      <c r="B2326" s="1" t="n">
        <v>45877</v>
      </c>
      <c r="C2326" t="inlineStr">
        <is>
          <t>S03</t>
        </is>
      </c>
      <c r="D2326" t="inlineStr">
        <is>
          <t>P301</t>
        </is>
      </c>
      <c r="E2326" t="n">
        <v>1</v>
      </c>
      <c r="F2326" t="n">
        <v>119</v>
      </c>
      <c r="G2326" t="n">
        <v>0</v>
      </c>
      <c r="H2326">
        <f>E2326*F2326*(1-G2326)</f>
        <v/>
      </c>
      <c r="I2326">
        <f>XLOOKUP(D2326,Products!$A$2:$A$15,Products!$B$2:$B$15,"Not found")</f>
        <v/>
      </c>
    </row>
    <row r="2327">
      <c r="A2327" t="n">
        <v>106646</v>
      </c>
      <c r="B2327" s="1" t="n">
        <v>45877</v>
      </c>
      <c r="C2327" t="inlineStr">
        <is>
          <t>S04</t>
        </is>
      </c>
      <c r="D2327" t="inlineStr">
        <is>
          <t>P101</t>
        </is>
      </c>
      <c r="E2327" t="n">
        <v>1</v>
      </c>
      <c r="F2327" t="n">
        <v>39</v>
      </c>
      <c r="G2327" t="n">
        <v>0</v>
      </c>
      <c r="H2327">
        <f>E2327*F2327*(1-G2327)</f>
        <v/>
      </c>
      <c r="I2327">
        <f>XLOOKUP(D2327,Products!$A$2:$A$15,Products!$B$2:$B$15,"Not found")</f>
        <v/>
      </c>
    </row>
    <row r="2328">
      <c r="A2328" t="n">
        <v>106647</v>
      </c>
      <c r="B2328" s="1" t="n">
        <v>45877</v>
      </c>
      <c r="C2328" t="inlineStr">
        <is>
          <t>S05</t>
        </is>
      </c>
      <c r="D2328" t="inlineStr">
        <is>
          <t>P301</t>
        </is>
      </c>
      <c r="E2328" t="n">
        <v>1</v>
      </c>
      <c r="F2328" t="n">
        <v>119</v>
      </c>
      <c r="G2328" t="n">
        <v>0</v>
      </c>
      <c r="H2328">
        <f>E2328*F2328*(1-G2328)</f>
        <v/>
      </c>
      <c r="I2328">
        <f>XLOOKUP(D2328,Products!$A$2:$A$15,Products!$B$2:$B$15,"Not found")</f>
        <v/>
      </c>
    </row>
    <row r="2329">
      <c r="A2329" t="n">
        <v>106648</v>
      </c>
      <c r="B2329" s="1" t="n">
        <v>45877</v>
      </c>
      <c r="C2329" t="inlineStr">
        <is>
          <t>S05</t>
        </is>
      </c>
      <c r="D2329" t="inlineStr">
        <is>
          <t>P301</t>
        </is>
      </c>
      <c r="E2329" t="n">
        <v>1</v>
      </c>
      <c r="F2329" t="n">
        <v>119</v>
      </c>
      <c r="G2329" t="n">
        <v>0.1</v>
      </c>
      <c r="H2329">
        <f>E2329*F2329*(1-G2329)</f>
        <v/>
      </c>
      <c r="I2329">
        <f>XLOOKUP(D2329,Products!$A$2:$A$15,Products!$B$2:$B$15,"Not found")</f>
        <v/>
      </c>
    </row>
    <row r="2330">
      <c r="A2330" t="n">
        <v>106649</v>
      </c>
      <c r="B2330" s="1" t="n">
        <v>45877</v>
      </c>
      <c r="C2330" t="inlineStr">
        <is>
          <t>S06</t>
        </is>
      </c>
      <c r="D2330" t="inlineStr">
        <is>
          <t>P101</t>
        </is>
      </c>
      <c r="E2330" t="n">
        <v>4</v>
      </c>
      <c r="F2330" t="n">
        <v>39</v>
      </c>
      <c r="G2330" t="n">
        <v>0</v>
      </c>
      <c r="H2330">
        <f>E2330*F2330*(1-G2330)</f>
        <v/>
      </c>
      <c r="I2330">
        <f>XLOOKUP(D2330,Products!$A$2:$A$15,Products!$B$2:$B$15,"Not found")</f>
        <v/>
      </c>
    </row>
    <row r="2331">
      <c r="A2331" t="n">
        <v>106650</v>
      </c>
      <c r="B2331" s="1" t="n">
        <v>45878</v>
      </c>
      <c r="C2331" t="inlineStr">
        <is>
          <t>S01</t>
        </is>
      </c>
      <c r="D2331" t="inlineStr">
        <is>
          <t>P102</t>
        </is>
      </c>
      <c r="E2331" t="n">
        <v>1</v>
      </c>
      <c r="F2331" t="n">
        <v>14.5</v>
      </c>
      <c r="G2331" t="n">
        <v>0</v>
      </c>
      <c r="H2331">
        <f>E2331*F2331*(1-G2331)</f>
        <v/>
      </c>
      <c r="I2331">
        <f>XLOOKUP(D2331,Products!$A$2:$A$15,Products!$B$2:$B$15,"Not found")</f>
        <v/>
      </c>
    </row>
    <row r="2332">
      <c r="A2332" t="n">
        <v>106651</v>
      </c>
      <c r="B2332" s="1" t="n">
        <v>45878</v>
      </c>
      <c r="C2332" t="inlineStr">
        <is>
          <t>S01</t>
        </is>
      </c>
      <c r="D2332" t="inlineStr">
        <is>
          <t>P202</t>
        </is>
      </c>
      <c r="E2332" t="n">
        <v>1</v>
      </c>
      <c r="F2332" t="n">
        <v>79</v>
      </c>
      <c r="G2332" t="n">
        <v>0.2</v>
      </c>
      <c r="H2332">
        <f>E2332*F2332*(1-G2332)</f>
        <v/>
      </c>
      <c r="I2332">
        <f>XLOOKUP(D2332,Products!$A$2:$A$15,Products!$B$2:$B$15,"Not found")</f>
        <v/>
      </c>
    </row>
    <row r="2333">
      <c r="A2333" t="n">
        <v>106652</v>
      </c>
      <c r="B2333" s="1" t="n">
        <v>45878</v>
      </c>
      <c r="C2333" t="inlineStr">
        <is>
          <t>S01</t>
        </is>
      </c>
      <c r="D2333" t="inlineStr">
        <is>
          <t>P102</t>
        </is>
      </c>
      <c r="E2333" t="n">
        <v>1</v>
      </c>
      <c r="F2333" t="n">
        <v>14.5</v>
      </c>
      <c r="G2333" t="n">
        <v>0.15</v>
      </c>
      <c r="H2333">
        <f>E2333*F2333*(1-G2333)</f>
        <v/>
      </c>
      <c r="I2333">
        <f>XLOOKUP(D2333,Products!$A$2:$A$15,Products!$B$2:$B$15,"Not found")</f>
        <v/>
      </c>
    </row>
    <row r="2334">
      <c r="A2334" t="n">
        <v>106653</v>
      </c>
      <c r="B2334" s="1" t="n">
        <v>45878</v>
      </c>
      <c r="C2334" t="inlineStr">
        <is>
          <t>S01</t>
        </is>
      </c>
      <c r="D2334" t="inlineStr">
        <is>
          <t>P101</t>
        </is>
      </c>
      <c r="E2334" t="n">
        <v>2</v>
      </c>
      <c r="F2334" t="n">
        <v>39</v>
      </c>
      <c r="G2334" t="n">
        <v>0</v>
      </c>
      <c r="H2334">
        <f>E2334*F2334*(1-G2334)</f>
        <v/>
      </c>
      <c r="I2334">
        <f>XLOOKUP(D2334,Products!$A$2:$A$15,Products!$B$2:$B$15,"Not found")</f>
        <v/>
      </c>
    </row>
    <row r="2335">
      <c r="A2335" t="n">
        <v>106654</v>
      </c>
      <c r="B2335" s="1" t="n">
        <v>45878</v>
      </c>
      <c r="C2335" t="inlineStr">
        <is>
          <t>S04</t>
        </is>
      </c>
      <c r="D2335" t="inlineStr">
        <is>
          <t>P303</t>
        </is>
      </c>
      <c r="E2335" t="n">
        <v>1</v>
      </c>
      <c r="F2335" t="n">
        <v>12</v>
      </c>
      <c r="G2335" t="n">
        <v>0.2</v>
      </c>
      <c r="H2335">
        <f>E2335*F2335*(1-G2335)</f>
        <v/>
      </c>
      <c r="I2335">
        <f>XLOOKUP(D2335,Products!$A$2:$A$15,Products!$B$2:$B$15,"Not found")</f>
        <v/>
      </c>
    </row>
    <row r="2336">
      <c r="A2336" t="n">
        <v>106655</v>
      </c>
      <c r="B2336" s="1" t="n">
        <v>45878</v>
      </c>
      <c r="C2336" t="inlineStr">
        <is>
          <t>S04</t>
        </is>
      </c>
      <c r="D2336" t="inlineStr">
        <is>
          <t>P102</t>
        </is>
      </c>
      <c r="E2336" t="n">
        <v>1</v>
      </c>
      <c r="F2336" t="n">
        <v>14.5</v>
      </c>
      <c r="G2336" t="n">
        <v>0.15</v>
      </c>
      <c r="H2336">
        <f>E2336*F2336*(1-G2336)</f>
        <v/>
      </c>
      <c r="I2336">
        <f>XLOOKUP(D2336,Products!$A$2:$A$15,Products!$B$2:$B$15,"Not found")</f>
        <v/>
      </c>
    </row>
    <row r="2337">
      <c r="A2337" t="n">
        <v>106656</v>
      </c>
      <c r="B2337" s="1" t="n">
        <v>45878</v>
      </c>
      <c r="C2337" t="inlineStr">
        <is>
          <t>S04</t>
        </is>
      </c>
      <c r="D2337" t="inlineStr">
        <is>
          <t>P104</t>
        </is>
      </c>
      <c r="E2337" t="n">
        <v>1</v>
      </c>
      <c r="F2337" t="n">
        <v>189</v>
      </c>
      <c r="G2337" t="n">
        <v>0.2</v>
      </c>
      <c r="H2337">
        <f>E2337*F2337*(1-G2337)</f>
        <v/>
      </c>
      <c r="I2337">
        <f>XLOOKUP(D2337,Products!$A$2:$A$15,Products!$B$2:$B$15,"Not found")</f>
        <v/>
      </c>
    </row>
    <row r="2338">
      <c r="A2338" t="n">
        <v>106657</v>
      </c>
      <c r="B2338" s="1" t="n">
        <v>45878</v>
      </c>
      <c r="C2338" t="inlineStr">
        <is>
          <t>S04</t>
        </is>
      </c>
      <c r="D2338" t="inlineStr">
        <is>
          <t>P302</t>
        </is>
      </c>
      <c r="E2338" t="n">
        <v>1</v>
      </c>
      <c r="F2338" t="n">
        <v>24</v>
      </c>
      <c r="G2338" t="n">
        <v>0.15</v>
      </c>
      <c r="H2338">
        <f>E2338*F2338*(1-G2338)</f>
        <v/>
      </c>
      <c r="I2338">
        <f>XLOOKUP(D2338,Products!$A$2:$A$15,Products!$B$2:$B$15,"Not found")</f>
        <v/>
      </c>
    </row>
    <row r="2339">
      <c r="A2339" t="n">
        <v>106658</v>
      </c>
      <c r="B2339" s="1" t="n">
        <v>45878</v>
      </c>
      <c r="C2339" t="inlineStr">
        <is>
          <t>S04</t>
        </is>
      </c>
      <c r="D2339" t="inlineStr">
        <is>
          <t>P103</t>
        </is>
      </c>
      <c r="E2339" t="n">
        <v>3</v>
      </c>
      <c r="F2339" t="n">
        <v>29</v>
      </c>
      <c r="G2339" t="n">
        <v>0</v>
      </c>
      <c r="H2339">
        <f>E2339*F2339*(1-G2339)</f>
        <v/>
      </c>
      <c r="I2339">
        <f>XLOOKUP(D2339,Products!$A$2:$A$15,Products!$B$2:$B$15,"Not found")</f>
        <v/>
      </c>
    </row>
    <row r="2340">
      <c r="A2340" t="n">
        <v>106659</v>
      </c>
      <c r="B2340" s="1" t="n">
        <v>45878</v>
      </c>
      <c r="C2340" t="inlineStr">
        <is>
          <t>S04</t>
        </is>
      </c>
      <c r="D2340" t="inlineStr">
        <is>
          <t>P101</t>
        </is>
      </c>
      <c r="E2340" t="n">
        <v>1</v>
      </c>
      <c r="F2340" t="n">
        <v>39</v>
      </c>
      <c r="G2340" t="n">
        <v>0</v>
      </c>
      <c r="H2340">
        <f>E2340*F2340*(1-G2340)</f>
        <v/>
      </c>
      <c r="I2340">
        <f>XLOOKUP(D2340,Products!$A$2:$A$15,Products!$B$2:$B$15,"Not found")</f>
        <v/>
      </c>
    </row>
    <row r="2341">
      <c r="A2341" t="n">
        <v>106660</v>
      </c>
      <c r="B2341" s="1" t="n">
        <v>45878</v>
      </c>
      <c r="C2341" t="inlineStr">
        <is>
          <t>S05</t>
        </is>
      </c>
      <c r="D2341" t="inlineStr">
        <is>
          <t>P203</t>
        </is>
      </c>
      <c r="E2341" t="n">
        <v>3</v>
      </c>
      <c r="F2341" t="n">
        <v>19.5</v>
      </c>
      <c r="G2341" t="n">
        <v>0</v>
      </c>
      <c r="H2341">
        <f>E2341*F2341*(1-G2341)</f>
        <v/>
      </c>
      <c r="I2341">
        <f>XLOOKUP(D2341,Products!$A$2:$A$15,Products!$B$2:$B$15,"Not found")</f>
        <v/>
      </c>
    </row>
    <row r="2342">
      <c r="A2342" t="n">
        <v>106661</v>
      </c>
      <c r="B2342" s="1" t="n">
        <v>45878</v>
      </c>
      <c r="C2342" t="inlineStr">
        <is>
          <t>S06</t>
        </is>
      </c>
      <c r="D2342" t="inlineStr">
        <is>
          <t>P102</t>
        </is>
      </c>
      <c r="E2342" t="n">
        <v>1</v>
      </c>
      <c r="F2342" t="n">
        <v>14.5</v>
      </c>
      <c r="G2342" t="n">
        <v>0</v>
      </c>
      <c r="H2342">
        <f>E2342*F2342*(1-G2342)</f>
        <v/>
      </c>
      <c r="I2342">
        <f>XLOOKUP(D2342,Products!$A$2:$A$15,Products!$B$2:$B$15,"Not found")</f>
        <v/>
      </c>
    </row>
    <row r="2343">
      <c r="A2343" t="n">
        <v>106662</v>
      </c>
      <c r="B2343" s="1" t="n">
        <v>45879</v>
      </c>
      <c r="C2343" t="inlineStr">
        <is>
          <t>S01</t>
        </is>
      </c>
      <c r="D2343" t="inlineStr">
        <is>
          <t>P201</t>
        </is>
      </c>
      <c r="E2343" t="n">
        <v>1</v>
      </c>
      <c r="F2343" t="n">
        <v>149</v>
      </c>
      <c r="G2343" t="n">
        <v>0.1</v>
      </c>
      <c r="H2343">
        <f>E2343*F2343*(1-G2343)</f>
        <v/>
      </c>
      <c r="I2343">
        <f>XLOOKUP(D2343,Products!$A$2:$A$15,Products!$B$2:$B$15,"Not found")</f>
        <v/>
      </c>
    </row>
    <row r="2344">
      <c r="A2344" t="n">
        <v>106663</v>
      </c>
      <c r="B2344" s="1" t="n">
        <v>45879</v>
      </c>
      <c r="C2344" t="inlineStr">
        <is>
          <t>S01</t>
        </is>
      </c>
      <c r="D2344" t="inlineStr">
        <is>
          <t>P102</t>
        </is>
      </c>
      <c r="E2344" t="n">
        <v>4</v>
      </c>
      <c r="F2344" t="n">
        <v>14.5</v>
      </c>
      <c r="G2344" t="n">
        <v>0.2</v>
      </c>
      <c r="H2344">
        <f>E2344*F2344*(1-G2344)</f>
        <v/>
      </c>
      <c r="I2344">
        <f>XLOOKUP(D2344,Products!$A$2:$A$15,Products!$B$2:$B$15,"Not found")</f>
        <v/>
      </c>
    </row>
    <row r="2345">
      <c r="A2345" t="n">
        <v>106664</v>
      </c>
      <c r="B2345" s="1" t="n">
        <v>45879</v>
      </c>
      <c r="C2345" t="inlineStr">
        <is>
          <t>S04</t>
        </is>
      </c>
      <c r="D2345" t="inlineStr">
        <is>
          <t>P203</t>
        </is>
      </c>
      <c r="E2345" t="n">
        <v>1</v>
      </c>
      <c r="F2345" t="n">
        <v>19.5</v>
      </c>
      <c r="G2345" t="n">
        <v>0</v>
      </c>
      <c r="H2345">
        <f>E2345*F2345*(1-G2345)</f>
        <v/>
      </c>
      <c r="I2345">
        <f>XLOOKUP(D2345,Products!$A$2:$A$15,Products!$B$2:$B$15,"Not found")</f>
        <v/>
      </c>
    </row>
    <row r="2346">
      <c r="A2346" t="n">
        <v>106665</v>
      </c>
      <c r="B2346" s="1" t="n">
        <v>45879</v>
      </c>
      <c r="C2346" t="inlineStr">
        <is>
          <t>S04</t>
        </is>
      </c>
      <c r="D2346" t="inlineStr">
        <is>
          <t>P401</t>
        </is>
      </c>
      <c r="E2346" t="n">
        <v>1</v>
      </c>
      <c r="F2346" t="n">
        <v>549</v>
      </c>
      <c r="G2346" t="n">
        <v>0</v>
      </c>
      <c r="H2346">
        <f>E2346*F2346*(1-G2346)</f>
        <v/>
      </c>
      <c r="I2346">
        <f>XLOOKUP(D2346,Products!$A$2:$A$15,Products!$B$2:$B$15,"Not found")</f>
        <v/>
      </c>
    </row>
    <row r="2347">
      <c r="A2347" t="n">
        <v>106666</v>
      </c>
      <c r="B2347" s="1" t="n">
        <v>45879</v>
      </c>
      <c r="C2347" t="inlineStr">
        <is>
          <t>S05</t>
        </is>
      </c>
      <c r="D2347" t="inlineStr">
        <is>
          <t>P302</t>
        </is>
      </c>
      <c r="E2347" t="n">
        <v>1</v>
      </c>
      <c r="F2347" t="n">
        <v>24</v>
      </c>
      <c r="G2347" t="n">
        <v>0.15</v>
      </c>
      <c r="H2347">
        <f>E2347*F2347*(1-G2347)</f>
        <v/>
      </c>
      <c r="I2347">
        <f>XLOOKUP(D2347,Products!$A$2:$A$15,Products!$B$2:$B$15,"Not found")</f>
        <v/>
      </c>
    </row>
    <row r="2348">
      <c r="A2348" t="n">
        <v>106667</v>
      </c>
      <c r="B2348" s="1" t="n">
        <v>45879</v>
      </c>
      <c r="C2348" t="inlineStr">
        <is>
          <t>S05</t>
        </is>
      </c>
      <c r="D2348" t="inlineStr">
        <is>
          <t>P103</t>
        </is>
      </c>
      <c r="E2348" t="n">
        <v>1</v>
      </c>
      <c r="F2348" t="n">
        <v>29</v>
      </c>
      <c r="G2348" t="n">
        <v>0</v>
      </c>
      <c r="H2348">
        <f>E2348*F2348*(1-G2348)</f>
        <v/>
      </c>
      <c r="I2348">
        <f>XLOOKUP(D2348,Products!$A$2:$A$15,Products!$B$2:$B$15,"Not found")</f>
        <v/>
      </c>
    </row>
    <row r="2349">
      <c r="A2349" t="n">
        <v>106668</v>
      </c>
      <c r="B2349" s="1" t="n">
        <v>45880</v>
      </c>
      <c r="C2349" t="inlineStr">
        <is>
          <t>S01</t>
        </is>
      </c>
      <c r="D2349" t="inlineStr">
        <is>
          <t>P201</t>
        </is>
      </c>
      <c r="E2349" t="n">
        <v>1</v>
      </c>
      <c r="F2349" t="n">
        <v>149</v>
      </c>
      <c r="G2349" t="n">
        <v>0.15</v>
      </c>
      <c r="H2349">
        <f>E2349*F2349*(1-G2349)</f>
        <v/>
      </c>
      <c r="I2349">
        <f>XLOOKUP(D2349,Products!$A$2:$A$15,Products!$B$2:$B$15,"Not found")</f>
        <v/>
      </c>
    </row>
    <row r="2350">
      <c r="A2350" t="n">
        <v>106669</v>
      </c>
      <c r="B2350" s="1" t="n">
        <v>45880</v>
      </c>
      <c r="C2350" t="inlineStr">
        <is>
          <t>S01</t>
        </is>
      </c>
      <c r="D2350" t="inlineStr">
        <is>
          <t>P101</t>
        </is>
      </c>
      <c r="E2350" t="n">
        <v>4</v>
      </c>
      <c r="F2350" t="n">
        <v>39</v>
      </c>
      <c r="G2350" t="n">
        <v>0</v>
      </c>
      <c r="H2350">
        <f>E2350*F2350*(1-G2350)</f>
        <v/>
      </c>
      <c r="I2350">
        <f>XLOOKUP(D2350,Products!$A$2:$A$15,Products!$B$2:$B$15,"Not found")</f>
        <v/>
      </c>
    </row>
    <row r="2351">
      <c r="A2351" t="n">
        <v>106670</v>
      </c>
      <c r="B2351" s="1" t="n">
        <v>45880</v>
      </c>
      <c r="C2351" t="inlineStr">
        <is>
          <t>S01</t>
        </is>
      </c>
      <c r="D2351" t="inlineStr">
        <is>
          <t>P102</t>
        </is>
      </c>
      <c r="E2351" t="n">
        <v>2</v>
      </c>
      <c r="F2351" t="n">
        <v>14.5</v>
      </c>
      <c r="G2351" t="n">
        <v>0</v>
      </c>
      <c r="H2351">
        <f>E2351*F2351*(1-G2351)</f>
        <v/>
      </c>
      <c r="I2351">
        <f>XLOOKUP(D2351,Products!$A$2:$A$15,Products!$B$2:$B$15,"Not found")</f>
        <v/>
      </c>
    </row>
    <row r="2352">
      <c r="A2352" t="n">
        <v>106671</v>
      </c>
      <c r="B2352" s="1" t="n">
        <v>45880</v>
      </c>
      <c r="C2352" t="inlineStr">
        <is>
          <t>S02</t>
        </is>
      </c>
      <c r="D2352" t="inlineStr">
        <is>
          <t>P103</t>
        </is>
      </c>
      <c r="E2352" t="n">
        <v>2</v>
      </c>
      <c r="F2352" t="n">
        <v>29</v>
      </c>
      <c r="G2352" t="n">
        <v>0.2</v>
      </c>
      <c r="H2352">
        <f>E2352*F2352*(1-G2352)</f>
        <v/>
      </c>
      <c r="I2352">
        <f>XLOOKUP(D2352,Products!$A$2:$A$15,Products!$B$2:$B$15,"Not found")</f>
        <v/>
      </c>
    </row>
    <row r="2353">
      <c r="A2353" t="n">
        <v>106672</v>
      </c>
      <c r="B2353" s="1" t="n">
        <v>45880</v>
      </c>
      <c r="C2353" t="inlineStr">
        <is>
          <t>S03</t>
        </is>
      </c>
      <c r="D2353" t="inlineStr">
        <is>
          <t>P103</t>
        </is>
      </c>
      <c r="E2353" t="n">
        <v>3</v>
      </c>
      <c r="F2353" t="n">
        <v>29</v>
      </c>
      <c r="G2353" t="n">
        <v>0.2</v>
      </c>
      <c r="H2353">
        <f>E2353*F2353*(1-G2353)</f>
        <v/>
      </c>
      <c r="I2353">
        <f>XLOOKUP(D2353,Products!$A$2:$A$15,Products!$B$2:$B$15,"Not found")</f>
        <v/>
      </c>
    </row>
    <row r="2354">
      <c r="A2354" t="n">
        <v>106673</v>
      </c>
      <c r="B2354" s="1" t="n">
        <v>45880</v>
      </c>
      <c r="C2354" t="inlineStr">
        <is>
          <t>S03</t>
        </is>
      </c>
      <c r="D2354" t="inlineStr">
        <is>
          <t>P202</t>
        </is>
      </c>
      <c r="E2354" t="n">
        <v>1</v>
      </c>
      <c r="F2354" t="n">
        <v>79</v>
      </c>
      <c r="G2354" t="n">
        <v>0</v>
      </c>
      <c r="H2354">
        <f>E2354*F2354*(1-G2354)</f>
        <v/>
      </c>
      <c r="I2354">
        <f>XLOOKUP(D2354,Products!$A$2:$A$15,Products!$B$2:$B$15,"Not found")</f>
        <v/>
      </c>
    </row>
    <row r="2355">
      <c r="A2355" t="n">
        <v>106674</v>
      </c>
      <c r="B2355" s="1" t="n">
        <v>45880</v>
      </c>
      <c r="C2355" t="inlineStr">
        <is>
          <t>S03</t>
        </is>
      </c>
      <c r="D2355" t="inlineStr">
        <is>
          <t>P102</t>
        </is>
      </c>
      <c r="E2355" t="n">
        <v>1</v>
      </c>
      <c r="F2355" t="n">
        <v>14.5</v>
      </c>
      <c r="G2355" t="n">
        <v>0</v>
      </c>
      <c r="H2355">
        <f>E2355*F2355*(1-G2355)</f>
        <v/>
      </c>
      <c r="I2355">
        <f>XLOOKUP(D2355,Products!$A$2:$A$15,Products!$B$2:$B$15,"Not found")</f>
        <v/>
      </c>
    </row>
    <row r="2356">
      <c r="A2356" t="n">
        <v>106675</v>
      </c>
      <c r="B2356" s="1" t="n">
        <v>45880</v>
      </c>
      <c r="C2356" t="inlineStr">
        <is>
          <t>S04</t>
        </is>
      </c>
      <c r="D2356" t="inlineStr">
        <is>
          <t>P201</t>
        </is>
      </c>
      <c r="E2356" t="n">
        <v>1</v>
      </c>
      <c r="F2356" t="n">
        <v>149</v>
      </c>
      <c r="G2356" t="n">
        <v>0.2</v>
      </c>
      <c r="H2356">
        <f>E2356*F2356*(1-G2356)</f>
        <v/>
      </c>
      <c r="I2356">
        <f>XLOOKUP(D2356,Products!$A$2:$A$15,Products!$B$2:$B$15,"Not found")</f>
        <v/>
      </c>
    </row>
    <row r="2357">
      <c r="A2357" t="n">
        <v>106676</v>
      </c>
      <c r="B2357" s="1" t="n">
        <v>45880</v>
      </c>
      <c r="C2357" t="inlineStr">
        <is>
          <t>S04</t>
        </is>
      </c>
      <c r="D2357" t="inlineStr">
        <is>
          <t>P202</t>
        </is>
      </c>
      <c r="E2357" t="n">
        <v>2</v>
      </c>
      <c r="F2357" t="n">
        <v>79</v>
      </c>
      <c r="G2357" t="n">
        <v>0</v>
      </c>
      <c r="H2357">
        <f>E2357*F2357*(1-G2357)</f>
        <v/>
      </c>
      <c r="I2357">
        <f>XLOOKUP(D2357,Products!$A$2:$A$15,Products!$B$2:$B$15,"Not found")</f>
        <v/>
      </c>
    </row>
    <row r="2358">
      <c r="A2358" t="n">
        <v>106677</v>
      </c>
      <c r="B2358" s="1" t="n">
        <v>45880</v>
      </c>
      <c r="C2358" t="inlineStr">
        <is>
          <t>S05</t>
        </is>
      </c>
      <c r="D2358" t="inlineStr">
        <is>
          <t>P403</t>
        </is>
      </c>
      <c r="E2358" t="n">
        <v>1</v>
      </c>
      <c r="F2358" t="n">
        <v>89</v>
      </c>
      <c r="G2358" t="n">
        <v>0.1</v>
      </c>
      <c r="H2358">
        <f>E2358*F2358*(1-G2358)</f>
        <v/>
      </c>
      <c r="I2358">
        <f>XLOOKUP(D2358,Products!$A$2:$A$15,Products!$B$2:$B$15,"Not found")</f>
        <v/>
      </c>
    </row>
    <row r="2359">
      <c r="A2359" t="n">
        <v>106678</v>
      </c>
      <c r="B2359" s="1" t="n">
        <v>45880</v>
      </c>
      <c r="C2359" t="inlineStr">
        <is>
          <t>S05</t>
        </is>
      </c>
      <c r="D2359" t="inlineStr">
        <is>
          <t>P203</t>
        </is>
      </c>
      <c r="E2359" t="n">
        <v>1</v>
      </c>
      <c r="F2359" t="n">
        <v>19.5</v>
      </c>
      <c r="G2359" t="n">
        <v>0</v>
      </c>
      <c r="H2359">
        <f>E2359*F2359*(1-G2359)</f>
        <v/>
      </c>
      <c r="I2359">
        <f>XLOOKUP(D2359,Products!$A$2:$A$15,Products!$B$2:$B$15,"Not found")</f>
        <v/>
      </c>
    </row>
    <row r="2360">
      <c r="A2360" t="n">
        <v>106679</v>
      </c>
      <c r="B2360" s="1" t="n">
        <v>45880</v>
      </c>
      <c r="C2360" t="inlineStr">
        <is>
          <t>S06</t>
        </is>
      </c>
      <c r="D2360" t="inlineStr">
        <is>
          <t>P203</t>
        </is>
      </c>
      <c r="E2360" t="n">
        <v>1</v>
      </c>
      <c r="F2360" t="n">
        <v>19.5</v>
      </c>
      <c r="G2360" t="n">
        <v>0.2</v>
      </c>
      <c r="H2360">
        <f>E2360*F2360*(1-G2360)</f>
        <v/>
      </c>
      <c r="I2360">
        <f>XLOOKUP(D2360,Products!$A$2:$A$15,Products!$B$2:$B$15,"Not found")</f>
        <v/>
      </c>
    </row>
    <row r="2361">
      <c r="A2361" t="n">
        <v>106680</v>
      </c>
      <c r="B2361" s="1" t="n">
        <v>45880</v>
      </c>
      <c r="C2361" t="inlineStr">
        <is>
          <t>S06</t>
        </is>
      </c>
      <c r="D2361" t="inlineStr">
        <is>
          <t>P301</t>
        </is>
      </c>
      <c r="E2361" t="n">
        <v>1</v>
      </c>
      <c r="F2361" t="n">
        <v>119</v>
      </c>
      <c r="G2361" t="n">
        <v>0.15</v>
      </c>
      <c r="H2361">
        <f>E2361*F2361*(1-G2361)</f>
        <v/>
      </c>
      <c r="I2361">
        <f>XLOOKUP(D2361,Products!$A$2:$A$15,Products!$B$2:$B$15,"Not found")</f>
        <v/>
      </c>
    </row>
    <row r="2362">
      <c r="A2362" t="n">
        <v>106681</v>
      </c>
      <c r="B2362" s="1" t="n">
        <v>45881</v>
      </c>
      <c r="C2362" t="inlineStr">
        <is>
          <t>S01</t>
        </is>
      </c>
      <c r="D2362" t="inlineStr">
        <is>
          <t>P101</t>
        </is>
      </c>
      <c r="E2362" t="n">
        <v>3</v>
      </c>
      <c r="F2362" t="n">
        <v>39</v>
      </c>
      <c r="G2362" t="n">
        <v>0</v>
      </c>
      <c r="H2362">
        <f>E2362*F2362*(1-G2362)</f>
        <v/>
      </c>
      <c r="I2362">
        <f>XLOOKUP(D2362,Products!$A$2:$A$15,Products!$B$2:$B$15,"Not found")</f>
        <v/>
      </c>
    </row>
    <row r="2363">
      <c r="A2363" t="n">
        <v>106682</v>
      </c>
      <c r="B2363" s="1" t="n">
        <v>45881</v>
      </c>
      <c r="C2363" t="inlineStr">
        <is>
          <t>S01</t>
        </is>
      </c>
      <c r="D2363" t="inlineStr">
        <is>
          <t>P101</t>
        </is>
      </c>
      <c r="E2363" t="n">
        <v>1</v>
      </c>
      <c r="F2363" t="n">
        <v>39</v>
      </c>
      <c r="G2363" t="n">
        <v>0.15</v>
      </c>
      <c r="H2363">
        <f>E2363*F2363*(1-G2363)</f>
        <v/>
      </c>
      <c r="I2363">
        <f>XLOOKUP(D2363,Products!$A$2:$A$15,Products!$B$2:$B$15,"Not found")</f>
        <v/>
      </c>
    </row>
    <row r="2364">
      <c r="A2364" t="n">
        <v>106683</v>
      </c>
      <c r="B2364" s="1" t="n">
        <v>45881</v>
      </c>
      <c r="C2364" t="inlineStr">
        <is>
          <t>S01</t>
        </is>
      </c>
      <c r="D2364" t="inlineStr">
        <is>
          <t>P101</t>
        </is>
      </c>
      <c r="E2364" t="n">
        <v>4</v>
      </c>
      <c r="F2364" t="n">
        <v>39</v>
      </c>
      <c r="G2364" t="n">
        <v>0.2</v>
      </c>
      <c r="H2364">
        <f>E2364*F2364*(1-G2364)</f>
        <v/>
      </c>
      <c r="I2364">
        <f>XLOOKUP(D2364,Products!$A$2:$A$15,Products!$B$2:$B$15,"Not found")</f>
        <v/>
      </c>
    </row>
    <row r="2365">
      <c r="A2365" t="n">
        <v>106684</v>
      </c>
      <c r="B2365" s="1" t="n">
        <v>45881</v>
      </c>
      <c r="C2365" t="inlineStr">
        <is>
          <t>S03</t>
        </is>
      </c>
      <c r="D2365" t="inlineStr">
        <is>
          <t>P104</t>
        </is>
      </c>
      <c r="E2365" t="n">
        <v>1</v>
      </c>
      <c r="F2365" t="n">
        <v>189</v>
      </c>
      <c r="G2365" t="n">
        <v>0.2</v>
      </c>
      <c r="H2365">
        <f>E2365*F2365*(1-G2365)</f>
        <v/>
      </c>
      <c r="I2365">
        <f>XLOOKUP(D2365,Products!$A$2:$A$15,Products!$B$2:$B$15,"Not found")</f>
        <v/>
      </c>
    </row>
    <row r="2366">
      <c r="A2366" t="n">
        <v>106685</v>
      </c>
      <c r="B2366" s="1" t="n">
        <v>45881</v>
      </c>
      <c r="C2366" t="inlineStr">
        <is>
          <t>S03</t>
        </is>
      </c>
      <c r="D2366" t="inlineStr">
        <is>
          <t>P203</t>
        </is>
      </c>
      <c r="E2366" t="n">
        <v>3</v>
      </c>
      <c r="F2366" t="n">
        <v>19.5</v>
      </c>
      <c r="G2366" t="n">
        <v>0</v>
      </c>
      <c r="H2366">
        <f>E2366*F2366*(1-G2366)</f>
        <v/>
      </c>
      <c r="I2366">
        <f>XLOOKUP(D2366,Products!$A$2:$A$15,Products!$B$2:$B$15,"Not found")</f>
        <v/>
      </c>
    </row>
    <row r="2367">
      <c r="A2367" t="n">
        <v>106686</v>
      </c>
      <c r="B2367" s="1" t="n">
        <v>45881</v>
      </c>
      <c r="C2367" t="inlineStr">
        <is>
          <t>S05</t>
        </is>
      </c>
      <c r="D2367" t="inlineStr">
        <is>
          <t>P101</t>
        </is>
      </c>
      <c r="E2367" t="n">
        <v>1</v>
      </c>
      <c r="F2367" t="n">
        <v>39</v>
      </c>
      <c r="G2367" t="n">
        <v>0</v>
      </c>
      <c r="H2367">
        <f>E2367*F2367*(1-G2367)</f>
        <v/>
      </c>
      <c r="I2367">
        <f>XLOOKUP(D2367,Products!$A$2:$A$15,Products!$B$2:$B$15,"Not found")</f>
        <v/>
      </c>
    </row>
    <row r="2368">
      <c r="A2368" t="n">
        <v>106687</v>
      </c>
      <c r="B2368" s="1" t="n">
        <v>45881</v>
      </c>
      <c r="C2368" t="inlineStr">
        <is>
          <t>S05</t>
        </is>
      </c>
      <c r="D2368" t="inlineStr">
        <is>
          <t>P101</t>
        </is>
      </c>
      <c r="E2368" t="n">
        <v>3</v>
      </c>
      <c r="F2368" t="n">
        <v>39</v>
      </c>
      <c r="G2368" t="n">
        <v>0</v>
      </c>
      <c r="H2368">
        <f>E2368*F2368*(1-G2368)</f>
        <v/>
      </c>
      <c r="I2368">
        <f>XLOOKUP(D2368,Products!$A$2:$A$15,Products!$B$2:$B$15,"Not found")</f>
        <v/>
      </c>
    </row>
    <row r="2369">
      <c r="A2369" t="n">
        <v>106688</v>
      </c>
      <c r="B2369" s="1" t="n">
        <v>45881</v>
      </c>
      <c r="C2369" t="inlineStr">
        <is>
          <t>S06</t>
        </is>
      </c>
      <c r="D2369" t="inlineStr">
        <is>
          <t>P303</t>
        </is>
      </c>
      <c r="E2369" t="n">
        <v>1</v>
      </c>
      <c r="F2369" t="n">
        <v>12</v>
      </c>
      <c r="G2369" t="n">
        <v>0.1</v>
      </c>
      <c r="H2369">
        <f>E2369*F2369*(1-G2369)</f>
        <v/>
      </c>
      <c r="I2369">
        <f>XLOOKUP(D2369,Products!$A$2:$A$15,Products!$B$2:$B$15,"Not found")</f>
        <v/>
      </c>
    </row>
    <row r="2370">
      <c r="A2370" t="n">
        <v>106689</v>
      </c>
      <c r="B2370" s="1" t="n">
        <v>45882</v>
      </c>
      <c r="C2370" t="inlineStr">
        <is>
          <t>S01</t>
        </is>
      </c>
      <c r="D2370" t="inlineStr">
        <is>
          <t>P302</t>
        </is>
      </c>
      <c r="E2370" t="n">
        <v>3</v>
      </c>
      <c r="F2370" t="n">
        <v>24</v>
      </c>
      <c r="G2370" t="n">
        <v>0.2</v>
      </c>
      <c r="H2370">
        <f>E2370*F2370*(1-G2370)</f>
        <v/>
      </c>
      <c r="I2370">
        <f>XLOOKUP(D2370,Products!$A$2:$A$15,Products!$B$2:$B$15,"Not found")</f>
        <v/>
      </c>
    </row>
    <row r="2371">
      <c r="A2371" t="n">
        <v>106690</v>
      </c>
      <c r="B2371" s="1" t="n">
        <v>45882</v>
      </c>
      <c r="C2371" t="inlineStr">
        <is>
          <t>S01</t>
        </is>
      </c>
      <c r="D2371" t="inlineStr">
        <is>
          <t>P303</t>
        </is>
      </c>
      <c r="E2371" t="n">
        <v>2</v>
      </c>
      <c r="F2371" t="n">
        <v>12</v>
      </c>
      <c r="G2371" t="n">
        <v>0.1</v>
      </c>
      <c r="H2371">
        <f>E2371*F2371*(1-G2371)</f>
        <v/>
      </c>
      <c r="I2371">
        <f>XLOOKUP(D2371,Products!$A$2:$A$15,Products!$B$2:$B$15,"Not found")</f>
        <v/>
      </c>
    </row>
    <row r="2372">
      <c r="A2372" t="n">
        <v>106691</v>
      </c>
      <c r="B2372" s="1" t="n">
        <v>45882</v>
      </c>
      <c r="C2372" t="inlineStr">
        <is>
          <t>S02</t>
        </is>
      </c>
      <c r="D2372" t="inlineStr">
        <is>
          <t>P102</t>
        </is>
      </c>
      <c r="E2372" t="n">
        <v>2</v>
      </c>
      <c r="F2372" t="n">
        <v>14.5</v>
      </c>
      <c r="G2372" t="n">
        <v>0.1</v>
      </c>
      <c r="H2372">
        <f>E2372*F2372*(1-G2372)</f>
        <v/>
      </c>
      <c r="I2372">
        <f>XLOOKUP(D2372,Products!$A$2:$A$15,Products!$B$2:$B$15,"Not found")</f>
        <v/>
      </c>
    </row>
    <row r="2373">
      <c r="A2373" t="n">
        <v>106692</v>
      </c>
      <c r="B2373" s="1" t="n">
        <v>45882</v>
      </c>
      <c r="C2373" t="inlineStr">
        <is>
          <t>S03</t>
        </is>
      </c>
      <c r="D2373" t="inlineStr">
        <is>
          <t>P103</t>
        </is>
      </c>
      <c r="E2373" t="n">
        <v>2</v>
      </c>
      <c r="F2373" t="n">
        <v>29</v>
      </c>
      <c r="G2373" t="n">
        <v>0</v>
      </c>
      <c r="H2373">
        <f>E2373*F2373*(1-G2373)</f>
        <v/>
      </c>
      <c r="I2373">
        <f>XLOOKUP(D2373,Products!$A$2:$A$15,Products!$B$2:$B$15,"Not found")</f>
        <v/>
      </c>
    </row>
    <row r="2374">
      <c r="A2374" t="n">
        <v>106693</v>
      </c>
      <c r="B2374" s="1" t="n">
        <v>45882</v>
      </c>
      <c r="C2374" t="inlineStr">
        <is>
          <t>S05</t>
        </is>
      </c>
      <c r="D2374" t="inlineStr">
        <is>
          <t>P303</t>
        </is>
      </c>
      <c r="E2374" t="n">
        <v>3</v>
      </c>
      <c r="F2374" t="n">
        <v>12</v>
      </c>
      <c r="G2374" t="n">
        <v>0</v>
      </c>
      <c r="H2374">
        <f>E2374*F2374*(1-G2374)</f>
        <v/>
      </c>
      <c r="I2374">
        <f>XLOOKUP(D2374,Products!$A$2:$A$15,Products!$B$2:$B$15,"Not found")</f>
        <v/>
      </c>
    </row>
    <row r="2375">
      <c r="A2375" t="n">
        <v>106694</v>
      </c>
      <c r="B2375" s="1" t="n">
        <v>45882</v>
      </c>
      <c r="C2375" t="inlineStr">
        <is>
          <t>S06</t>
        </is>
      </c>
      <c r="D2375" t="inlineStr">
        <is>
          <t>P302</t>
        </is>
      </c>
      <c r="E2375" t="n">
        <v>2</v>
      </c>
      <c r="F2375" t="n">
        <v>24</v>
      </c>
      <c r="G2375" t="n">
        <v>0</v>
      </c>
      <c r="H2375">
        <f>E2375*F2375*(1-G2375)</f>
        <v/>
      </c>
      <c r="I2375">
        <f>XLOOKUP(D2375,Products!$A$2:$A$15,Products!$B$2:$B$15,"Not found")</f>
        <v/>
      </c>
    </row>
    <row r="2376">
      <c r="A2376" t="n">
        <v>106695</v>
      </c>
      <c r="B2376" s="1" t="n">
        <v>45882</v>
      </c>
      <c r="C2376" t="inlineStr">
        <is>
          <t>S06</t>
        </is>
      </c>
      <c r="D2376" t="inlineStr">
        <is>
          <t>P102</t>
        </is>
      </c>
      <c r="E2376" t="n">
        <v>1</v>
      </c>
      <c r="F2376" t="n">
        <v>14.5</v>
      </c>
      <c r="G2376" t="n">
        <v>0.15</v>
      </c>
      <c r="H2376">
        <f>E2376*F2376*(1-G2376)</f>
        <v/>
      </c>
      <c r="I2376">
        <f>XLOOKUP(D2376,Products!$A$2:$A$15,Products!$B$2:$B$15,"Not found")</f>
        <v/>
      </c>
    </row>
    <row r="2377">
      <c r="A2377" t="n">
        <v>106696</v>
      </c>
      <c r="B2377" s="1" t="n">
        <v>45883</v>
      </c>
      <c r="C2377" t="inlineStr">
        <is>
          <t>S01</t>
        </is>
      </c>
      <c r="D2377" t="inlineStr">
        <is>
          <t>P202</t>
        </is>
      </c>
      <c r="E2377" t="n">
        <v>2</v>
      </c>
      <c r="F2377" t="n">
        <v>79</v>
      </c>
      <c r="G2377" t="n">
        <v>0</v>
      </c>
      <c r="H2377">
        <f>E2377*F2377*(1-G2377)</f>
        <v/>
      </c>
      <c r="I2377">
        <f>XLOOKUP(D2377,Products!$A$2:$A$15,Products!$B$2:$B$15,"Not found")</f>
        <v/>
      </c>
    </row>
    <row r="2378">
      <c r="A2378" t="n">
        <v>106697</v>
      </c>
      <c r="B2378" s="1" t="n">
        <v>45883</v>
      </c>
      <c r="C2378" t="inlineStr">
        <is>
          <t>S03</t>
        </is>
      </c>
      <c r="D2378" t="inlineStr">
        <is>
          <t>P102</t>
        </is>
      </c>
      <c r="E2378" t="n">
        <v>4</v>
      </c>
      <c r="F2378" t="n">
        <v>14.5</v>
      </c>
      <c r="G2378" t="n">
        <v>0.1</v>
      </c>
      <c r="H2378">
        <f>E2378*F2378*(1-G2378)</f>
        <v/>
      </c>
      <c r="I2378">
        <f>XLOOKUP(D2378,Products!$A$2:$A$15,Products!$B$2:$B$15,"Not found")</f>
        <v/>
      </c>
    </row>
    <row r="2379">
      <c r="A2379" t="n">
        <v>106698</v>
      </c>
      <c r="B2379" s="1" t="n">
        <v>45883</v>
      </c>
      <c r="C2379" t="inlineStr">
        <is>
          <t>S03</t>
        </is>
      </c>
      <c r="D2379" t="inlineStr">
        <is>
          <t>P202</t>
        </is>
      </c>
      <c r="E2379" t="n">
        <v>3</v>
      </c>
      <c r="F2379" t="n">
        <v>79</v>
      </c>
      <c r="G2379" t="n">
        <v>0</v>
      </c>
      <c r="H2379">
        <f>E2379*F2379*(1-G2379)</f>
        <v/>
      </c>
      <c r="I2379">
        <f>XLOOKUP(D2379,Products!$A$2:$A$15,Products!$B$2:$B$15,"Not found")</f>
        <v/>
      </c>
    </row>
    <row r="2380">
      <c r="A2380" t="n">
        <v>106699</v>
      </c>
      <c r="B2380" s="1" t="n">
        <v>45883</v>
      </c>
      <c r="C2380" t="inlineStr">
        <is>
          <t>S03</t>
        </is>
      </c>
      <c r="D2380" t="inlineStr">
        <is>
          <t>P403</t>
        </is>
      </c>
      <c r="E2380" t="n">
        <v>1</v>
      </c>
      <c r="F2380" t="n">
        <v>89</v>
      </c>
      <c r="G2380" t="n">
        <v>0</v>
      </c>
      <c r="H2380">
        <f>E2380*F2380*(1-G2380)</f>
        <v/>
      </c>
      <c r="I2380">
        <f>XLOOKUP(D2380,Products!$A$2:$A$15,Products!$B$2:$B$15,"Not found")</f>
        <v/>
      </c>
    </row>
    <row r="2381">
      <c r="A2381" t="n">
        <v>106700</v>
      </c>
      <c r="B2381" s="1" t="n">
        <v>45883</v>
      </c>
      <c r="C2381" t="inlineStr">
        <is>
          <t>S04</t>
        </is>
      </c>
      <c r="D2381" t="inlineStr">
        <is>
          <t>P303</t>
        </is>
      </c>
      <c r="E2381" t="n">
        <v>2</v>
      </c>
      <c r="F2381" t="n">
        <v>12</v>
      </c>
      <c r="G2381" t="n">
        <v>0</v>
      </c>
      <c r="H2381">
        <f>E2381*F2381*(1-G2381)</f>
        <v/>
      </c>
      <c r="I2381">
        <f>XLOOKUP(D2381,Products!$A$2:$A$15,Products!$B$2:$B$15,"Not found")</f>
        <v/>
      </c>
    </row>
    <row r="2382">
      <c r="A2382" t="n">
        <v>106701</v>
      </c>
      <c r="B2382" s="1" t="n">
        <v>45883</v>
      </c>
      <c r="C2382" t="inlineStr">
        <is>
          <t>S06</t>
        </is>
      </c>
      <c r="D2382" t="inlineStr">
        <is>
          <t>P102</t>
        </is>
      </c>
      <c r="E2382" t="n">
        <v>1</v>
      </c>
      <c r="F2382" t="n">
        <v>14.5</v>
      </c>
      <c r="G2382" t="n">
        <v>0.1</v>
      </c>
      <c r="H2382">
        <f>E2382*F2382*(1-G2382)</f>
        <v/>
      </c>
      <c r="I2382">
        <f>XLOOKUP(D2382,Products!$A$2:$A$15,Products!$B$2:$B$15,"Not found")</f>
        <v/>
      </c>
    </row>
    <row r="2383">
      <c r="A2383" t="n">
        <v>106702</v>
      </c>
      <c r="B2383" s="1" t="n">
        <v>45883</v>
      </c>
      <c r="C2383" t="inlineStr">
        <is>
          <t>S06</t>
        </is>
      </c>
      <c r="D2383" t="inlineStr">
        <is>
          <t>P101</t>
        </is>
      </c>
      <c r="E2383" t="n">
        <v>1</v>
      </c>
      <c r="F2383" t="n">
        <v>39</v>
      </c>
      <c r="G2383" t="n">
        <v>0</v>
      </c>
      <c r="H2383">
        <f>E2383*F2383*(1-G2383)</f>
        <v/>
      </c>
      <c r="I2383">
        <f>XLOOKUP(D2383,Products!$A$2:$A$15,Products!$B$2:$B$15,"Not found")</f>
        <v/>
      </c>
    </row>
    <row r="2384">
      <c r="A2384" t="n">
        <v>106703</v>
      </c>
      <c r="B2384" s="1" t="n">
        <v>45884</v>
      </c>
      <c r="C2384" t="inlineStr">
        <is>
          <t>S01</t>
        </is>
      </c>
      <c r="D2384" t="inlineStr">
        <is>
          <t>P101</t>
        </is>
      </c>
      <c r="E2384" t="n">
        <v>1</v>
      </c>
      <c r="F2384" t="n">
        <v>39</v>
      </c>
      <c r="G2384" t="n">
        <v>0.15</v>
      </c>
      <c r="H2384">
        <f>E2384*F2384*(1-G2384)</f>
        <v/>
      </c>
      <c r="I2384">
        <f>XLOOKUP(D2384,Products!$A$2:$A$15,Products!$B$2:$B$15,"Not found")</f>
        <v/>
      </c>
    </row>
    <row r="2385">
      <c r="A2385" t="n">
        <v>106704</v>
      </c>
      <c r="B2385" s="1" t="n">
        <v>45884</v>
      </c>
      <c r="C2385" t="inlineStr">
        <is>
          <t>S01</t>
        </is>
      </c>
      <c r="D2385" t="inlineStr">
        <is>
          <t>P203</t>
        </is>
      </c>
      <c r="E2385" t="n">
        <v>4</v>
      </c>
      <c r="F2385" t="n">
        <v>19.5</v>
      </c>
      <c r="G2385" t="n">
        <v>0</v>
      </c>
      <c r="H2385">
        <f>E2385*F2385*(1-G2385)</f>
        <v/>
      </c>
      <c r="I2385">
        <f>XLOOKUP(D2385,Products!$A$2:$A$15,Products!$B$2:$B$15,"Not found")</f>
        <v/>
      </c>
    </row>
    <row r="2386">
      <c r="A2386" t="n">
        <v>106705</v>
      </c>
      <c r="B2386" s="1" t="n">
        <v>45884</v>
      </c>
      <c r="C2386" t="inlineStr">
        <is>
          <t>S01</t>
        </is>
      </c>
      <c r="D2386" t="inlineStr">
        <is>
          <t>P101</t>
        </is>
      </c>
      <c r="E2386" t="n">
        <v>3</v>
      </c>
      <c r="F2386" t="n">
        <v>39</v>
      </c>
      <c r="G2386" t="n">
        <v>0.1</v>
      </c>
      <c r="H2386">
        <f>E2386*F2386*(1-G2386)</f>
        <v/>
      </c>
      <c r="I2386">
        <f>XLOOKUP(D2386,Products!$A$2:$A$15,Products!$B$2:$B$15,"Not found")</f>
        <v/>
      </c>
    </row>
    <row r="2387">
      <c r="A2387" t="n">
        <v>106706</v>
      </c>
      <c r="B2387" s="1" t="n">
        <v>45884</v>
      </c>
      <c r="C2387" t="inlineStr">
        <is>
          <t>S02</t>
        </is>
      </c>
      <c r="D2387" t="inlineStr">
        <is>
          <t>P104</t>
        </is>
      </c>
      <c r="E2387" t="n">
        <v>1</v>
      </c>
      <c r="F2387" t="n">
        <v>189</v>
      </c>
      <c r="G2387" t="n">
        <v>0</v>
      </c>
      <c r="H2387">
        <f>E2387*F2387*(1-G2387)</f>
        <v/>
      </c>
      <c r="I2387">
        <f>XLOOKUP(D2387,Products!$A$2:$A$15,Products!$B$2:$B$15,"Not found")</f>
        <v/>
      </c>
    </row>
    <row r="2388">
      <c r="A2388" t="n">
        <v>106707</v>
      </c>
      <c r="B2388" s="1" t="n">
        <v>45884</v>
      </c>
      <c r="C2388" t="inlineStr">
        <is>
          <t>S02</t>
        </is>
      </c>
      <c r="D2388" t="inlineStr">
        <is>
          <t>P203</t>
        </is>
      </c>
      <c r="E2388" t="n">
        <v>2</v>
      </c>
      <c r="F2388" t="n">
        <v>19.5</v>
      </c>
      <c r="G2388" t="n">
        <v>0</v>
      </c>
      <c r="H2388">
        <f>E2388*F2388*(1-G2388)</f>
        <v/>
      </c>
      <c r="I2388">
        <f>XLOOKUP(D2388,Products!$A$2:$A$15,Products!$B$2:$B$15,"Not found")</f>
        <v/>
      </c>
    </row>
    <row r="2389">
      <c r="A2389" t="n">
        <v>106708</v>
      </c>
      <c r="B2389" s="1" t="n">
        <v>45884</v>
      </c>
      <c r="C2389" t="inlineStr">
        <is>
          <t>S03</t>
        </is>
      </c>
      <c r="D2389" t="inlineStr">
        <is>
          <t>P104</t>
        </is>
      </c>
      <c r="E2389" t="n">
        <v>1</v>
      </c>
      <c r="F2389" t="n">
        <v>189</v>
      </c>
      <c r="G2389" t="n">
        <v>0</v>
      </c>
      <c r="H2389">
        <f>E2389*F2389*(1-G2389)</f>
        <v/>
      </c>
      <c r="I2389">
        <f>XLOOKUP(D2389,Products!$A$2:$A$15,Products!$B$2:$B$15,"Not found")</f>
        <v/>
      </c>
    </row>
    <row r="2390">
      <c r="A2390" t="n">
        <v>106709</v>
      </c>
      <c r="B2390" s="1" t="n">
        <v>45884</v>
      </c>
      <c r="C2390" t="inlineStr">
        <is>
          <t>S04</t>
        </is>
      </c>
      <c r="D2390" t="inlineStr">
        <is>
          <t>P302</t>
        </is>
      </c>
      <c r="E2390" t="n">
        <v>1</v>
      </c>
      <c r="F2390" t="n">
        <v>24</v>
      </c>
      <c r="G2390" t="n">
        <v>0.2</v>
      </c>
      <c r="H2390">
        <f>E2390*F2390*(1-G2390)</f>
        <v/>
      </c>
      <c r="I2390">
        <f>XLOOKUP(D2390,Products!$A$2:$A$15,Products!$B$2:$B$15,"Not found")</f>
        <v/>
      </c>
    </row>
    <row r="2391">
      <c r="A2391" t="n">
        <v>106710</v>
      </c>
      <c r="B2391" s="1" t="n">
        <v>45884</v>
      </c>
      <c r="C2391" t="inlineStr">
        <is>
          <t>S04</t>
        </is>
      </c>
      <c r="D2391" t="inlineStr">
        <is>
          <t>P102</t>
        </is>
      </c>
      <c r="E2391" t="n">
        <v>3</v>
      </c>
      <c r="F2391" t="n">
        <v>14.5</v>
      </c>
      <c r="G2391" t="n">
        <v>0</v>
      </c>
      <c r="H2391">
        <f>E2391*F2391*(1-G2391)</f>
        <v/>
      </c>
      <c r="I2391">
        <f>XLOOKUP(D2391,Products!$A$2:$A$15,Products!$B$2:$B$15,"Not found")</f>
        <v/>
      </c>
    </row>
    <row r="2392">
      <c r="A2392" t="n">
        <v>106711</v>
      </c>
      <c r="B2392" s="1" t="n">
        <v>45884</v>
      </c>
      <c r="C2392" t="inlineStr">
        <is>
          <t>S04</t>
        </is>
      </c>
      <c r="D2392" t="inlineStr">
        <is>
          <t>P203</t>
        </is>
      </c>
      <c r="E2392" t="n">
        <v>2</v>
      </c>
      <c r="F2392" t="n">
        <v>19.5</v>
      </c>
      <c r="G2392" t="n">
        <v>0</v>
      </c>
      <c r="H2392">
        <f>E2392*F2392*(1-G2392)</f>
        <v/>
      </c>
      <c r="I2392">
        <f>XLOOKUP(D2392,Products!$A$2:$A$15,Products!$B$2:$B$15,"Not found")</f>
        <v/>
      </c>
    </row>
    <row r="2393">
      <c r="A2393" t="n">
        <v>106712</v>
      </c>
      <c r="B2393" s="1" t="n">
        <v>45884</v>
      </c>
      <c r="C2393" t="inlineStr">
        <is>
          <t>S04</t>
        </is>
      </c>
      <c r="D2393" t="inlineStr">
        <is>
          <t>P101</t>
        </is>
      </c>
      <c r="E2393" t="n">
        <v>2</v>
      </c>
      <c r="F2393" t="n">
        <v>39</v>
      </c>
      <c r="G2393" t="n">
        <v>0.2</v>
      </c>
      <c r="H2393">
        <f>E2393*F2393*(1-G2393)</f>
        <v/>
      </c>
      <c r="I2393">
        <f>XLOOKUP(D2393,Products!$A$2:$A$15,Products!$B$2:$B$15,"Not found")</f>
        <v/>
      </c>
    </row>
    <row r="2394">
      <c r="A2394" t="n">
        <v>106713</v>
      </c>
      <c r="B2394" s="1" t="n">
        <v>45884</v>
      </c>
      <c r="C2394" t="inlineStr">
        <is>
          <t>S06</t>
        </is>
      </c>
      <c r="D2394" t="inlineStr">
        <is>
          <t>P201</t>
        </is>
      </c>
      <c r="E2394" t="n">
        <v>1</v>
      </c>
      <c r="F2394" t="n">
        <v>149</v>
      </c>
      <c r="G2394" t="n">
        <v>0.1</v>
      </c>
      <c r="H2394">
        <f>E2394*F2394*(1-G2394)</f>
        <v/>
      </c>
      <c r="I2394">
        <f>XLOOKUP(D2394,Products!$A$2:$A$15,Products!$B$2:$B$15,"Not found")</f>
        <v/>
      </c>
    </row>
    <row r="2395">
      <c r="A2395" t="n">
        <v>106714</v>
      </c>
      <c r="B2395" s="1" t="n">
        <v>45885</v>
      </c>
      <c r="C2395" t="inlineStr">
        <is>
          <t>S01</t>
        </is>
      </c>
      <c r="D2395" t="inlineStr">
        <is>
          <t>P101</t>
        </is>
      </c>
      <c r="E2395" t="n">
        <v>2</v>
      </c>
      <c r="F2395" t="n">
        <v>39</v>
      </c>
      <c r="G2395" t="n">
        <v>0.15</v>
      </c>
      <c r="H2395">
        <f>E2395*F2395*(1-G2395)</f>
        <v/>
      </c>
      <c r="I2395">
        <f>XLOOKUP(D2395,Products!$A$2:$A$15,Products!$B$2:$B$15,"Not found")</f>
        <v/>
      </c>
    </row>
    <row r="2396">
      <c r="A2396" t="n">
        <v>106715</v>
      </c>
      <c r="B2396" s="1" t="n">
        <v>45885</v>
      </c>
      <c r="C2396" t="inlineStr">
        <is>
          <t>S01</t>
        </is>
      </c>
      <c r="D2396" t="inlineStr">
        <is>
          <t>P202</t>
        </is>
      </c>
      <c r="E2396" t="n">
        <v>1</v>
      </c>
      <c r="F2396" t="n">
        <v>79</v>
      </c>
      <c r="G2396" t="n">
        <v>0.15</v>
      </c>
      <c r="H2396">
        <f>E2396*F2396*(1-G2396)</f>
        <v/>
      </c>
      <c r="I2396">
        <f>XLOOKUP(D2396,Products!$A$2:$A$15,Products!$B$2:$B$15,"Not found")</f>
        <v/>
      </c>
    </row>
    <row r="2397">
      <c r="A2397" t="n">
        <v>106716</v>
      </c>
      <c r="B2397" s="1" t="n">
        <v>45885</v>
      </c>
      <c r="C2397" t="inlineStr">
        <is>
          <t>S01</t>
        </is>
      </c>
      <c r="D2397" t="inlineStr">
        <is>
          <t>P201</t>
        </is>
      </c>
      <c r="E2397" t="n">
        <v>1</v>
      </c>
      <c r="F2397" t="n">
        <v>149</v>
      </c>
      <c r="G2397" t="n">
        <v>0</v>
      </c>
      <c r="H2397">
        <f>E2397*F2397*(1-G2397)</f>
        <v/>
      </c>
      <c r="I2397">
        <f>XLOOKUP(D2397,Products!$A$2:$A$15,Products!$B$2:$B$15,"Not found")</f>
        <v/>
      </c>
    </row>
    <row r="2398">
      <c r="A2398" t="n">
        <v>106717</v>
      </c>
      <c r="B2398" s="1" t="n">
        <v>45885</v>
      </c>
      <c r="C2398" t="inlineStr">
        <is>
          <t>S01</t>
        </is>
      </c>
      <c r="D2398" t="inlineStr">
        <is>
          <t>P303</t>
        </is>
      </c>
      <c r="E2398" t="n">
        <v>2</v>
      </c>
      <c r="F2398" t="n">
        <v>12</v>
      </c>
      <c r="G2398" t="n">
        <v>0.2</v>
      </c>
      <c r="H2398">
        <f>E2398*F2398*(1-G2398)</f>
        <v/>
      </c>
      <c r="I2398">
        <f>XLOOKUP(D2398,Products!$A$2:$A$15,Products!$B$2:$B$15,"Not found")</f>
        <v/>
      </c>
    </row>
    <row r="2399">
      <c r="A2399" t="n">
        <v>106718</v>
      </c>
      <c r="B2399" s="1" t="n">
        <v>45885</v>
      </c>
      <c r="C2399" t="inlineStr">
        <is>
          <t>S02</t>
        </is>
      </c>
      <c r="D2399" t="inlineStr">
        <is>
          <t>P204</t>
        </is>
      </c>
      <c r="E2399" t="n">
        <v>1</v>
      </c>
      <c r="F2399" t="n">
        <v>229</v>
      </c>
      <c r="G2399" t="n">
        <v>0.2</v>
      </c>
      <c r="H2399">
        <f>E2399*F2399*(1-G2399)</f>
        <v/>
      </c>
      <c r="I2399">
        <f>XLOOKUP(D2399,Products!$A$2:$A$15,Products!$B$2:$B$15,"Not found")</f>
        <v/>
      </c>
    </row>
    <row r="2400">
      <c r="A2400" t="n">
        <v>106719</v>
      </c>
      <c r="B2400" s="1" t="n">
        <v>45885</v>
      </c>
      <c r="C2400" t="inlineStr">
        <is>
          <t>S02</t>
        </is>
      </c>
      <c r="D2400" t="inlineStr">
        <is>
          <t>P104</t>
        </is>
      </c>
      <c r="E2400" t="n">
        <v>1</v>
      </c>
      <c r="F2400" t="n">
        <v>189</v>
      </c>
      <c r="G2400" t="n">
        <v>0</v>
      </c>
      <c r="H2400">
        <f>E2400*F2400*(1-G2400)</f>
        <v/>
      </c>
      <c r="I2400">
        <f>XLOOKUP(D2400,Products!$A$2:$A$15,Products!$B$2:$B$15,"Not found")</f>
        <v/>
      </c>
    </row>
    <row r="2401">
      <c r="A2401" t="n">
        <v>106720</v>
      </c>
      <c r="B2401" s="1" t="n">
        <v>45885</v>
      </c>
      <c r="C2401" t="inlineStr">
        <is>
          <t>S03</t>
        </is>
      </c>
      <c r="D2401" t="inlineStr">
        <is>
          <t>P203</t>
        </is>
      </c>
      <c r="E2401" t="n">
        <v>1</v>
      </c>
      <c r="F2401" t="n">
        <v>19.5</v>
      </c>
      <c r="G2401" t="n">
        <v>0.15</v>
      </c>
      <c r="H2401">
        <f>E2401*F2401*(1-G2401)</f>
        <v/>
      </c>
      <c r="I2401">
        <f>XLOOKUP(D2401,Products!$A$2:$A$15,Products!$B$2:$B$15,"Not found")</f>
        <v/>
      </c>
    </row>
    <row r="2402">
      <c r="A2402" t="n">
        <v>106721</v>
      </c>
      <c r="B2402" s="1" t="n">
        <v>45885</v>
      </c>
      <c r="C2402" t="inlineStr">
        <is>
          <t>S04</t>
        </is>
      </c>
      <c r="D2402" t="inlineStr">
        <is>
          <t>P101</t>
        </is>
      </c>
      <c r="E2402" t="n">
        <v>2</v>
      </c>
      <c r="F2402" t="n">
        <v>39</v>
      </c>
      <c r="G2402" t="n">
        <v>0</v>
      </c>
      <c r="H2402">
        <f>E2402*F2402*(1-G2402)</f>
        <v/>
      </c>
      <c r="I2402">
        <f>XLOOKUP(D2402,Products!$A$2:$A$15,Products!$B$2:$B$15,"Not found")</f>
        <v/>
      </c>
    </row>
    <row r="2403">
      <c r="A2403" t="n">
        <v>106722</v>
      </c>
      <c r="B2403" s="1" t="n">
        <v>45885</v>
      </c>
      <c r="C2403" t="inlineStr">
        <is>
          <t>S04</t>
        </is>
      </c>
      <c r="D2403" t="inlineStr">
        <is>
          <t>P203</t>
        </is>
      </c>
      <c r="E2403" t="n">
        <v>1</v>
      </c>
      <c r="F2403" t="n">
        <v>19.5</v>
      </c>
      <c r="G2403" t="n">
        <v>0.15</v>
      </c>
      <c r="H2403">
        <f>E2403*F2403*(1-G2403)</f>
        <v/>
      </c>
      <c r="I2403">
        <f>XLOOKUP(D2403,Products!$A$2:$A$15,Products!$B$2:$B$15,"Not found")</f>
        <v/>
      </c>
    </row>
    <row r="2404">
      <c r="A2404" t="n">
        <v>106723</v>
      </c>
      <c r="B2404" s="1" t="n">
        <v>45885</v>
      </c>
      <c r="C2404" t="inlineStr">
        <is>
          <t>S04</t>
        </is>
      </c>
      <c r="D2404" t="inlineStr">
        <is>
          <t>P104</t>
        </is>
      </c>
      <c r="E2404" t="n">
        <v>1</v>
      </c>
      <c r="F2404" t="n">
        <v>189</v>
      </c>
      <c r="G2404" t="n">
        <v>0</v>
      </c>
      <c r="H2404">
        <f>E2404*F2404*(1-G2404)</f>
        <v/>
      </c>
      <c r="I2404">
        <f>XLOOKUP(D2404,Products!$A$2:$A$15,Products!$B$2:$B$15,"Not found")</f>
        <v/>
      </c>
    </row>
    <row r="2405">
      <c r="A2405" t="n">
        <v>106724</v>
      </c>
      <c r="B2405" s="1" t="n">
        <v>45885</v>
      </c>
      <c r="C2405" t="inlineStr">
        <is>
          <t>S05</t>
        </is>
      </c>
      <c r="D2405" t="inlineStr">
        <is>
          <t>P104</t>
        </is>
      </c>
      <c r="E2405" t="n">
        <v>1</v>
      </c>
      <c r="F2405" t="n">
        <v>189</v>
      </c>
      <c r="G2405" t="n">
        <v>0</v>
      </c>
      <c r="H2405">
        <f>E2405*F2405*(1-G2405)</f>
        <v/>
      </c>
      <c r="I2405">
        <f>XLOOKUP(D2405,Products!$A$2:$A$15,Products!$B$2:$B$15,"Not found")</f>
        <v/>
      </c>
    </row>
    <row r="2406">
      <c r="A2406" t="n">
        <v>106725</v>
      </c>
      <c r="B2406" s="1" t="n">
        <v>45885</v>
      </c>
      <c r="C2406" t="inlineStr">
        <is>
          <t>S05</t>
        </is>
      </c>
      <c r="D2406" t="inlineStr">
        <is>
          <t>P301</t>
        </is>
      </c>
      <c r="E2406" t="n">
        <v>1</v>
      </c>
      <c r="F2406" t="n">
        <v>119</v>
      </c>
      <c r="G2406" t="n">
        <v>0</v>
      </c>
      <c r="H2406">
        <f>E2406*F2406*(1-G2406)</f>
        <v/>
      </c>
      <c r="I2406">
        <f>XLOOKUP(D2406,Products!$A$2:$A$15,Products!$B$2:$B$15,"Not found")</f>
        <v/>
      </c>
    </row>
    <row r="2407">
      <c r="A2407" t="n">
        <v>106726</v>
      </c>
      <c r="B2407" s="1" t="n">
        <v>45885</v>
      </c>
      <c r="C2407" t="inlineStr">
        <is>
          <t>S05</t>
        </is>
      </c>
      <c r="D2407" t="inlineStr">
        <is>
          <t>P101</t>
        </is>
      </c>
      <c r="E2407" t="n">
        <v>1</v>
      </c>
      <c r="F2407" t="n">
        <v>39</v>
      </c>
      <c r="G2407" t="n">
        <v>0</v>
      </c>
      <c r="H2407">
        <f>E2407*F2407*(1-G2407)</f>
        <v/>
      </c>
      <c r="I2407">
        <f>XLOOKUP(D2407,Products!$A$2:$A$15,Products!$B$2:$B$15,"Not found")</f>
        <v/>
      </c>
    </row>
    <row r="2408">
      <c r="A2408" t="n">
        <v>106727</v>
      </c>
      <c r="B2408" s="1" t="n">
        <v>45885</v>
      </c>
      <c r="C2408" t="inlineStr">
        <is>
          <t>S05</t>
        </is>
      </c>
      <c r="D2408" t="inlineStr">
        <is>
          <t>P204</t>
        </is>
      </c>
      <c r="E2408" t="n">
        <v>1</v>
      </c>
      <c r="F2408" t="n">
        <v>229</v>
      </c>
      <c r="G2408" t="n">
        <v>0.15</v>
      </c>
      <c r="H2408">
        <f>E2408*F2408*(1-G2408)</f>
        <v/>
      </c>
      <c r="I2408">
        <f>XLOOKUP(D2408,Products!$A$2:$A$15,Products!$B$2:$B$15,"Not found")</f>
        <v/>
      </c>
    </row>
    <row r="2409">
      <c r="A2409" t="n">
        <v>106728</v>
      </c>
      <c r="B2409" s="1" t="n">
        <v>45885</v>
      </c>
      <c r="C2409" t="inlineStr">
        <is>
          <t>S06</t>
        </is>
      </c>
      <c r="D2409" t="inlineStr">
        <is>
          <t>P103</t>
        </is>
      </c>
      <c r="E2409" t="n">
        <v>1</v>
      </c>
      <c r="F2409" t="n">
        <v>29</v>
      </c>
      <c r="G2409" t="n">
        <v>0.15</v>
      </c>
      <c r="H2409">
        <f>E2409*F2409*(1-G2409)</f>
        <v/>
      </c>
      <c r="I2409">
        <f>XLOOKUP(D2409,Products!$A$2:$A$15,Products!$B$2:$B$15,"Not found")</f>
        <v/>
      </c>
    </row>
    <row r="2410">
      <c r="A2410" t="n">
        <v>106729</v>
      </c>
      <c r="B2410" s="1" t="n">
        <v>45886</v>
      </c>
      <c r="C2410" t="inlineStr">
        <is>
          <t>S01</t>
        </is>
      </c>
      <c r="D2410" t="inlineStr">
        <is>
          <t>P102</t>
        </is>
      </c>
      <c r="E2410" t="n">
        <v>2</v>
      </c>
      <c r="F2410" t="n">
        <v>14.5</v>
      </c>
      <c r="G2410" t="n">
        <v>0.1</v>
      </c>
      <c r="H2410">
        <f>E2410*F2410*(1-G2410)</f>
        <v/>
      </c>
      <c r="I2410">
        <f>XLOOKUP(D2410,Products!$A$2:$A$15,Products!$B$2:$B$15,"Not found")</f>
        <v/>
      </c>
    </row>
    <row r="2411">
      <c r="A2411" t="n">
        <v>106730</v>
      </c>
      <c r="B2411" s="1" t="n">
        <v>45886</v>
      </c>
      <c r="C2411" t="inlineStr">
        <is>
          <t>S01</t>
        </is>
      </c>
      <c r="D2411" t="inlineStr">
        <is>
          <t>P102</t>
        </is>
      </c>
      <c r="E2411" t="n">
        <v>3</v>
      </c>
      <c r="F2411" t="n">
        <v>14.5</v>
      </c>
      <c r="G2411" t="n">
        <v>0</v>
      </c>
      <c r="H2411">
        <f>E2411*F2411*(1-G2411)</f>
        <v/>
      </c>
      <c r="I2411">
        <f>XLOOKUP(D2411,Products!$A$2:$A$15,Products!$B$2:$B$15,"Not found")</f>
        <v/>
      </c>
    </row>
    <row r="2412">
      <c r="A2412" t="n">
        <v>106731</v>
      </c>
      <c r="B2412" s="1" t="n">
        <v>45886</v>
      </c>
      <c r="C2412" t="inlineStr">
        <is>
          <t>S01</t>
        </is>
      </c>
      <c r="D2412" t="inlineStr">
        <is>
          <t>P202</t>
        </is>
      </c>
      <c r="E2412" t="n">
        <v>2</v>
      </c>
      <c r="F2412" t="n">
        <v>79</v>
      </c>
      <c r="G2412" t="n">
        <v>0</v>
      </c>
      <c r="H2412">
        <f>E2412*F2412*(1-G2412)</f>
        <v/>
      </c>
      <c r="I2412">
        <f>XLOOKUP(D2412,Products!$A$2:$A$15,Products!$B$2:$B$15,"Not found")</f>
        <v/>
      </c>
    </row>
    <row r="2413">
      <c r="A2413" t="n">
        <v>106732</v>
      </c>
      <c r="B2413" s="1" t="n">
        <v>45886</v>
      </c>
      <c r="C2413" t="inlineStr">
        <is>
          <t>S02</t>
        </is>
      </c>
      <c r="D2413" t="inlineStr">
        <is>
          <t>P101</t>
        </is>
      </c>
      <c r="E2413" t="n">
        <v>2</v>
      </c>
      <c r="F2413" t="n">
        <v>39</v>
      </c>
      <c r="G2413" t="n">
        <v>0.15</v>
      </c>
      <c r="H2413">
        <f>E2413*F2413*(1-G2413)</f>
        <v/>
      </c>
      <c r="I2413">
        <f>XLOOKUP(D2413,Products!$A$2:$A$15,Products!$B$2:$B$15,"Not found")</f>
        <v/>
      </c>
    </row>
    <row r="2414">
      <c r="A2414" t="n">
        <v>106733</v>
      </c>
      <c r="B2414" s="1" t="n">
        <v>45886</v>
      </c>
      <c r="C2414" t="inlineStr">
        <is>
          <t>S02</t>
        </is>
      </c>
      <c r="D2414" t="inlineStr">
        <is>
          <t>P101</t>
        </is>
      </c>
      <c r="E2414" t="n">
        <v>1</v>
      </c>
      <c r="F2414" t="n">
        <v>39</v>
      </c>
      <c r="G2414" t="n">
        <v>0</v>
      </c>
      <c r="H2414">
        <f>E2414*F2414*(1-G2414)</f>
        <v/>
      </c>
      <c r="I2414">
        <f>XLOOKUP(D2414,Products!$A$2:$A$15,Products!$B$2:$B$15,"Not found")</f>
        <v/>
      </c>
    </row>
    <row r="2415">
      <c r="A2415" t="n">
        <v>106734</v>
      </c>
      <c r="B2415" s="1" t="n">
        <v>45886</v>
      </c>
      <c r="C2415" t="inlineStr">
        <is>
          <t>S03</t>
        </is>
      </c>
      <c r="D2415" t="inlineStr">
        <is>
          <t>P102</t>
        </is>
      </c>
      <c r="E2415" t="n">
        <v>1</v>
      </c>
      <c r="F2415" t="n">
        <v>14.5</v>
      </c>
      <c r="G2415" t="n">
        <v>0.1</v>
      </c>
      <c r="H2415">
        <f>E2415*F2415*(1-G2415)</f>
        <v/>
      </c>
      <c r="I2415">
        <f>XLOOKUP(D2415,Products!$A$2:$A$15,Products!$B$2:$B$15,"Not found")</f>
        <v/>
      </c>
    </row>
    <row r="2416">
      <c r="A2416" t="n">
        <v>106735</v>
      </c>
      <c r="B2416" s="1" t="n">
        <v>45886</v>
      </c>
      <c r="C2416" t="inlineStr">
        <is>
          <t>S03</t>
        </is>
      </c>
      <c r="D2416" t="inlineStr">
        <is>
          <t>P401</t>
        </is>
      </c>
      <c r="E2416" t="n">
        <v>1</v>
      </c>
      <c r="F2416" t="n">
        <v>549</v>
      </c>
      <c r="G2416" t="n">
        <v>0.2</v>
      </c>
      <c r="H2416">
        <f>E2416*F2416*(1-G2416)</f>
        <v/>
      </c>
      <c r="I2416">
        <f>XLOOKUP(D2416,Products!$A$2:$A$15,Products!$B$2:$B$15,"Not found")</f>
        <v/>
      </c>
    </row>
    <row r="2417">
      <c r="A2417" t="n">
        <v>106736</v>
      </c>
      <c r="B2417" s="1" t="n">
        <v>45886</v>
      </c>
      <c r="C2417" t="inlineStr">
        <is>
          <t>S04</t>
        </is>
      </c>
      <c r="D2417" t="inlineStr">
        <is>
          <t>P301</t>
        </is>
      </c>
      <c r="E2417" t="n">
        <v>1</v>
      </c>
      <c r="F2417" t="n">
        <v>119</v>
      </c>
      <c r="G2417" t="n">
        <v>0</v>
      </c>
      <c r="H2417">
        <f>E2417*F2417*(1-G2417)</f>
        <v/>
      </c>
      <c r="I2417">
        <f>XLOOKUP(D2417,Products!$A$2:$A$15,Products!$B$2:$B$15,"Not found")</f>
        <v/>
      </c>
    </row>
    <row r="2418">
      <c r="A2418" t="n">
        <v>106737</v>
      </c>
      <c r="B2418" s="1" t="n">
        <v>45886</v>
      </c>
      <c r="C2418" t="inlineStr">
        <is>
          <t>S04</t>
        </is>
      </c>
      <c r="D2418" t="inlineStr">
        <is>
          <t>P102</t>
        </is>
      </c>
      <c r="E2418" t="n">
        <v>1</v>
      </c>
      <c r="F2418" t="n">
        <v>14.5</v>
      </c>
      <c r="G2418" t="n">
        <v>0</v>
      </c>
      <c r="H2418">
        <f>E2418*F2418*(1-G2418)</f>
        <v/>
      </c>
      <c r="I2418">
        <f>XLOOKUP(D2418,Products!$A$2:$A$15,Products!$B$2:$B$15,"Not found")</f>
        <v/>
      </c>
    </row>
    <row r="2419">
      <c r="A2419" t="n">
        <v>106738</v>
      </c>
      <c r="B2419" s="1" t="n">
        <v>45886</v>
      </c>
      <c r="C2419" t="inlineStr">
        <is>
          <t>S04</t>
        </is>
      </c>
      <c r="D2419" t="inlineStr">
        <is>
          <t>P102</t>
        </is>
      </c>
      <c r="E2419" t="n">
        <v>2</v>
      </c>
      <c r="F2419" t="n">
        <v>14.5</v>
      </c>
      <c r="G2419" t="n">
        <v>0.15</v>
      </c>
      <c r="H2419">
        <f>E2419*F2419*(1-G2419)</f>
        <v/>
      </c>
      <c r="I2419">
        <f>XLOOKUP(D2419,Products!$A$2:$A$15,Products!$B$2:$B$15,"Not found")</f>
        <v/>
      </c>
    </row>
    <row r="2420">
      <c r="A2420" t="n">
        <v>106739</v>
      </c>
      <c r="B2420" s="1" t="n">
        <v>45886</v>
      </c>
      <c r="C2420" t="inlineStr">
        <is>
          <t>S04</t>
        </is>
      </c>
      <c r="D2420" t="inlineStr">
        <is>
          <t>P302</t>
        </is>
      </c>
      <c r="E2420" t="n">
        <v>1</v>
      </c>
      <c r="F2420" t="n">
        <v>24</v>
      </c>
      <c r="G2420" t="n">
        <v>0.1</v>
      </c>
      <c r="H2420">
        <f>E2420*F2420*(1-G2420)</f>
        <v/>
      </c>
      <c r="I2420">
        <f>XLOOKUP(D2420,Products!$A$2:$A$15,Products!$B$2:$B$15,"Not found")</f>
        <v/>
      </c>
    </row>
    <row r="2421">
      <c r="A2421" t="n">
        <v>106740</v>
      </c>
      <c r="B2421" s="1" t="n">
        <v>45886</v>
      </c>
      <c r="C2421" t="inlineStr">
        <is>
          <t>S05</t>
        </is>
      </c>
      <c r="D2421" t="inlineStr">
        <is>
          <t>P103</t>
        </is>
      </c>
      <c r="E2421" t="n">
        <v>2</v>
      </c>
      <c r="F2421" t="n">
        <v>29</v>
      </c>
      <c r="G2421" t="n">
        <v>0.2</v>
      </c>
      <c r="H2421">
        <f>E2421*F2421*(1-G2421)</f>
        <v/>
      </c>
      <c r="I2421">
        <f>XLOOKUP(D2421,Products!$A$2:$A$15,Products!$B$2:$B$15,"Not found")</f>
        <v/>
      </c>
    </row>
    <row r="2422">
      <c r="A2422" t="n">
        <v>106741</v>
      </c>
      <c r="B2422" s="1" t="n">
        <v>45886</v>
      </c>
      <c r="C2422" t="inlineStr">
        <is>
          <t>S05</t>
        </is>
      </c>
      <c r="D2422" t="inlineStr">
        <is>
          <t>P103</t>
        </is>
      </c>
      <c r="E2422" t="n">
        <v>2</v>
      </c>
      <c r="F2422" t="n">
        <v>29</v>
      </c>
      <c r="G2422" t="n">
        <v>0.15</v>
      </c>
      <c r="H2422">
        <f>E2422*F2422*(1-G2422)</f>
        <v/>
      </c>
      <c r="I2422">
        <f>XLOOKUP(D2422,Products!$A$2:$A$15,Products!$B$2:$B$15,"Not found")</f>
        <v/>
      </c>
    </row>
    <row r="2423">
      <c r="A2423" t="n">
        <v>106742</v>
      </c>
      <c r="B2423" s="1" t="n">
        <v>45886</v>
      </c>
      <c r="C2423" t="inlineStr">
        <is>
          <t>S05</t>
        </is>
      </c>
      <c r="D2423" t="inlineStr">
        <is>
          <t>P101</t>
        </is>
      </c>
      <c r="E2423" t="n">
        <v>1</v>
      </c>
      <c r="F2423" t="n">
        <v>39</v>
      </c>
      <c r="G2423" t="n">
        <v>0</v>
      </c>
      <c r="H2423">
        <f>E2423*F2423*(1-G2423)</f>
        <v/>
      </c>
      <c r="I2423">
        <f>XLOOKUP(D2423,Products!$A$2:$A$15,Products!$B$2:$B$15,"Not found")</f>
        <v/>
      </c>
    </row>
    <row r="2424">
      <c r="A2424" t="n">
        <v>106743</v>
      </c>
      <c r="B2424" s="1" t="n">
        <v>45886</v>
      </c>
      <c r="C2424" t="inlineStr">
        <is>
          <t>S05</t>
        </is>
      </c>
      <c r="D2424" t="inlineStr">
        <is>
          <t>P103</t>
        </is>
      </c>
      <c r="E2424" t="n">
        <v>1</v>
      </c>
      <c r="F2424" t="n">
        <v>29</v>
      </c>
      <c r="G2424" t="n">
        <v>0</v>
      </c>
      <c r="H2424">
        <f>E2424*F2424*(1-G2424)</f>
        <v/>
      </c>
      <c r="I2424">
        <f>XLOOKUP(D2424,Products!$A$2:$A$15,Products!$B$2:$B$15,"Not found")</f>
        <v/>
      </c>
    </row>
    <row r="2425">
      <c r="A2425" t="n">
        <v>106744</v>
      </c>
      <c r="B2425" s="1" t="n">
        <v>45886</v>
      </c>
      <c r="C2425" t="inlineStr">
        <is>
          <t>S06</t>
        </is>
      </c>
      <c r="D2425" t="inlineStr">
        <is>
          <t>P102</t>
        </is>
      </c>
      <c r="E2425" t="n">
        <v>1</v>
      </c>
      <c r="F2425" t="n">
        <v>14.5</v>
      </c>
      <c r="G2425" t="n">
        <v>0</v>
      </c>
      <c r="H2425">
        <f>E2425*F2425*(1-G2425)</f>
        <v/>
      </c>
      <c r="I2425">
        <f>XLOOKUP(D2425,Products!$A$2:$A$15,Products!$B$2:$B$15,"Not found")</f>
        <v/>
      </c>
    </row>
    <row r="2426">
      <c r="A2426" t="n">
        <v>106745</v>
      </c>
      <c r="B2426" s="1" t="n">
        <v>45886</v>
      </c>
      <c r="C2426" t="inlineStr">
        <is>
          <t>S06</t>
        </is>
      </c>
      <c r="D2426" t="inlineStr">
        <is>
          <t>P403</t>
        </is>
      </c>
      <c r="E2426" t="n">
        <v>1</v>
      </c>
      <c r="F2426" t="n">
        <v>89</v>
      </c>
      <c r="G2426" t="n">
        <v>0.2</v>
      </c>
      <c r="H2426">
        <f>E2426*F2426*(1-G2426)</f>
        <v/>
      </c>
      <c r="I2426">
        <f>XLOOKUP(D2426,Products!$A$2:$A$15,Products!$B$2:$B$15,"Not found")</f>
        <v/>
      </c>
    </row>
    <row r="2427">
      <c r="A2427" t="n">
        <v>106746</v>
      </c>
      <c r="B2427" s="1" t="n">
        <v>45887</v>
      </c>
      <c r="C2427" t="inlineStr">
        <is>
          <t>S01</t>
        </is>
      </c>
      <c r="D2427" t="inlineStr">
        <is>
          <t>P101</t>
        </is>
      </c>
      <c r="E2427" t="n">
        <v>4</v>
      </c>
      <c r="F2427" t="n">
        <v>39</v>
      </c>
      <c r="G2427" t="n">
        <v>0</v>
      </c>
      <c r="H2427">
        <f>E2427*F2427*(1-G2427)</f>
        <v/>
      </c>
      <c r="I2427">
        <f>XLOOKUP(D2427,Products!$A$2:$A$15,Products!$B$2:$B$15,"Not found")</f>
        <v/>
      </c>
    </row>
    <row r="2428">
      <c r="A2428" t="n">
        <v>106747</v>
      </c>
      <c r="B2428" s="1" t="n">
        <v>45887</v>
      </c>
      <c r="C2428" t="inlineStr">
        <is>
          <t>S01</t>
        </is>
      </c>
      <c r="D2428" t="inlineStr">
        <is>
          <t>P104</t>
        </is>
      </c>
      <c r="E2428" t="n">
        <v>1</v>
      </c>
      <c r="F2428" t="n">
        <v>189</v>
      </c>
      <c r="G2428" t="n">
        <v>0.15</v>
      </c>
      <c r="H2428">
        <f>E2428*F2428*(1-G2428)</f>
        <v/>
      </c>
      <c r="I2428">
        <f>XLOOKUP(D2428,Products!$A$2:$A$15,Products!$B$2:$B$15,"Not found")</f>
        <v/>
      </c>
    </row>
    <row r="2429">
      <c r="A2429" t="n">
        <v>106748</v>
      </c>
      <c r="B2429" s="1" t="n">
        <v>45887</v>
      </c>
      <c r="C2429" t="inlineStr">
        <is>
          <t>S02</t>
        </is>
      </c>
      <c r="D2429" t="inlineStr">
        <is>
          <t>P303</t>
        </is>
      </c>
      <c r="E2429" t="n">
        <v>1</v>
      </c>
      <c r="F2429" t="n">
        <v>12</v>
      </c>
      <c r="G2429" t="n">
        <v>0</v>
      </c>
      <c r="H2429">
        <f>E2429*F2429*(1-G2429)</f>
        <v/>
      </c>
      <c r="I2429">
        <f>XLOOKUP(D2429,Products!$A$2:$A$15,Products!$B$2:$B$15,"Not found")</f>
        <v/>
      </c>
    </row>
    <row r="2430">
      <c r="A2430" t="n">
        <v>106749</v>
      </c>
      <c r="B2430" s="1" t="n">
        <v>45887</v>
      </c>
      <c r="C2430" t="inlineStr">
        <is>
          <t>S04</t>
        </is>
      </c>
      <c r="D2430" t="inlineStr">
        <is>
          <t>P201</t>
        </is>
      </c>
      <c r="E2430" t="n">
        <v>1</v>
      </c>
      <c r="F2430" t="n">
        <v>149</v>
      </c>
      <c r="G2430" t="n">
        <v>0</v>
      </c>
      <c r="H2430">
        <f>E2430*F2430*(1-G2430)</f>
        <v/>
      </c>
      <c r="I2430">
        <f>XLOOKUP(D2430,Products!$A$2:$A$15,Products!$B$2:$B$15,"Not found")</f>
        <v/>
      </c>
    </row>
    <row r="2431">
      <c r="A2431" t="n">
        <v>106750</v>
      </c>
      <c r="B2431" s="1" t="n">
        <v>45887</v>
      </c>
      <c r="C2431" t="inlineStr">
        <is>
          <t>S04</t>
        </is>
      </c>
      <c r="D2431" t="inlineStr">
        <is>
          <t>P104</t>
        </is>
      </c>
      <c r="E2431" t="n">
        <v>1</v>
      </c>
      <c r="F2431" t="n">
        <v>189</v>
      </c>
      <c r="G2431" t="n">
        <v>0.2</v>
      </c>
      <c r="H2431">
        <f>E2431*F2431*(1-G2431)</f>
        <v/>
      </c>
      <c r="I2431">
        <f>XLOOKUP(D2431,Products!$A$2:$A$15,Products!$B$2:$B$15,"Not found")</f>
        <v/>
      </c>
    </row>
    <row r="2432">
      <c r="A2432" t="n">
        <v>106751</v>
      </c>
      <c r="B2432" s="1" t="n">
        <v>45887</v>
      </c>
      <c r="C2432" t="inlineStr">
        <is>
          <t>S04</t>
        </is>
      </c>
      <c r="D2432" t="inlineStr">
        <is>
          <t>P202</t>
        </is>
      </c>
      <c r="E2432" t="n">
        <v>4</v>
      </c>
      <c r="F2432" t="n">
        <v>79</v>
      </c>
      <c r="G2432" t="n">
        <v>0</v>
      </c>
      <c r="H2432">
        <f>E2432*F2432*(1-G2432)</f>
        <v/>
      </c>
      <c r="I2432">
        <f>XLOOKUP(D2432,Products!$A$2:$A$15,Products!$B$2:$B$15,"Not found")</f>
        <v/>
      </c>
    </row>
    <row r="2433">
      <c r="A2433" t="n">
        <v>106752</v>
      </c>
      <c r="B2433" s="1" t="n">
        <v>45887</v>
      </c>
      <c r="C2433" t="inlineStr">
        <is>
          <t>S05</t>
        </is>
      </c>
      <c r="D2433" t="inlineStr">
        <is>
          <t>P102</t>
        </is>
      </c>
      <c r="E2433" t="n">
        <v>4</v>
      </c>
      <c r="F2433" t="n">
        <v>14.5</v>
      </c>
      <c r="G2433" t="n">
        <v>0.15</v>
      </c>
      <c r="H2433">
        <f>E2433*F2433*(1-G2433)</f>
        <v/>
      </c>
      <c r="I2433">
        <f>XLOOKUP(D2433,Products!$A$2:$A$15,Products!$B$2:$B$15,"Not found")</f>
        <v/>
      </c>
    </row>
    <row r="2434">
      <c r="A2434" t="n">
        <v>106753</v>
      </c>
      <c r="B2434" s="1" t="n">
        <v>45887</v>
      </c>
      <c r="C2434" t="inlineStr">
        <is>
          <t>S05</t>
        </is>
      </c>
      <c r="D2434" t="inlineStr">
        <is>
          <t>P302</t>
        </is>
      </c>
      <c r="E2434" t="n">
        <v>1</v>
      </c>
      <c r="F2434" t="n">
        <v>24</v>
      </c>
      <c r="G2434" t="n">
        <v>0</v>
      </c>
      <c r="H2434">
        <f>E2434*F2434*(1-G2434)</f>
        <v/>
      </c>
      <c r="I2434">
        <f>XLOOKUP(D2434,Products!$A$2:$A$15,Products!$B$2:$B$15,"Not found")</f>
        <v/>
      </c>
    </row>
    <row r="2435">
      <c r="A2435" t="n">
        <v>106754</v>
      </c>
      <c r="B2435" s="1" t="n">
        <v>45887</v>
      </c>
      <c r="C2435" t="inlineStr">
        <is>
          <t>S06</t>
        </is>
      </c>
      <c r="D2435" t="inlineStr">
        <is>
          <t>P102</t>
        </is>
      </c>
      <c r="E2435" t="n">
        <v>1</v>
      </c>
      <c r="F2435" t="n">
        <v>14.5</v>
      </c>
      <c r="G2435" t="n">
        <v>0.15</v>
      </c>
      <c r="H2435">
        <f>E2435*F2435*(1-G2435)</f>
        <v/>
      </c>
      <c r="I2435">
        <f>XLOOKUP(D2435,Products!$A$2:$A$15,Products!$B$2:$B$15,"Not found")</f>
        <v/>
      </c>
    </row>
    <row r="2436">
      <c r="A2436" t="n">
        <v>106755</v>
      </c>
      <c r="B2436" s="1" t="n">
        <v>45888</v>
      </c>
      <c r="C2436" t="inlineStr">
        <is>
          <t>S01</t>
        </is>
      </c>
      <c r="D2436" t="inlineStr">
        <is>
          <t>P302</t>
        </is>
      </c>
      <c r="E2436" t="n">
        <v>2</v>
      </c>
      <c r="F2436" t="n">
        <v>24</v>
      </c>
      <c r="G2436" t="n">
        <v>0.1</v>
      </c>
      <c r="H2436">
        <f>E2436*F2436*(1-G2436)</f>
        <v/>
      </c>
      <c r="I2436">
        <f>XLOOKUP(D2436,Products!$A$2:$A$15,Products!$B$2:$B$15,"Not found")</f>
        <v/>
      </c>
    </row>
    <row r="2437">
      <c r="A2437" t="n">
        <v>106756</v>
      </c>
      <c r="B2437" s="1" t="n">
        <v>45888</v>
      </c>
      <c r="C2437" t="inlineStr">
        <is>
          <t>S01</t>
        </is>
      </c>
      <c r="D2437" t="inlineStr">
        <is>
          <t>P202</t>
        </is>
      </c>
      <c r="E2437" t="n">
        <v>3</v>
      </c>
      <c r="F2437" t="n">
        <v>79</v>
      </c>
      <c r="G2437" t="n">
        <v>0</v>
      </c>
      <c r="H2437">
        <f>E2437*F2437*(1-G2437)</f>
        <v/>
      </c>
      <c r="I2437">
        <f>XLOOKUP(D2437,Products!$A$2:$A$15,Products!$B$2:$B$15,"Not found")</f>
        <v/>
      </c>
    </row>
    <row r="2438">
      <c r="A2438" t="n">
        <v>106757</v>
      </c>
      <c r="B2438" s="1" t="n">
        <v>45888</v>
      </c>
      <c r="C2438" t="inlineStr">
        <is>
          <t>S01</t>
        </is>
      </c>
      <c r="D2438" t="inlineStr">
        <is>
          <t>P103</t>
        </is>
      </c>
      <c r="E2438" t="n">
        <v>4</v>
      </c>
      <c r="F2438" t="n">
        <v>29</v>
      </c>
      <c r="G2438" t="n">
        <v>0.1</v>
      </c>
      <c r="H2438">
        <f>E2438*F2438*(1-G2438)</f>
        <v/>
      </c>
      <c r="I2438">
        <f>XLOOKUP(D2438,Products!$A$2:$A$15,Products!$B$2:$B$15,"Not found")</f>
        <v/>
      </c>
    </row>
    <row r="2439">
      <c r="A2439" t="n">
        <v>106758</v>
      </c>
      <c r="B2439" s="1" t="n">
        <v>45888</v>
      </c>
      <c r="C2439" t="inlineStr">
        <is>
          <t>S02</t>
        </is>
      </c>
      <c r="D2439" t="inlineStr">
        <is>
          <t>P103</t>
        </is>
      </c>
      <c r="E2439" t="n">
        <v>2</v>
      </c>
      <c r="F2439" t="n">
        <v>29</v>
      </c>
      <c r="G2439" t="n">
        <v>0</v>
      </c>
      <c r="H2439">
        <f>E2439*F2439*(1-G2439)</f>
        <v/>
      </c>
      <c r="I2439">
        <f>XLOOKUP(D2439,Products!$A$2:$A$15,Products!$B$2:$B$15,"Not found")</f>
        <v/>
      </c>
    </row>
    <row r="2440">
      <c r="A2440" t="n">
        <v>106759</v>
      </c>
      <c r="B2440" s="1" t="n">
        <v>45888</v>
      </c>
      <c r="C2440" t="inlineStr">
        <is>
          <t>S03</t>
        </is>
      </c>
      <c r="D2440" t="inlineStr">
        <is>
          <t>P301</t>
        </is>
      </c>
      <c r="E2440" t="n">
        <v>1</v>
      </c>
      <c r="F2440" t="n">
        <v>119</v>
      </c>
      <c r="G2440" t="n">
        <v>0</v>
      </c>
      <c r="H2440">
        <f>E2440*F2440*(1-G2440)</f>
        <v/>
      </c>
      <c r="I2440">
        <f>XLOOKUP(D2440,Products!$A$2:$A$15,Products!$B$2:$B$15,"Not found")</f>
        <v/>
      </c>
    </row>
    <row r="2441">
      <c r="A2441" t="n">
        <v>106760</v>
      </c>
      <c r="B2441" s="1" t="n">
        <v>45888</v>
      </c>
      <c r="C2441" t="inlineStr">
        <is>
          <t>S05</t>
        </is>
      </c>
      <c r="D2441" t="inlineStr">
        <is>
          <t>P303</t>
        </is>
      </c>
      <c r="E2441" t="n">
        <v>1</v>
      </c>
      <c r="F2441" t="n">
        <v>12</v>
      </c>
      <c r="G2441" t="n">
        <v>0</v>
      </c>
      <c r="H2441">
        <f>E2441*F2441*(1-G2441)</f>
        <v/>
      </c>
      <c r="I2441">
        <f>XLOOKUP(D2441,Products!$A$2:$A$15,Products!$B$2:$B$15,"Not found")</f>
        <v/>
      </c>
    </row>
    <row r="2442">
      <c r="A2442" t="n">
        <v>106761</v>
      </c>
      <c r="B2442" s="1" t="n">
        <v>45888</v>
      </c>
      <c r="C2442" t="inlineStr">
        <is>
          <t>S05</t>
        </is>
      </c>
      <c r="D2442" t="inlineStr">
        <is>
          <t>P202</t>
        </is>
      </c>
      <c r="E2442" t="n">
        <v>1</v>
      </c>
      <c r="F2442" t="n">
        <v>79</v>
      </c>
      <c r="G2442" t="n">
        <v>0</v>
      </c>
      <c r="H2442">
        <f>E2442*F2442*(1-G2442)</f>
        <v/>
      </c>
      <c r="I2442">
        <f>XLOOKUP(D2442,Products!$A$2:$A$15,Products!$B$2:$B$15,"Not found")</f>
        <v/>
      </c>
    </row>
    <row r="2443">
      <c r="A2443" t="n">
        <v>106762</v>
      </c>
      <c r="B2443" s="1" t="n">
        <v>45888</v>
      </c>
      <c r="C2443" t="inlineStr">
        <is>
          <t>S05</t>
        </is>
      </c>
      <c r="D2443" t="inlineStr">
        <is>
          <t>P203</t>
        </is>
      </c>
      <c r="E2443" t="n">
        <v>1</v>
      </c>
      <c r="F2443" t="n">
        <v>19.5</v>
      </c>
      <c r="G2443" t="n">
        <v>0</v>
      </c>
      <c r="H2443">
        <f>E2443*F2443*(1-G2443)</f>
        <v/>
      </c>
      <c r="I2443">
        <f>XLOOKUP(D2443,Products!$A$2:$A$15,Products!$B$2:$B$15,"Not found")</f>
        <v/>
      </c>
    </row>
    <row r="2444">
      <c r="A2444" t="n">
        <v>106763</v>
      </c>
      <c r="B2444" s="1" t="n">
        <v>45889</v>
      </c>
      <c r="C2444" t="inlineStr">
        <is>
          <t>S01</t>
        </is>
      </c>
      <c r="D2444" t="inlineStr">
        <is>
          <t>P103</t>
        </is>
      </c>
      <c r="E2444" t="n">
        <v>3</v>
      </c>
      <c r="F2444" t="n">
        <v>29</v>
      </c>
      <c r="G2444" t="n">
        <v>0.2</v>
      </c>
      <c r="H2444">
        <f>E2444*F2444*(1-G2444)</f>
        <v/>
      </c>
      <c r="I2444">
        <f>XLOOKUP(D2444,Products!$A$2:$A$15,Products!$B$2:$B$15,"Not found")</f>
        <v/>
      </c>
    </row>
    <row r="2445">
      <c r="A2445" t="n">
        <v>106764</v>
      </c>
      <c r="B2445" s="1" t="n">
        <v>45889</v>
      </c>
      <c r="C2445" t="inlineStr">
        <is>
          <t>S01</t>
        </is>
      </c>
      <c r="D2445" t="inlineStr">
        <is>
          <t>P102</t>
        </is>
      </c>
      <c r="E2445" t="n">
        <v>3</v>
      </c>
      <c r="F2445" t="n">
        <v>14.5</v>
      </c>
      <c r="G2445" t="n">
        <v>0</v>
      </c>
      <c r="H2445">
        <f>E2445*F2445*(1-G2445)</f>
        <v/>
      </c>
      <c r="I2445">
        <f>XLOOKUP(D2445,Products!$A$2:$A$15,Products!$B$2:$B$15,"Not found")</f>
        <v/>
      </c>
    </row>
    <row r="2446">
      <c r="A2446" t="n">
        <v>106765</v>
      </c>
      <c r="B2446" s="1" t="n">
        <v>45889</v>
      </c>
      <c r="C2446" t="inlineStr">
        <is>
          <t>S02</t>
        </is>
      </c>
      <c r="D2446" t="inlineStr">
        <is>
          <t>P101</t>
        </is>
      </c>
      <c r="E2446" t="n">
        <v>2</v>
      </c>
      <c r="F2446" t="n">
        <v>39</v>
      </c>
      <c r="G2446" t="n">
        <v>0.1</v>
      </c>
      <c r="H2446">
        <f>E2446*F2446*(1-G2446)</f>
        <v/>
      </c>
      <c r="I2446">
        <f>XLOOKUP(D2446,Products!$A$2:$A$15,Products!$B$2:$B$15,"Not found")</f>
        <v/>
      </c>
    </row>
    <row r="2447">
      <c r="A2447" t="n">
        <v>106766</v>
      </c>
      <c r="B2447" s="1" t="n">
        <v>45889</v>
      </c>
      <c r="C2447" t="inlineStr">
        <is>
          <t>S02</t>
        </is>
      </c>
      <c r="D2447" t="inlineStr">
        <is>
          <t>P102</t>
        </is>
      </c>
      <c r="E2447" t="n">
        <v>4</v>
      </c>
      <c r="F2447" t="n">
        <v>14.5</v>
      </c>
      <c r="G2447" t="n">
        <v>0</v>
      </c>
      <c r="H2447">
        <f>E2447*F2447*(1-G2447)</f>
        <v/>
      </c>
      <c r="I2447">
        <f>XLOOKUP(D2447,Products!$A$2:$A$15,Products!$B$2:$B$15,"Not found")</f>
        <v/>
      </c>
    </row>
    <row r="2448">
      <c r="A2448" t="n">
        <v>106767</v>
      </c>
      <c r="B2448" s="1" t="n">
        <v>45889</v>
      </c>
      <c r="C2448" t="inlineStr">
        <is>
          <t>S02</t>
        </is>
      </c>
      <c r="D2448" t="inlineStr">
        <is>
          <t>P301</t>
        </is>
      </c>
      <c r="E2448" t="n">
        <v>1</v>
      </c>
      <c r="F2448" t="n">
        <v>119</v>
      </c>
      <c r="G2448" t="n">
        <v>0</v>
      </c>
      <c r="H2448">
        <f>E2448*F2448*(1-G2448)</f>
        <v/>
      </c>
      <c r="I2448">
        <f>XLOOKUP(D2448,Products!$A$2:$A$15,Products!$B$2:$B$15,"Not found")</f>
        <v/>
      </c>
    </row>
    <row r="2449">
      <c r="A2449" t="n">
        <v>106768</v>
      </c>
      <c r="B2449" s="1" t="n">
        <v>45889</v>
      </c>
      <c r="C2449" t="inlineStr">
        <is>
          <t>S02</t>
        </is>
      </c>
      <c r="D2449" t="inlineStr">
        <is>
          <t>P302</t>
        </is>
      </c>
      <c r="E2449" t="n">
        <v>2</v>
      </c>
      <c r="F2449" t="n">
        <v>24</v>
      </c>
      <c r="G2449" t="n">
        <v>0.2</v>
      </c>
      <c r="H2449">
        <f>E2449*F2449*(1-G2449)</f>
        <v/>
      </c>
      <c r="I2449">
        <f>XLOOKUP(D2449,Products!$A$2:$A$15,Products!$B$2:$B$15,"Not found")</f>
        <v/>
      </c>
    </row>
    <row r="2450">
      <c r="A2450" t="n">
        <v>106769</v>
      </c>
      <c r="B2450" s="1" t="n">
        <v>45889</v>
      </c>
      <c r="C2450" t="inlineStr">
        <is>
          <t>S03</t>
        </is>
      </c>
      <c r="D2450" t="inlineStr">
        <is>
          <t>P102</t>
        </is>
      </c>
      <c r="E2450" t="n">
        <v>1</v>
      </c>
      <c r="F2450" t="n">
        <v>14.5</v>
      </c>
      <c r="G2450" t="n">
        <v>0.15</v>
      </c>
      <c r="H2450">
        <f>E2450*F2450*(1-G2450)</f>
        <v/>
      </c>
      <c r="I2450">
        <f>XLOOKUP(D2450,Products!$A$2:$A$15,Products!$B$2:$B$15,"Not found")</f>
        <v/>
      </c>
    </row>
    <row r="2451">
      <c r="A2451" t="n">
        <v>106770</v>
      </c>
      <c r="B2451" s="1" t="n">
        <v>45889</v>
      </c>
      <c r="C2451" t="inlineStr">
        <is>
          <t>S03</t>
        </is>
      </c>
      <c r="D2451" t="inlineStr">
        <is>
          <t>P102</t>
        </is>
      </c>
      <c r="E2451" t="n">
        <v>2</v>
      </c>
      <c r="F2451" t="n">
        <v>14.5</v>
      </c>
      <c r="G2451" t="n">
        <v>0</v>
      </c>
      <c r="H2451">
        <f>E2451*F2451*(1-G2451)</f>
        <v/>
      </c>
      <c r="I2451">
        <f>XLOOKUP(D2451,Products!$A$2:$A$15,Products!$B$2:$B$15,"Not found")</f>
        <v/>
      </c>
    </row>
    <row r="2452">
      <c r="A2452" t="n">
        <v>106771</v>
      </c>
      <c r="B2452" s="1" t="n">
        <v>45889</v>
      </c>
      <c r="C2452" t="inlineStr">
        <is>
          <t>S04</t>
        </is>
      </c>
      <c r="D2452" t="inlineStr">
        <is>
          <t>P203</t>
        </is>
      </c>
      <c r="E2452" t="n">
        <v>3</v>
      </c>
      <c r="F2452" t="n">
        <v>19.5</v>
      </c>
      <c r="G2452" t="n">
        <v>0</v>
      </c>
      <c r="H2452">
        <f>E2452*F2452*(1-G2452)</f>
        <v/>
      </c>
      <c r="I2452">
        <f>XLOOKUP(D2452,Products!$A$2:$A$15,Products!$B$2:$B$15,"Not found")</f>
        <v/>
      </c>
    </row>
    <row r="2453">
      <c r="A2453" t="n">
        <v>106772</v>
      </c>
      <c r="B2453" s="1" t="n">
        <v>45889</v>
      </c>
      <c r="C2453" t="inlineStr">
        <is>
          <t>S04</t>
        </is>
      </c>
      <c r="D2453" t="inlineStr">
        <is>
          <t>P303</t>
        </is>
      </c>
      <c r="E2453" t="n">
        <v>4</v>
      </c>
      <c r="F2453" t="n">
        <v>12</v>
      </c>
      <c r="G2453" t="n">
        <v>0.1</v>
      </c>
      <c r="H2453">
        <f>E2453*F2453*(1-G2453)</f>
        <v/>
      </c>
      <c r="I2453">
        <f>XLOOKUP(D2453,Products!$A$2:$A$15,Products!$B$2:$B$15,"Not found")</f>
        <v/>
      </c>
    </row>
    <row r="2454">
      <c r="A2454" t="n">
        <v>106773</v>
      </c>
      <c r="B2454" s="1" t="n">
        <v>45889</v>
      </c>
      <c r="C2454" t="inlineStr">
        <is>
          <t>S04</t>
        </is>
      </c>
      <c r="D2454" t="inlineStr">
        <is>
          <t>P202</t>
        </is>
      </c>
      <c r="E2454" t="n">
        <v>2</v>
      </c>
      <c r="F2454" t="n">
        <v>79</v>
      </c>
      <c r="G2454" t="n">
        <v>0</v>
      </c>
      <c r="H2454">
        <f>E2454*F2454*(1-G2454)</f>
        <v/>
      </c>
      <c r="I2454">
        <f>XLOOKUP(D2454,Products!$A$2:$A$15,Products!$B$2:$B$15,"Not found")</f>
        <v/>
      </c>
    </row>
    <row r="2455">
      <c r="A2455" t="n">
        <v>106774</v>
      </c>
      <c r="B2455" s="1" t="n">
        <v>45889</v>
      </c>
      <c r="C2455" t="inlineStr">
        <is>
          <t>S05</t>
        </is>
      </c>
      <c r="D2455" t="inlineStr">
        <is>
          <t>P203</t>
        </is>
      </c>
      <c r="E2455" t="n">
        <v>1</v>
      </c>
      <c r="F2455" t="n">
        <v>19.5</v>
      </c>
      <c r="G2455" t="n">
        <v>0</v>
      </c>
      <c r="H2455">
        <f>E2455*F2455*(1-G2455)</f>
        <v/>
      </c>
      <c r="I2455">
        <f>XLOOKUP(D2455,Products!$A$2:$A$15,Products!$B$2:$B$15,"Not found")</f>
        <v/>
      </c>
    </row>
    <row r="2456">
      <c r="A2456" t="n">
        <v>106775</v>
      </c>
      <c r="B2456" s="1" t="n">
        <v>45890</v>
      </c>
      <c r="C2456" t="inlineStr">
        <is>
          <t>S01</t>
        </is>
      </c>
      <c r="D2456" t="inlineStr">
        <is>
          <t>P303</t>
        </is>
      </c>
      <c r="E2456" t="n">
        <v>2</v>
      </c>
      <c r="F2456" t="n">
        <v>12</v>
      </c>
      <c r="G2456" t="n">
        <v>0.1</v>
      </c>
      <c r="H2456">
        <f>E2456*F2456*(1-G2456)</f>
        <v/>
      </c>
      <c r="I2456">
        <f>XLOOKUP(D2456,Products!$A$2:$A$15,Products!$B$2:$B$15,"Not found")</f>
        <v/>
      </c>
    </row>
    <row r="2457">
      <c r="A2457" t="n">
        <v>106776</v>
      </c>
      <c r="B2457" s="1" t="n">
        <v>45890</v>
      </c>
      <c r="C2457" t="inlineStr">
        <is>
          <t>S01</t>
        </is>
      </c>
      <c r="D2457" t="inlineStr">
        <is>
          <t>P403</t>
        </is>
      </c>
      <c r="E2457" t="n">
        <v>2</v>
      </c>
      <c r="F2457" t="n">
        <v>89</v>
      </c>
      <c r="G2457" t="n">
        <v>0</v>
      </c>
      <c r="H2457">
        <f>E2457*F2457*(1-G2457)</f>
        <v/>
      </c>
      <c r="I2457">
        <f>XLOOKUP(D2457,Products!$A$2:$A$15,Products!$B$2:$B$15,"Not found")</f>
        <v/>
      </c>
    </row>
    <row r="2458">
      <c r="A2458" t="n">
        <v>106777</v>
      </c>
      <c r="B2458" s="1" t="n">
        <v>45890</v>
      </c>
      <c r="C2458" t="inlineStr">
        <is>
          <t>S01</t>
        </is>
      </c>
      <c r="D2458" t="inlineStr">
        <is>
          <t>P204</t>
        </is>
      </c>
      <c r="E2458" t="n">
        <v>1</v>
      </c>
      <c r="F2458" t="n">
        <v>229</v>
      </c>
      <c r="G2458" t="n">
        <v>0.2</v>
      </c>
      <c r="H2458">
        <f>E2458*F2458*(1-G2458)</f>
        <v/>
      </c>
      <c r="I2458">
        <f>XLOOKUP(D2458,Products!$A$2:$A$15,Products!$B$2:$B$15,"Not found")</f>
        <v/>
      </c>
    </row>
    <row r="2459">
      <c r="A2459" t="n">
        <v>106778</v>
      </c>
      <c r="B2459" s="1" t="n">
        <v>45890</v>
      </c>
      <c r="C2459" t="inlineStr">
        <is>
          <t>S01</t>
        </is>
      </c>
      <c r="D2459" t="inlineStr">
        <is>
          <t>P303</t>
        </is>
      </c>
      <c r="E2459" t="n">
        <v>2</v>
      </c>
      <c r="F2459" t="n">
        <v>12</v>
      </c>
      <c r="G2459" t="n">
        <v>0</v>
      </c>
      <c r="H2459">
        <f>E2459*F2459*(1-G2459)</f>
        <v/>
      </c>
      <c r="I2459">
        <f>XLOOKUP(D2459,Products!$A$2:$A$15,Products!$B$2:$B$15,"Not found")</f>
        <v/>
      </c>
    </row>
    <row r="2460">
      <c r="A2460" t="n">
        <v>106779</v>
      </c>
      <c r="B2460" s="1" t="n">
        <v>45890</v>
      </c>
      <c r="C2460" t="inlineStr">
        <is>
          <t>S02</t>
        </is>
      </c>
      <c r="D2460" t="inlineStr">
        <is>
          <t>P104</t>
        </is>
      </c>
      <c r="E2460" t="n">
        <v>1</v>
      </c>
      <c r="F2460" t="n">
        <v>189</v>
      </c>
      <c r="G2460" t="n">
        <v>0</v>
      </c>
      <c r="H2460">
        <f>E2460*F2460*(1-G2460)</f>
        <v/>
      </c>
      <c r="I2460">
        <f>XLOOKUP(D2460,Products!$A$2:$A$15,Products!$B$2:$B$15,"Not found")</f>
        <v/>
      </c>
    </row>
    <row r="2461">
      <c r="A2461" t="n">
        <v>106780</v>
      </c>
      <c r="B2461" s="1" t="n">
        <v>45890</v>
      </c>
      <c r="C2461" t="inlineStr">
        <is>
          <t>S03</t>
        </is>
      </c>
      <c r="D2461" t="inlineStr">
        <is>
          <t>P302</t>
        </is>
      </c>
      <c r="E2461" t="n">
        <v>1</v>
      </c>
      <c r="F2461" t="n">
        <v>24</v>
      </c>
      <c r="G2461" t="n">
        <v>0</v>
      </c>
      <c r="H2461">
        <f>E2461*F2461*(1-G2461)</f>
        <v/>
      </c>
      <c r="I2461">
        <f>XLOOKUP(D2461,Products!$A$2:$A$15,Products!$B$2:$B$15,"Not found")</f>
        <v/>
      </c>
    </row>
    <row r="2462">
      <c r="A2462" t="n">
        <v>106781</v>
      </c>
      <c r="B2462" s="1" t="n">
        <v>45890</v>
      </c>
      <c r="C2462" t="inlineStr">
        <is>
          <t>S04</t>
        </is>
      </c>
      <c r="D2462" t="inlineStr">
        <is>
          <t>P203</t>
        </is>
      </c>
      <c r="E2462" t="n">
        <v>1</v>
      </c>
      <c r="F2462" t="n">
        <v>19.5</v>
      </c>
      <c r="G2462" t="n">
        <v>0</v>
      </c>
      <c r="H2462">
        <f>E2462*F2462*(1-G2462)</f>
        <v/>
      </c>
      <c r="I2462">
        <f>XLOOKUP(D2462,Products!$A$2:$A$15,Products!$B$2:$B$15,"Not found")</f>
        <v/>
      </c>
    </row>
    <row r="2463">
      <c r="A2463" t="n">
        <v>106782</v>
      </c>
      <c r="B2463" s="1" t="n">
        <v>45890</v>
      </c>
      <c r="C2463" t="inlineStr">
        <is>
          <t>S05</t>
        </is>
      </c>
      <c r="D2463" t="inlineStr">
        <is>
          <t>P301</t>
        </is>
      </c>
      <c r="E2463" t="n">
        <v>1</v>
      </c>
      <c r="F2463" t="n">
        <v>119</v>
      </c>
      <c r="G2463" t="n">
        <v>0.1</v>
      </c>
      <c r="H2463">
        <f>E2463*F2463*(1-G2463)</f>
        <v/>
      </c>
      <c r="I2463">
        <f>XLOOKUP(D2463,Products!$A$2:$A$15,Products!$B$2:$B$15,"Not found")</f>
        <v/>
      </c>
    </row>
    <row r="2464">
      <c r="A2464" t="n">
        <v>106783</v>
      </c>
      <c r="B2464" s="1" t="n">
        <v>45890</v>
      </c>
      <c r="C2464" t="inlineStr">
        <is>
          <t>S05</t>
        </is>
      </c>
      <c r="D2464" t="inlineStr">
        <is>
          <t>P102</t>
        </is>
      </c>
      <c r="E2464" t="n">
        <v>2</v>
      </c>
      <c r="F2464" t="n">
        <v>14.5</v>
      </c>
      <c r="G2464" t="n">
        <v>0</v>
      </c>
      <c r="H2464">
        <f>E2464*F2464*(1-G2464)</f>
        <v/>
      </c>
      <c r="I2464">
        <f>XLOOKUP(D2464,Products!$A$2:$A$15,Products!$B$2:$B$15,"Not found")</f>
        <v/>
      </c>
    </row>
    <row r="2465">
      <c r="A2465" t="n">
        <v>106784</v>
      </c>
      <c r="B2465" s="1" t="n">
        <v>45890</v>
      </c>
      <c r="C2465" t="inlineStr">
        <is>
          <t>S05</t>
        </is>
      </c>
      <c r="D2465" t="inlineStr">
        <is>
          <t>P102</t>
        </is>
      </c>
      <c r="E2465" t="n">
        <v>1</v>
      </c>
      <c r="F2465" t="n">
        <v>14.5</v>
      </c>
      <c r="G2465" t="n">
        <v>0</v>
      </c>
      <c r="H2465">
        <f>E2465*F2465*(1-G2465)</f>
        <v/>
      </c>
      <c r="I2465">
        <f>XLOOKUP(D2465,Products!$A$2:$A$15,Products!$B$2:$B$15,"Not found")</f>
        <v/>
      </c>
    </row>
    <row r="2466">
      <c r="A2466" t="n">
        <v>106785</v>
      </c>
      <c r="B2466" s="1" t="n">
        <v>45890</v>
      </c>
      <c r="C2466" t="inlineStr">
        <is>
          <t>S05</t>
        </is>
      </c>
      <c r="D2466" t="inlineStr">
        <is>
          <t>P101</t>
        </is>
      </c>
      <c r="E2466" t="n">
        <v>1</v>
      </c>
      <c r="F2466" t="n">
        <v>39</v>
      </c>
      <c r="G2466" t="n">
        <v>0.1</v>
      </c>
      <c r="H2466">
        <f>E2466*F2466*(1-G2466)</f>
        <v/>
      </c>
      <c r="I2466">
        <f>XLOOKUP(D2466,Products!$A$2:$A$15,Products!$B$2:$B$15,"Not found")</f>
        <v/>
      </c>
    </row>
    <row r="2467">
      <c r="A2467" t="n">
        <v>106786</v>
      </c>
      <c r="B2467" s="1" t="n">
        <v>45890</v>
      </c>
      <c r="C2467" t="inlineStr">
        <is>
          <t>S05</t>
        </is>
      </c>
      <c r="D2467" t="inlineStr">
        <is>
          <t>P203</t>
        </is>
      </c>
      <c r="E2467" t="n">
        <v>3</v>
      </c>
      <c r="F2467" t="n">
        <v>19.5</v>
      </c>
      <c r="G2467" t="n">
        <v>0</v>
      </c>
      <c r="H2467">
        <f>E2467*F2467*(1-G2467)</f>
        <v/>
      </c>
      <c r="I2467">
        <f>XLOOKUP(D2467,Products!$A$2:$A$15,Products!$B$2:$B$15,"Not found")</f>
        <v/>
      </c>
    </row>
    <row r="2468">
      <c r="A2468" t="n">
        <v>106787</v>
      </c>
      <c r="B2468" s="1" t="n">
        <v>45891</v>
      </c>
      <c r="C2468" t="inlineStr">
        <is>
          <t>S01</t>
        </is>
      </c>
      <c r="D2468" t="inlineStr">
        <is>
          <t>P202</t>
        </is>
      </c>
      <c r="E2468" t="n">
        <v>4</v>
      </c>
      <c r="F2468" t="n">
        <v>79</v>
      </c>
      <c r="G2468" t="n">
        <v>0.2</v>
      </c>
      <c r="H2468">
        <f>E2468*F2468*(1-G2468)</f>
        <v/>
      </c>
      <c r="I2468">
        <f>XLOOKUP(D2468,Products!$A$2:$A$15,Products!$B$2:$B$15,"Not found")</f>
        <v/>
      </c>
    </row>
    <row r="2469">
      <c r="A2469" t="n">
        <v>106788</v>
      </c>
      <c r="B2469" s="1" t="n">
        <v>45891</v>
      </c>
      <c r="C2469" t="inlineStr">
        <is>
          <t>S01</t>
        </is>
      </c>
      <c r="D2469" t="inlineStr">
        <is>
          <t>P302</t>
        </is>
      </c>
      <c r="E2469" t="n">
        <v>2</v>
      </c>
      <c r="F2469" t="n">
        <v>24</v>
      </c>
      <c r="G2469" t="n">
        <v>0.2</v>
      </c>
      <c r="H2469">
        <f>E2469*F2469*(1-G2469)</f>
        <v/>
      </c>
      <c r="I2469">
        <f>XLOOKUP(D2469,Products!$A$2:$A$15,Products!$B$2:$B$15,"Not found")</f>
        <v/>
      </c>
    </row>
    <row r="2470">
      <c r="A2470" t="n">
        <v>106789</v>
      </c>
      <c r="B2470" s="1" t="n">
        <v>45891</v>
      </c>
      <c r="C2470" t="inlineStr">
        <is>
          <t>S03</t>
        </is>
      </c>
      <c r="D2470" t="inlineStr">
        <is>
          <t>P103</t>
        </is>
      </c>
      <c r="E2470" t="n">
        <v>1</v>
      </c>
      <c r="F2470" t="n">
        <v>29</v>
      </c>
      <c r="G2470" t="n">
        <v>0</v>
      </c>
      <c r="H2470">
        <f>E2470*F2470*(1-G2470)</f>
        <v/>
      </c>
      <c r="I2470">
        <f>XLOOKUP(D2470,Products!$A$2:$A$15,Products!$B$2:$B$15,"Not found")</f>
        <v/>
      </c>
    </row>
    <row r="2471">
      <c r="A2471" t="n">
        <v>106790</v>
      </c>
      <c r="B2471" s="1" t="n">
        <v>45891</v>
      </c>
      <c r="C2471" t="inlineStr">
        <is>
          <t>S04</t>
        </is>
      </c>
      <c r="D2471" t="inlineStr">
        <is>
          <t>P101</t>
        </is>
      </c>
      <c r="E2471" t="n">
        <v>2</v>
      </c>
      <c r="F2471" t="n">
        <v>39</v>
      </c>
      <c r="G2471" t="n">
        <v>0</v>
      </c>
      <c r="H2471">
        <f>E2471*F2471*(1-G2471)</f>
        <v/>
      </c>
      <c r="I2471">
        <f>XLOOKUP(D2471,Products!$A$2:$A$15,Products!$B$2:$B$15,"Not found")</f>
        <v/>
      </c>
    </row>
    <row r="2472">
      <c r="A2472" t="n">
        <v>106791</v>
      </c>
      <c r="B2472" s="1" t="n">
        <v>45891</v>
      </c>
      <c r="C2472" t="inlineStr">
        <is>
          <t>S04</t>
        </is>
      </c>
      <c r="D2472" t="inlineStr">
        <is>
          <t>P302</t>
        </is>
      </c>
      <c r="E2472" t="n">
        <v>3</v>
      </c>
      <c r="F2472" t="n">
        <v>24</v>
      </c>
      <c r="G2472" t="n">
        <v>0</v>
      </c>
      <c r="H2472">
        <f>E2472*F2472*(1-G2472)</f>
        <v/>
      </c>
      <c r="I2472">
        <f>XLOOKUP(D2472,Products!$A$2:$A$15,Products!$B$2:$B$15,"Not found")</f>
        <v/>
      </c>
    </row>
    <row r="2473">
      <c r="A2473" t="n">
        <v>106792</v>
      </c>
      <c r="B2473" s="1" t="n">
        <v>45891</v>
      </c>
      <c r="C2473" t="inlineStr">
        <is>
          <t>S04</t>
        </is>
      </c>
      <c r="D2473" t="inlineStr">
        <is>
          <t>P203</t>
        </is>
      </c>
      <c r="E2473" t="n">
        <v>4</v>
      </c>
      <c r="F2473" t="n">
        <v>19.5</v>
      </c>
      <c r="G2473" t="n">
        <v>0</v>
      </c>
      <c r="H2473">
        <f>E2473*F2473*(1-G2473)</f>
        <v/>
      </c>
      <c r="I2473">
        <f>XLOOKUP(D2473,Products!$A$2:$A$15,Products!$B$2:$B$15,"Not found")</f>
        <v/>
      </c>
    </row>
    <row r="2474">
      <c r="A2474" t="n">
        <v>106793</v>
      </c>
      <c r="B2474" s="1" t="n">
        <v>45891</v>
      </c>
      <c r="C2474" t="inlineStr">
        <is>
          <t>S04</t>
        </is>
      </c>
      <c r="D2474" t="inlineStr">
        <is>
          <t>P101</t>
        </is>
      </c>
      <c r="E2474" t="n">
        <v>3</v>
      </c>
      <c r="F2474" t="n">
        <v>39</v>
      </c>
      <c r="G2474" t="n">
        <v>0.1</v>
      </c>
      <c r="H2474">
        <f>E2474*F2474*(1-G2474)</f>
        <v/>
      </c>
      <c r="I2474">
        <f>XLOOKUP(D2474,Products!$A$2:$A$15,Products!$B$2:$B$15,"Not found")</f>
        <v/>
      </c>
    </row>
    <row r="2475">
      <c r="A2475" t="n">
        <v>106794</v>
      </c>
      <c r="B2475" s="1" t="n">
        <v>45891</v>
      </c>
      <c r="C2475" t="inlineStr">
        <is>
          <t>S04</t>
        </is>
      </c>
      <c r="D2475" t="inlineStr">
        <is>
          <t>P303</t>
        </is>
      </c>
      <c r="E2475" t="n">
        <v>1</v>
      </c>
      <c r="F2475" t="n">
        <v>12</v>
      </c>
      <c r="G2475" t="n">
        <v>0.15</v>
      </c>
      <c r="H2475">
        <f>E2475*F2475*(1-G2475)</f>
        <v/>
      </c>
      <c r="I2475">
        <f>XLOOKUP(D2475,Products!$A$2:$A$15,Products!$B$2:$B$15,"Not found")</f>
        <v/>
      </c>
    </row>
    <row r="2476">
      <c r="A2476" t="n">
        <v>106795</v>
      </c>
      <c r="B2476" s="1" t="n">
        <v>45891</v>
      </c>
      <c r="C2476" t="inlineStr">
        <is>
          <t>S05</t>
        </is>
      </c>
      <c r="D2476" t="inlineStr">
        <is>
          <t>P102</t>
        </is>
      </c>
      <c r="E2476" t="n">
        <v>2</v>
      </c>
      <c r="F2476" t="n">
        <v>14.5</v>
      </c>
      <c r="G2476" t="n">
        <v>0.2</v>
      </c>
      <c r="H2476">
        <f>E2476*F2476*(1-G2476)</f>
        <v/>
      </c>
      <c r="I2476">
        <f>XLOOKUP(D2476,Products!$A$2:$A$15,Products!$B$2:$B$15,"Not found")</f>
        <v/>
      </c>
    </row>
    <row r="2477">
      <c r="A2477" t="n">
        <v>106796</v>
      </c>
      <c r="B2477" s="1" t="n">
        <v>45891</v>
      </c>
      <c r="C2477" t="inlineStr">
        <is>
          <t>S06</t>
        </is>
      </c>
      <c r="D2477" t="inlineStr">
        <is>
          <t>P201</t>
        </is>
      </c>
      <c r="E2477" t="n">
        <v>1</v>
      </c>
      <c r="F2477" t="n">
        <v>149</v>
      </c>
      <c r="G2477" t="n">
        <v>0</v>
      </c>
      <c r="H2477">
        <f>E2477*F2477*(1-G2477)</f>
        <v/>
      </c>
      <c r="I2477">
        <f>XLOOKUP(D2477,Products!$A$2:$A$15,Products!$B$2:$B$15,"Not found")</f>
        <v/>
      </c>
    </row>
    <row r="2478">
      <c r="A2478" t="n">
        <v>106797</v>
      </c>
      <c r="B2478" s="1" t="n">
        <v>45892</v>
      </c>
      <c r="C2478" t="inlineStr">
        <is>
          <t>S01</t>
        </is>
      </c>
      <c r="D2478" t="inlineStr">
        <is>
          <t>P101</t>
        </is>
      </c>
      <c r="E2478" t="n">
        <v>1</v>
      </c>
      <c r="F2478" t="n">
        <v>39</v>
      </c>
      <c r="G2478" t="n">
        <v>0.1</v>
      </c>
      <c r="H2478">
        <f>E2478*F2478*(1-G2478)</f>
        <v/>
      </c>
      <c r="I2478">
        <f>XLOOKUP(D2478,Products!$A$2:$A$15,Products!$B$2:$B$15,"Not found")</f>
        <v/>
      </c>
    </row>
    <row r="2479">
      <c r="A2479" t="n">
        <v>106798</v>
      </c>
      <c r="B2479" s="1" t="n">
        <v>45892</v>
      </c>
      <c r="C2479" t="inlineStr">
        <is>
          <t>S01</t>
        </is>
      </c>
      <c r="D2479" t="inlineStr">
        <is>
          <t>P201</t>
        </is>
      </c>
      <c r="E2479" t="n">
        <v>1</v>
      </c>
      <c r="F2479" t="n">
        <v>149</v>
      </c>
      <c r="G2479" t="n">
        <v>0</v>
      </c>
      <c r="H2479">
        <f>E2479*F2479*(1-G2479)</f>
        <v/>
      </c>
      <c r="I2479">
        <f>XLOOKUP(D2479,Products!$A$2:$A$15,Products!$B$2:$B$15,"Not found")</f>
        <v/>
      </c>
    </row>
    <row r="2480">
      <c r="A2480" t="n">
        <v>106799</v>
      </c>
      <c r="B2480" s="1" t="n">
        <v>45892</v>
      </c>
      <c r="C2480" t="inlineStr">
        <is>
          <t>S01</t>
        </is>
      </c>
      <c r="D2480" t="inlineStr">
        <is>
          <t>P301</t>
        </is>
      </c>
      <c r="E2480" t="n">
        <v>1</v>
      </c>
      <c r="F2480" t="n">
        <v>119</v>
      </c>
      <c r="G2480" t="n">
        <v>0.15</v>
      </c>
      <c r="H2480">
        <f>E2480*F2480*(1-G2480)</f>
        <v/>
      </c>
      <c r="I2480">
        <f>XLOOKUP(D2480,Products!$A$2:$A$15,Products!$B$2:$B$15,"Not found")</f>
        <v/>
      </c>
    </row>
    <row r="2481">
      <c r="A2481" t="n">
        <v>106800</v>
      </c>
      <c r="B2481" s="1" t="n">
        <v>45892</v>
      </c>
      <c r="C2481" t="inlineStr">
        <is>
          <t>S01</t>
        </is>
      </c>
      <c r="D2481" t="inlineStr">
        <is>
          <t>P201</t>
        </is>
      </c>
      <c r="E2481" t="n">
        <v>1</v>
      </c>
      <c r="F2481" t="n">
        <v>149</v>
      </c>
      <c r="G2481" t="n">
        <v>0.15</v>
      </c>
      <c r="H2481">
        <f>E2481*F2481*(1-G2481)</f>
        <v/>
      </c>
      <c r="I2481">
        <f>XLOOKUP(D2481,Products!$A$2:$A$15,Products!$B$2:$B$15,"Not found")</f>
        <v/>
      </c>
    </row>
    <row r="2482">
      <c r="A2482" t="n">
        <v>106801</v>
      </c>
      <c r="B2482" s="1" t="n">
        <v>45892</v>
      </c>
      <c r="C2482" t="inlineStr">
        <is>
          <t>S01</t>
        </is>
      </c>
      <c r="D2482" t="inlineStr">
        <is>
          <t>P101</t>
        </is>
      </c>
      <c r="E2482" t="n">
        <v>1</v>
      </c>
      <c r="F2482" t="n">
        <v>39</v>
      </c>
      <c r="G2482" t="n">
        <v>0</v>
      </c>
      <c r="H2482">
        <f>E2482*F2482*(1-G2482)</f>
        <v/>
      </c>
      <c r="I2482">
        <f>XLOOKUP(D2482,Products!$A$2:$A$15,Products!$B$2:$B$15,"Not found")</f>
        <v/>
      </c>
    </row>
    <row r="2483">
      <c r="A2483" t="n">
        <v>106802</v>
      </c>
      <c r="B2483" s="1" t="n">
        <v>45892</v>
      </c>
      <c r="C2483" t="inlineStr">
        <is>
          <t>S01</t>
        </is>
      </c>
      <c r="D2483" t="inlineStr">
        <is>
          <t>P101</t>
        </is>
      </c>
      <c r="E2483" t="n">
        <v>1</v>
      </c>
      <c r="F2483" t="n">
        <v>39</v>
      </c>
      <c r="G2483" t="n">
        <v>0</v>
      </c>
      <c r="H2483">
        <f>E2483*F2483*(1-G2483)</f>
        <v/>
      </c>
      <c r="I2483">
        <f>XLOOKUP(D2483,Products!$A$2:$A$15,Products!$B$2:$B$15,"Not found")</f>
        <v/>
      </c>
    </row>
    <row r="2484">
      <c r="A2484" t="n">
        <v>106803</v>
      </c>
      <c r="B2484" s="1" t="n">
        <v>45892</v>
      </c>
      <c r="C2484" t="inlineStr">
        <is>
          <t>S01</t>
        </is>
      </c>
      <c r="D2484" t="inlineStr">
        <is>
          <t>P104</t>
        </is>
      </c>
      <c r="E2484" t="n">
        <v>1</v>
      </c>
      <c r="F2484" t="n">
        <v>189</v>
      </c>
      <c r="G2484" t="n">
        <v>0.1</v>
      </c>
      <c r="H2484">
        <f>E2484*F2484*(1-G2484)</f>
        <v/>
      </c>
      <c r="I2484">
        <f>XLOOKUP(D2484,Products!$A$2:$A$15,Products!$B$2:$B$15,"Not found")</f>
        <v/>
      </c>
    </row>
    <row r="2485">
      <c r="A2485" t="n">
        <v>106804</v>
      </c>
      <c r="B2485" s="1" t="n">
        <v>45892</v>
      </c>
      <c r="C2485" t="inlineStr">
        <is>
          <t>S01</t>
        </is>
      </c>
      <c r="D2485" t="inlineStr">
        <is>
          <t>P403</t>
        </is>
      </c>
      <c r="E2485" t="n">
        <v>2</v>
      </c>
      <c r="F2485" t="n">
        <v>89</v>
      </c>
      <c r="G2485" t="n">
        <v>0</v>
      </c>
      <c r="H2485">
        <f>E2485*F2485*(1-G2485)</f>
        <v/>
      </c>
      <c r="I2485">
        <f>XLOOKUP(D2485,Products!$A$2:$A$15,Products!$B$2:$B$15,"Not found")</f>
        <v/>
      </c>
    </row>
    <row r="2486">
      <c r="A2486" t="n">
        <v>106805</v>
      </c>
      <c r="B2486" s="1" t="n">
        <v>45892</v>
      </c>
      <c r="C2486" t="inlineStr">
        <is>
          <t>S01</t>
        </is>
      </c>
      <c r="D2486" t="inlineStr">
        <is>
          <t>P203</t>
        </is>
      </c>
      <c r="E2486" t="n">
        <v>1</v>
      </c>
      <c r="F2486" t="n">
        <v>19.5</v>
      </c>
      <c r="G2486" t="n">
        <v>0.2</v>
      </c>
      <c r="H2486">
        <f>E2486*F2486*(1-G2486)</f>
        <v/>
      </c>
      <c r="I2486">
        <f>XLOOKUP(D2486,Products!$A$2:$A$15,Products!$B$2:$B$15,"Not found")</f>
        <v/>
      </c>
    </row>
    <row r="2487">
      <c r="A2487" t="n">
        <v>106806</v>
      </c>
      <c r="B2487" s="1" t="n">
        <v>45892</v>
      </c>
      <c r="C2487" t="inlineStr">
        <is>
          <t>S01</t>
        </is>
      </c>
      <c r="D2487" t="inlineStr">
        <is>
          <t>P102</t>
        </is>
      </c>
      <c r="E2487" t="n">
        <v>2</v>
      </c>
      <c r="F2487" t="n">
        <v>14.5</v>
      </c>
      <c r="G2487" t="n">
        <v>0</v>
      </c>
      <c r="H2487">
        <f>E2487*F2487*(1-G2487)</f>
        <v/>
      </c>
      <c r="I2487">
        <f>XLOOKUP(D2487,Products!$A$2:$A$15,Products!$B$2:$B$15,"Not found")</f>
        <v/>
      </c>
    </row>
    <row r="2488">
      <c r="A2488" t="n">
        <v>106807</v>
      </c>
      <c r="B2488" s="1" t="n">
        <v>45892</v>
      </c>
      <c r="C2488" t="inlineStr">
        <is>
          <t>S01</t>
        </is>
      </c>
      <c r="D2488" t="inlineStr">
        <is>
          <t>P101</t>
        </is>
      </c>
      <c r="E2488" t="n">
        <v>4</v>
      </c>
      <c r="F2488" t="n">
        <v>39</v>
      </c>
      <c r="G2488" t="n">
        <v>0.15</v>
      </c>
      <c r="H2488">
        <f>E2488*F2488*(1-G2488)</f>
        <v/>
      </c>
      <c r="I2488">
        <f>XLOOKUP(D2488,Products!$A$2:$A$15,Products!$B$2:$B$15,"Not found")</f>
        <v/>
      </c>
    </row>
    <row r="2489">
      <c r="A2489" t="n">
        <v>106808</v>
      </c>
      <c r="B2489" s="1" t="n">
        <v>45892</v>
      </c>
      <c r="C2489" t="inlineStr">
        <is>
          <t>S02</t>
        </is>
      </c>
      <c r="D2489" t="inlineStr">
        <is>
          <t>P303</t>
        </is>
      </c>
      <c r="E2489" t="n">
        <v>1</v>
      </c>
      <c r="F2489" t="n">
        <v>12</v>
      </c>
      <c r="G2489" t="n">
        <v>0.2</v>
      </c>
      <c r="H2489">
        <f>E2489*F2489*(1-G2489)</f>
        <v/>
      </c>
      <c r="I2489">
        <f>XLOOKUP(D2489,Products!$A$2:$A$15,Products!$B$2:$B$15,"Not found")</f>
        <v/>
      </c>
    </row>
    <row r="2490">
      <c r="A2490" t="n">
        <v>106809</v>
      </c>
      <c r="B2490" s="1" t="n">
        <v>45892</v>
      </c>
      <c r="C2490" t="inlineStr">
        <is>
          <t>S02</t>
        </is>
      </c>
      <c r="D2490" t="inlineStr">
        <is>
          <t>P102</t>
        </is>
      </c>
      <c r="E2490" t="n">
        <v>3</v>
      </c>
      <c r="F2490" t="n">
        <v>14.5</v>
      </c>
      <c r="G2490" t="n">
        <v>0.1</v>
      </c>
      <c r="H2490">
        <f>E2490*F2490*(1-G2490)</f>
        <v/>
      </c>
      <c r="I2490">
        <f>XLOOKUP(D2490,Products!$A$2:$A$15,Products!$B$2:$B$15,"Not found")</f>
        <v/>
      </c>
    </row>
    <row r="2491">
      <c r="A2491" t="n">
        <v>106810</v>
      </c>
      <c r="B2491" s="1" t="n">
        <v>45892</v>
      </c>
      <c r="C2491" t="inlineStr">
        <is>
          <t>S02</t>
        </is>
      </c>
      <c r="D2491" t="inlineStr">
        <is>
          <t>P104</t>
        </is>
      </c>
      <c r="E2491" t="n">
        <v>1</v>
      </c>
      <c r="F2491" t="n">
        <v>189</v>
      </c>
      <c r="G2491" t="n">
        <v>0</v>
      </c>
      <c r="H2491">
        <f>E2491*F2491*(1-G2491)</f>
        <v/>
      </c>
      <c r="I2491">
        <f>XLOOKUP(D2491,Products!$A$2:$A$15,Products!$B$2:$B$15,"Not found")</f>
        <v/>
      </c>
    </row>
    <row r="2492">
      <c r="A2492" t="n">
        <v>106811</v>
      </c>
      <c r="B2492" s="1" t="n">
        <v>45892</v>
      </c>
      <c r="C2492" t="inlineStr">
        <is>
          <t>S03</t>
        </is>
      </c>
      <c r="D2492" t="inlineStr">
        <is>
          <t>P302</t>
        </is>
      </c>
      <c r="E2492" t="n">
        <v>2</v>
      </c>
      <c r="F2492" t="n">
        <v>24</v>
      </c>
      <c r="G2492" t="n">
        <v>0</v>
      </c>
      <c r="H2492">
        <f>E2492*F2492*(1-G2492)</f>
        <v/>
      </c>
      <c r="I2492">
        <f>XLOOKUP(D2492,Products!$A$2:$A$15,Products!$B$2:$B$15,"Not found")</f>
        <v/>
      </c>
    </row>
    <row r="2493">
      <c r="A2493" t="n">
        <v>106812</v>
      </c>
      <c r="B2493" s="1" t="n">
        <v>45892</v>
      </c>
      <c r="C2493" t="inlineStr">
        <is>
          <t>S03</t>
        </is>
      </c>
      <c r="D2493" t="inlineStr">
        <is>
          <t>P303</t>
        </is>
      </c>
      <c r="E2493" t="n">
        <v>2</v>
      </c>
      <c r="F2493" t="n">
        <v>12</v>
      </c>
      <c r="G2493" t="n">
        <v>0</v>
      </c>
      <c r="H2493">
        <f>E2493*F2493*(1-G2493)</f>
        <v/>
      </c>
      <c r="I2493">
        <f>XLOOKUP(D2493,Products!$A$2:$A$15,Products!$B$2:$B$15,"Not found")</f>
        <v/>
      </c>
    </row>
    <row r="2494">
      <c r="A2494" t="n">
        <v>106813</v>
      </c>
      <c r="B2494" s="1" t="n">
        <v>45892</v>
      </c>
      <c r="C2494" t="inlineStr">
        <is>
          <t>S03</t>
        </is>
      </c>
      <c r="D2494" t="inlineStr">
        <is>
          <t>P103</t>
        </is>
      </c>
      <c r="E2494" t="n">
        <v>4</v>
      </c>
      <c r="F2494" t="n">
        <v>29</v>
      </c>
      <c r="G2494" t="n">
        <v>0</v>
      </c>
      <c r="H2494">
        <f>E2494*F2494*(1-G2494)</f>
        <v/>
      </c>
      <c r="I2494">
        <f>XLOOKUP(D2494,Products!$A$2:$A$15,Products!$B$2:$B$15,"Not found")</f>
        <v/>
      </c>
    </row>
    <row r="2495">
      <c r="A2495" t="n">
        <v>106814</v>
      </c>
      <c r="B2495" s="1" t="n">
        <v>45892</v>
      </c>
      <c r="C2495" t="inlineStr">
        <is>
          <t>S04</t>
        </is>
      </c>
      <c r="D2495" t="inlineStr">
        <is>
          <t>P101</t>
        </is>
      </c>
      <c r="E2495" t="n">
        <v>4</v>
      </c>
      <c r="F2495" t="n">
        <v>39</v>
      </c>
      <c r="G2495" t="n">
        <v>0.15</v>
      </c>
      <c r="H2495">
        <f>E2495*F2495*(1-G2495)</f>
        <v/>
      </c>
      <c r="I2495">
        <f>XLOOKUP(D2495,Products!$A$2:$A$15,Products!$B$2:$B$15,"Not found")</f>
        <v/>
      </c>
    </row>
    <row r="2496">
      <c r="A2496" t="n">
        <v>106815</v>
      </c>
      <c r="B2496" s="1" t="n">
        <v>45892</v>
      </c>
      <c r="C2496" t="inlineStr">
        <is>
          <t>S06</t>
        </is>
      </c>
      <c r="D2496" t="inlineStr">
        <is>
          <t>P202</t>
        </is>
      </c>
      <c r="E2496" t="n">
        <v>4</v>
      </c>
      <c r="F2496" t="n">
        <v>79</v>
      </c>
      <c r="G2496" t="n">
        <v>0</v>
      </c>
      <c r="H2496">
        <f>E2496*F2496*(1-G2496)</f>
        <v/>
      </c>
      <c r="I2496">
        <f>XLOOKUP(D2496,Products!$A$2:$A$15,Products!$B$2:$B$15,"Not found")</f>
        <v/>
      </c>
    </row>
    <row r="2497">
      <c r="A2497" t="n">
        <v>106816</v>
      </c>
      <c r="B2497" s="1" t="n">
        <v>45892</v>
      </c>
      <c r="C2497" t="inlineStr">
        <is>
          <t>S06</t>
        </is>
      </c>
      <c r="D2497" t="inlineStr">
        <is>
          <t>P102</t>
        </is>
      </c>
      <c r="E2497" t="n">
        <v>1</v>
      </c>
      <c r="F2497" t="n">
        <v>14.5</v>
      </c>
      <c r="G2497" t="n">
        <v>0</v>
      </c>
      <c r="H2497">
        <f>E2497*F2497*(1-G2497)</f>
        <v/>
      </c>
      <c r="I2497">
        <f>XLOOKUP(D2497,Products!$A$2:$A$15,Products!$B$2:$B$15,"Not found")</f>
        <v/>
      </c>
    </row>
    <row r="2498">
      <c r="A2498" t="n">
        <v>106817</v>
      </c>
      <c r="B2498" s="1" t="n">
        <v>45893</v>
      </c>
      <c r="C2498" t="inlineStr">
        <is>
          <t>S01</t>
        </is>
      </c>
      <c r="D2498" t="inlineStr">
        <is>
          <t>P101</t>
        </is>
      </c>
      <c r="E2498" t="n">
        <v>1</v>
      </c>
      <c r="F2498" t="n">
        <v>39</v>
      </c>
      <c r="G2498" t="n">
        <v>0.2</v>
      </c>
      <c r="H2498">
        <f>E2498*F2498*(1-G2498)</f>
        <v/>
      </c>
      <c r="I2498">
        <f>XLOOKUP(D2498,Products!$A$2:$A$15,Products!$B$2:$B$15,"Not found")</f>
        <v/>
      </c>
    </row>
    <row r="2499">
      <c r="A2499" t="n">
        <v>106818</v>
      </c>
      <c r="B2499" s="1" t="n">
        <v>45893</v>
      </c>
      <c r="C2499" t="inlineStr">
        <is>
          <t>S01</t>
        </is>
      </c>
      <c r="D2499" t="inlineStr">
        <is>
          <t>P202</t>
        </is>
      </c>
      <c r="E2499" t="n">
        <v>1</v>
      </c>
      <c r="F2499" t="n">
        <v>79</v>
      </c>
      <c r="G2499" t="n">
        <v>0.15</v>
      </c>
      <c r="H2499">
        <f>E2499*F2499*(1-G2499)</f>
        <v/>
      </c>
      <c r="I2499">
        <f>XLOOKUP(D2499,Products!$A$2:$A$15,Products!$B$2:$B$15,"Not found")</f>
        <v/>
      </c>
    </row>
    <row r="2500">
      <c r="A2500" t="n">
        <v>106819</v>
      </c>
      <c r="B2500" s="1" t="n">
        <v>45893</v>
      </c>
      <c r="C2500" t="inlineStr">
        <is>
          <t>S01</t>
        </is>
      </c>
      <c r="D2500" t="inlineStr">
        <is>
          <t>P102</t>
        </is>
      </c>
      <c r="E2500" t="n">
        <v>1</v>
      </c>
      <c r="F2500" t="n">
        <v>14.5</v>
      </c>
      <c r="G2500" t="n">
        <v>0.2</v>
      </c>
      <c r="H2500">
        <f>E2500*F2500*(1-G2500)</f>
        <v/>
      </c>
      <c r="I2500">
        <f>XLOOKUP(D2500,Products!$A$2:$A$15,Products!$B$2:$B$15,"Not found")</f>
        <v/>
      </c>
    </row>
    <row r="2501">
      <c r="A2501" t="n">
        <v>106820</v>
      </c>
      <c r="B2501" s="1" t="n">
        <v>45893</v>
      </c>
      <c r="C2501" t="inlineStr">
        <is>
          <t>S01</t>
        </is>
      </c>
      <c r="D2501" t="inlineStr">
        <is>
          <t>P302</t>
        </is>
      </c>
      <c r="E2501" t="n">
        <v>1</v>
      </c>
      <c r="F2501" t="n">
        <v>24</v>
      </c>
      <c r="G2501" t="n">
        <v>0</v>
      </c>
      <c r="H2501">
        <f>E2501*F2501*(1-G2501)</f>
        <v/>
      </c>
      <c r="I2501">
        <f>XLOOKUP(D2501,Products!$A$2:$A$15,Products!$B$2:$B$15,"Not found")</f>
        <v/>
      </c>
    </row>
    <row r="2502">
      <c r="A2502" t="n">
        <v>106821</v>
      </c>
      <c r="B2502" s="1" t="n">
        <v>45893</v>
      </c>
      <c r="C2502" t="inlineStr">
        <is>
          <t>S01</t>
        </is>
      </c>
      <c r="D2502" t="inlineStr">
        <is>
          <t>P103</t>
        </is>
      </c>
      <c r="E2502" t="n">
        <v>1</v>
      </c>
      <c r="F2502" t="n">
        <v>29</v>
      </c>
      <c r="G2502" t="n">
        <v>0.1</v>
      </c>
      <c r="H2502">
        <f>E2502*F2502*(1-G2502)</f>
        <v/>
      </c>
      <c r="I2502">
        <f>XLOOKUP(D2502,Products!$A$2:$A$15,Products!$B$2:$B$15,"Not found")</f>
        <v/>
      </c>
    </row>
    <row r="2503">
      <c r="A2503" t="n">
        <v>106822</v>
      </c>
      <c r="B2503" s="1" t="n">
        <v>45893</v>
      </c>
      <c r="C2503" t="inlineStr">
        <is>
          <t>S01</t>
        </is>
      </c>
      <c r="D2503" t="inlineStr">
        <is>
          <t>P202</t>
        </is>
      </c>
      <c r="E2503" t="n">
        <v>1</v>
      </c>
      <c r="F2503" t="n">
        <v>79</v>
      </c>
      <c r="G2503" t="n">
        <v>0</v>
      </c>
      <c r="H2503">
        <f>E2503*F2503*(1-G2503)</f>
        <v/>
      </c>
      <c r="I2503">
        <f>XLOOKUP(D2503,Products!$A$2:$A$15,Products!$B$2:$B$15,"Not found")</f>
        <v/>
      </c>
    </row>
    <row r="2504">
      <c r="A2504" t="n">
        <v>106823</v>
      </c>
      <c r="B2504" s="1" t="n">
        <v>45893</v>
      </c>
      <c r="C2504" t="inlineStr">
        <is>
          <t>S02</t>
        </is>
      </c>
      <c r="D2504" t="inlineStr">
        <is>
          <t>P201</t>
        </is>
      </c>
      <c r="E2504" t="n">
        <v>1</v>
      </c>
      <c r="F2504" t="n">
        <v>149</v>
      </c>
      <c r="G2504" t="n">
        <v>0</v>
      </c>
      <c r="H2504">
        <f>E2504*F2504*(1-G2504)</f>
        <v/>
      </c>
      <c r="I2504">
        <f>XLOOKUP(D2504,Products!$A$2:$A$15,Products!$B$2:$B$15,"Not found")</f>
        <v/>
      </c>
    </row>
    <row r="2505">
      <c r="A2505" t="n">
        <v>106824</v>
      </c>
      <c r="B2505" s="1" t="n">
        <v>45893</v>
      </c>
      <c r="C2505" t="inlineStr">
        <is>
          <t>S02</t>
        </is>
      </c>
      <c r="D2505" t="inlineStr">
        <is>
          <t>P203</t>
        </is>
      </c>
      <c r="E2505" t="n">
        <v>2</v>
      </c>
      <c r="F2505" t="n">
        <v>19.5</v>
      </c>
      <c r="G2505" t="n">
        <v>0</v>
      </c>
      <c r="H2505">
        <f>E2505*F2505*(1-G2505)</f>
        <v/>
      </c>
      <c r="I2505">
        <f>XLOOKUP(D2505,Products!$A$2:$A$15,Products!$B$2:$B$15,"Not found")</f>
        <v/>
      </c>
    </row>
    <row r="2506">
      <c r="A2506" t="n">
        <v>106825</v>
      </c>
      <c r="B2506" s="1" t="n">
        <v>45893</v>
      </c>
      <c r="C2506" t="inlineStr">
        <is>
          <t>S02</t>
        </is>
      </c>
      <c r="D2506" t="inlineStr">
        <is>
          <t>P102</t>
        </is>
      </c>
      <c r="E2506" t="n">
        <v>2</v>
      </c>
      <c r="F2506" t="n">
        <v>14.5</v>
      </c>
      <c r="G2506" t="n">
        <v>0</v>
      </c>
      <c r="H2506">
        <f>E2506*F2506*(1-G2506)</f>
        <v/>
      </c>
      <c r="I2506">
        <f>XLOOKUP(D2506,Products!$A$2:$A$15,Products!$B$2:$B$15,"Not found")</f>
        <v/>
      </c>
    </row>
    <row r="2507">
      <c r="A2507" t="n">
        <v>106826</v>
      </c>
      <c r="B2507" s="1" t="n">
        <v>45893</v>
      </c>
      <c r="C2507" t="inlineStr">
        <is>
          <t>S02</t>
        </is>
      </c>
      <c r="D2507" t="inlineStr">
        <is>
          <t>P301</t>
        </is>
      </c>
      <c r="E2507" t="n">
        <v>1</v>
      </c>
      <c r="F2507" t="n">
        <v>119</v>
      </c>
      <c r="G2507" t="n">
        <v>0.2</v>
      </c>
      <c r="H2507">
        <f>E2507*F2507*(1-G2507)</f>
        <v/>
      </c>
      <c r="I2507">
        <f>XLOOKUP(D2507,Products!$A$2:$A$15,Products!$B$2:$B$15,"Not found")</f>
        <v/>
      </c>
    </row>
    <row r="2508">
      <c r="A2508" t="n">
        <v>106827</v>
      </c>
      <c r="B2508" s="1" t="n">
        <v>45893</v>
      </c>
      <c r="C2508" t="inlineStr">
        <is>
          <t>S02</t>
        </is>
      </c>
      <c r="D2508" t="inlineStr">
        <is>
          <t>P303</t>
        </is>
      </c>
      <c r="E2508" t="n">
        <v>1</v>
      </c>
      <c r="F2508" t="n">
        <v>12</v>
      </c>
      <c r="G2508" t="n">
        <v>0</v>
      </c>
      <c r="H2508">
        <f>E2508*F2508*(1-G2508)</f>
        <v/>
      </c>
      <c r="I2508">
        <f>XLOOKUP(D2508,Products!$A$2:$A$15,Products!$B$2:$B$15,"Not found")</f>
        <v/>
      </c>
    </row>
    <row r="2509">
      <c r="A2509" t="n">
        <v>106828</v>
      </c>
      <c r="B2509" s="1" t="n">
        <v>45893</v>
      </c>
      <c r="C2509" t="inlineStr">
        <is>
          <t>S02</t>
        </is>
      </c>
      <c r="D2509" t="inlineStr">
        <is>
          <t>P302</t>
        </is>
      </c>
      <c r="E2509" t="n">
        <v>3</v>
      </c>
      <c r="F2509" t="n">
        <v>24</v>
      </c>
      <c r="G2509" t="n">
        <v>0</v>
      </c>
      <c r="H2509">
        <f>E2509*F2509*(1-G2509)</f>
        <v/>
      </c>
      <c r="I2509">
        <f>XLOOKUP(D2509,Products!$A$2:$A$15,Products!$B$2:$B$15,"Not found")</f>
        <v/>
      </c>
    </row>
    <row r="2510">
      <c r="A2510" t="n">
        <v>106829</v>
      </c>
      <c r="B2510" s="1" t="n">
        <v>45893</v>
      </c>
      <c r="C2510" t="inlineStr">
        <is>
          <t>S02</t>
        </is>
      </c>
      <c r="D2510" t="inlineStr">
        <is>
          <t>P301</t>
        </is>
      </c>
      <c r="E2510" t="n">
        <v>1</v>
      </c>
      <c r="F2510" t="n">
        <v>119</v>
      </c>
      <c r="G2510" t="n">
        <v>0</v>
      </c>
      <c r="H2510">
        <f>E2510*F2510*(1-G2510)</f>
        <v/>
      </c>
      <c r="I2510">
        <f>XLOOKUP(D2510,Products!$A$2:$A$15,Products!$B$2:$B$15,"Not found")</f>
        <v/>
      </c>
    </row>
    <row r="2511">
      <c r="A2511" t="n">
        <v>106830</v>
      </c>
      <c r="B2511" s="1" t="n">
        <v>45893</v>
      </c>
      <c r="C2511" t="inlineStr">
        <is>
          <t>S04</t>
        </is>
      </c>
      <c r="D2511" t="inlineStr">
        <is>
          <t>P403</t>
        </is>
      </c>
      <c r="E2511" t="n">
        <v>1</v>
      </c>
      <c r="F2511" t="n">
        <v>89</v>
      </c>
      <c r="G2511" t="n">
        <v>0.1</v>
      </c>
      <c r="H2511">
        <f>E2511*F2511*(1-G2511)</f>
        <v/>
      </c>
      <c r="I2511">
        <f>XLOOKUP(D2511,Products!$A$2:$A$15,Products!$B$2:$B$15,"Not found")</f>
        <v/>
      </c>
    </row>
    <row r="2512">
      <c r="A2512" t="n">
        <v>106831</v>
      </c>
      <c r="B2512" s="1" t="n">
        <v>45893</v>
      </c>
      <c r="C2512" t="inlineStr">
        <is>
          <t>S04</t>
        </is>
      </c>
      <c r="D2512" t="inlineStr">
        <is>
          <t>P402</t>
        </is>
      </c>
      <c r="E2512" t="n">
        <v>1</v>
      </c>
      <c r="F2512" t="n">
        <v>699</v>
      </c>
      <c r="G2512" t="n">
        <v>0</v>
      </c>
      <c r="H2512">
        <f>E2512*F2512*(1-G2512)</f>
        <v/>
      </c>
      <c r="I2512">
        <f>XLOOKUP(D2512,Products!$A$2:$A$15,Products!$B$2:$B$15,"Not found")</f>
        <v/>
      </c>
    </row>
    <row r="2513">
      <c r="A2513" t="n">
        <v>106832</v>
      </c>
      <c r="B2513" s="1" t="n">
        <v>45893</v>
      </c>
      <c r="C2513" t="inlineStr">
        <is>
          <t>S04</t>
        </is>
      </c>
      <c r="D2513" t="inlineStr">
        <is>
          <t>P201</t>
        </is>
      </c>
      <c r="E2513" t="n">
        <v>1</v>
      </c>
      <c r="F2513" t="n">
        <v>149</v>
      </c>
      <c r="G2513" t="n">
        <v>0.1</v>
      </c>
      <c r="H2513">
        <f>E2513*F2513*(1-G2513)</f>
        <v/>
      </c>
      <c r="I2513">
        <f>XLOOKUP(D2513,Products!$A$2:$A$15,Products!$B$2:$B$15,"Not found")</f>
        <v/>
      </c>
    </row>
    <row r="2514">
      <c r="A2514" t="n">
        <v>106833</v>
      </c>
      <c r="B2514" s="1" t="n">
        <v>45893</v>
      </c>
      <c r="C2514" t="inlineStr">
        <is>
          <t>S05</t>
        </is>
      </c>
      <c r="D2514" t="inlineStr">
        <is>
          <t>P101</t>
        </is>
      </c>
      <c r="E2514" t="n">
        <v>2</v>
      </c>
      <c r="F2514" t="n">
        <v>39</v>
      </c>
      <c r="G2514" t="n">
        <v>0.2</v>
      </c>
      <c r="H2514">
        <f>E2514*F2514*(1-G2514)</f>
        <v/>
      </c>
      <c r="I2514">
        <f>XLOOKUP(D2514,Products!$A$2:$A$15,Products!$B$2:$B$15,"Not found")</f>
        <v/>
      </c>
    </row>
    <row r="2515">
      <c r="A2515" t="n">
        <v>106834</v>
      </c>
      <c r="B2515" s="1" t="n">
        <v>45893</v>
      </c>
      <c r="C2515" t="inlineStr">
        <is>
          <t>S05</t>
        </is>
      </c>
      <c r="D2515" t="inlineStr">
        <is>
          <t>P102</t>
        </is>
      </c>
      <c r="E2515" t="n">
        <v>1</v>
      </c>
      <c r="F2515" t="n">
        <v>14.5</v>
      </c>
      <c r="G2515" t="n">
        <v>0.2</v>
      </c>
      <c r="H2515">
        <f>E2515*F2515*(1-G2515)</f>
        <v/>
      </c>
      <c r="I2515">
        <f>XLOOKUP(D2515,Products!$A$2:$A$15,Products!$B$2:$B$15,"Not found")</f>
        <v/>
      </c>
    </row>
    <row r="2516">
      <c r="A2516" t="n">
        <v>106835</v>
      </c>
      <c r="B2516" s="1" t="n">
        <v>45893</v>
      </c>
      <c r="C2516" t="inlineStr">
        <is>
          <t>S06</t>
        </is>
      </c>
      <c r="D2516" t="inlineStr">
        <is>
          <t>P104</t>
        </is>
      </c>
      <c r="E2516" t="n">
        <v>1</v>
      </c>
      <c r="F2516" t="n">
        <v>189</v>
      </c>
      <c r="G2516" t="n">
        <v>0.15</v>
      </c>
      <c r="H2516">
        <f>E2516*F2516*(1-G2516)</f>
        <v/>
      </c>
      <c r="I2516">
        <f>XLOOKUP(D2516,Products!$A$2:$A$15,Products!$B$2:$B$15,"Not found")</f>
        <v/>
      </c>
    </row>
    <row r="2517">
      <c r="A2517" t="n">
        <v>106836</v>
      </c>
      <c r="B2517" s="1" t="n">
        <v>45894</v>
      </c>
      <c r="C2517" t="inlineStr">
        <is>
          <t>S01</t>
        </is>
      </c>
      <c r="D2517" t="inlineStr">
        <is>
          <t>P203</t>
        </is>
      </c>
      <c r="E2517" t="n">
        <v>1</v>
      </c>
      <c r="F2517" t="n">
        <v>19.5</v>
      </c>
      <c r="G2517" t="n">
        <v>0</v>
      </c>
      <c r="H2517">
        <f>E2517*F2517*(1-G2517)</f>
        <v/>
      </c>
      <c r="I2517">
        <f>XLOOKUP(D2517,Products!$A$2:$A$15,Products!$B$2:$B$15,"Not found")</f>
        <v/>
      </c>
    </row>
    <row r="2518">
      <c r="A2518" t="n">
        <v>106837</v>
      </c>
      <c r="B2518" s="1" t="n">
        <v>45894</v>
      </c>
      <c r="C2518" t="inlineStr">
        <is>
          <t>S01</t>
        </is>
      </c>
      <c r="D2518" t="inlineStr">
        <is>
          <t>P301</t>
        </is>
      </c>
      <c r="E2518" t="n">
        <v>1</v>
      </c>
      <c r="F2518" t="n">
        <v>119</v>
      </c>
      <c r="G2518" t="n">
        <v>0</v>
      </c>
      <c r="H2518">
        <f>E2518*F2518*(1-G2518)</f>
        <v/>
      </c>
      <c r="I2518">
        <f>XLOOKUP(D2518,Products!$A$2:$A$15,Products!$B$2:$B$15,"Not found")</f>
        <v/>
      </c>
    </row>
    <row r="2519">
      <c r="A2519" t="n">
        <v>106838</v>
      </c>
      <c r="B2519" s="1" t="n">
        <v>45894</v>
      </c>
      <c r="C2519" t="inlineStr">
        <is>
          <t>S03</t>
        </is>
      </c>
      <c r="D2519" t="inlineStr">
        <is>
          <t>P202</t>
        </is>
      </c>
      <c r="E2519" t="n">
        <v>1</v>
      </c>
      <c r="F2519" t="n">
        <v>79</v>
      </c>
      <c r="G2519" t="n">
        <v>0.1</v>
      </c>
      <c r="H2519">
        <f>E2519*F2519*(1-G2519)</f>
        <v/>
      </c>
      <c r="I2519">
        <f>XLOOKUP(D2519,Products!$A$2:$A$15,Products!$B$2:$B$15,"Not found")</f>
        <v/>
      </c>
    </row>
    <row r="2520">
      <c r="A2520" t="n">
        <v>106839</v>
      </c>
      <c r="B2520" s="1" t="n">
        <v>45894</v>
      </c>
      <c r="C2520" t="inlineStr">
        <is>
          <t>S04</t>
        </is>
      </c>
      <c r="D2520" t="inlineStr">
        <is>
          <t>P303</t>
        </is>
      </c>
      <c r="E2520" t="n">
        <v>3</v>
      </c>
      <c r="F2520" t="n">
        <v>12</v>
      </c>
      <c r="G2520" t="n">
        <v>0.2</v>
      </c>
      <c r="H2520">
        <f>E2520*F2520*(1-G2520)</f>
        <v/>
      </c>
      <c r="I2520">
        <f>XLOOKUP(D2520,Products!$A$2:$A$15,Products!$B$2:$B$15,"Not found")</f>
        <v/>
      </c>
    </row>
    <row r="2521">
      <c r="A2521" t="n">
        <v>106840</v>
      </c>
      <c r="B2521" s="1" t="n">
        <v>45894</v>
      </c>
      <c r="C2521" t="inlineStr">
        <is>
          <t>S04</t>
        </is>
      </c>
      <c r="D2521" t="inlineStr">
        <is>
          <t>P303</t>
        </is>
      </c>
      <c r="E2521" t="n">
        <v>2</v>
      </c>
      <c r="F2521" t="n">
        <v>12</v>
      </c>
      <c r="G2521" t="n">
        <v>0.1</v>
      </c>
      <c r="H2521">
        <f>E2521*F2521*(1-G2521)</f>
        <v/>
      </c>
      <c r="I2521">
        <f>XLOOKUP(D2521,Products!$A$2:$A$15,Products!$B$2:$B$15,"Not found")</f>
        <v/>
      </c>
    </row>
    <row r="2522">
      <c r="A2522" t="n">
        <v>106841</v>
      </c>
      <c r="B2522" s="1" t="n">
        <v>45894</v>
      </c>
      <c r="C2522" t="inlineStr">
        <is>
          <t>S06</t>
        </is>
      </c>
      <c r="D2522" t="inlineStr">
        <is>
          <t>P102</t>
        </is>
      </c>
      <c r="E2522" t="n">
        <v>1</v>
      </c>
      <c r="F2522" t="n">
        <v>14.5</v>
      </c>
      <c r="G2522" t="n">
        <v>0</v>
      </c>
      <c r="H2522">
        <f>E2522*F2522*(1-G2522)</f>
        <v/>
      </c>
      <c r="I2522">
        <f>XLOOKUP(D2522,Products!$A$2:$A$15,Products!$B$2:$B$15,"Not found")</f>
        <v/>
      </c>
    </row>
    <row r="2523">
      <c r="A2523" t="n">
        <v>106842</v>
      </c>
      <c r="B2523" s="1" t="n">
        <v>45895</v>
      </c>
      <c r="C2523" t="inlineStr">
        <is>
          <t>S01</t>
        </is>
      </c>
      <c r="D2523" t="inlineStr">
        <is>
          <t>P301</t>
        </is>
      </c>
      <c r="E2523" t="n">
        <v>1</v>
      </c>
      <c r="F2523" t="n">
        <v>119</v>
      </c>
      <c r="G2523" t="n">
        <v>0</v>
      </c>
      <c r="H2523">
        <f>E2523*F2523*(1-G2523)</f>
        <v/>
      </c>
      <c r="I2523">
        <f>XLOOKUP(D2523,Products!$A$2:$A$15,Products!$B$2:$B$15,"Not found")</f>
        <v/>
      </c>
    </row>
    <row r="2524">
      <c r="A2524" t="n">
        <v>106843</v>
      </c>
      <c r="B2524" s="1" t="n">
        <v>45895</v>
      </c>
      <c r="C2524" t="inlineStr">
        <is>
          <t>S01</t>
        </is>
      </c>
      <c r="D2524" t="inlineStr">
        <is>
          <t>P302</t>
        </is>
      </c>
      <c r="E2524" t="n">
        <v>2</v>
      </c>
      <c r="F2524" t="n">
        <v>24</v>
      </c>
      <c r="G2524" t="n">
        <v>0.1</v>
      </c>
      <c r="H2524">
        <f>E2524*F2524*(1-G2524)</f>
        <v/>
      </c>
      <c r="I2524">
        <f>XLOOKUP(D2524,Products!$A$2:$A$15,Products!$B$2:$B$15,"Not found")</f>
        <v/>
      </c>
    </row>
    <row r="2525">
      <c r="A2525" t="n">
        <v>106844</v>
      </c>
      <c r="B2525" s="1" t="n">
        <v>45895</v>
      </c>
      <c r="C2525" t="inlineStr">
        <is>
          <t>S02</t>
        </is>
      </c>
      <c r="D2525" t="inlineStr">
        <is>
          <t>P104</t>
        </is>
      </c>
      <c r="E2525" t="n">
        <v>1</v>
      </c>
      <c r="F2525" t="n">
        <v>189</v>
      </c>
      <c r="G2525" t="n">
        <v>0.1</v>
      </c>
      <c r="H2525">
        <f>E2525*F2525*(1-G2525)</f>
        <v/>
      </c>
      <c r="I2525">
        <f>XLOOKUP(D2525,Products!$A$2:$A$15,Products!$B$2:$B$15,"Not found")</f>
        <v/>
      </c>
    </row>
    <row r="2526">
      <c r="A2526" t="n">
        <v>106845</v>
      </c>
      <c r="B2526" s="1" t="n">
        <v>45895</v>
      </c>
      <c r="C2526" t="inlineStr">
        <is>
          <t>S02</t>
        </is>
      </c>
      <c r="D2526" t="inlineStr">
        <is>
          <t>P104</t>
        </is>
      </c>
      <c r="E2526" t="n">
        <v>1</v>
      </c>
      <c r="F2526" t="n">
        <v>189</v>
      </c>
      <c r="G2526" t="n">
        <v>0</v>
      </c>
      <c r="H2526">
        <f>E2526*F2526*(1-G2526)</f>
        <v/>
      </c>
      <c r="I2526">
        <f>XLOOKUP(D2526,Products!$A$2:$A$15,Products!$B$2:$B$15,"Not found")</f>
        <v/>
      </c>
    </row>
    <row r="2527">
      <c r="A2527" t="n">
        <v>106846</v>
      </c>
      <c r="B2527" s="1" t="n">
        <v>45895</v>
      </c>
      <c r="C2527" t="inlineStr">
        <is>
          <t>S02</t>
        </is>
      </c>
      <c r="D2527" t="inlineStr">
        <is>
          <t>P104</t>
        </is>
      </c>
      <c r="E2527" t="n">
        <v>1</v>
      </c>
      <c r="F2527" t="n">
        <v>189</v>
      </c>
      <c r="G2527" t="n">
        <v>0</v>
      </c>
      <c r="H2527">
        <f>E2527*F2527*(1-G2527)</f>
        <v/>
      </c>
      <c r="I2527">
        <f>XLOOKUP(D2527,Products!$A$2:$A$15,Products!$B$2:$B$15,"Not found")</f>
        <v/>
      </c>
    </row>
    <row r="2528">
      <c r="A2528" t="n">
        <v>106847</v>
      </c>
      <c r="B2528" s="1" t="n">
        <v>45895</v>
      </c>
      <c r="C2528" t="inlineStr">
        <is>
          <t>S02</t>
        </is>
      </c>
      <c r="D2528" t="inlineStr">
        <is>
          <t>P101</t>
        </is>
      </c>
      <c r="E2528" t="n">
        <v>1</v>
      </c>
      <c r="F2528" t="n">
        <v>39</v>
      </c>
      <c r="G2528" t="n">
        <v>0.15</v>
      </c>
      <c r="H2528">
        <f>E2528*F2528*(1-G2528)</f>
        <v/>
      </c>
      <c r="I2528">
        <f>XLOOKUP(D2528,Products!$A$2:$A$15,Products!$B$2:$B$15,"Not found")</f>
        <v/>
      </c>
    </row>
    <row r="2529">
      <c r="A2529" t="n">
        <v>106848</v>
      </c>
      <c r="B2529" s="1" t="n">
        <v>45895</v>
      </c>
      <c r="C2529" t="inlineStr">
        <is>
          <t>S02</t>
        </is>
      </c>
      <c r="D2529" t="inlineStr">
        <is>
          <t>P301</t>
        </is>
      </c>
      <c r="E2529" t="n">
        <v>1</v>
      </c>
      <c r="F2529" t="n">
        <v>119</v>
      </c>
      <c r="G2529" t="n">
        <v>0</v>
      </c>
      <c r="H2529">
        <f>E2529*F2529*(1-G2529)</f>
        <v/>
      </c>
      <c r="I2529">
        <f>XLOOKUP(D2529,Products!$A$2:$A$15,Products!$B$2:$B$15,"Not found")</f>
        <v/>
      </c>
    </row>
    <row r="2530">
      <c r="A2530" t="n">
        <v>106849</v>
      </c>
      <c r="B2530" s="1" t="n">
        <v>45895</v>
      </c>
      <c r="C2530" t="inlineStr">
        <is>
          <t>S02</t>
        </is>
      </c>
      <c r="D2530" t="inlineStr">
        <is>
          <t>P303</t>
        </is>
      </c>
      <c r="E2530" t="n">
        <v>3</v>
      </c>
      <c r="F2530" t="n">
        <v>12</v>
      </c>
      <c r="G2530" t="n">
        <v>0.1</v>
      </c>
      <c r="H2530">
        <f>E2530*F2530*(1-G2530)</f>
        <v/>
      </c>
      <c r="I2530">
        <f>XLOOKUP(D2530,Products!$A$2:$A$15,Products!$B$2:$B$15,"Not found")</f>
        <v/>
      </c>
    </row>
    <row r="2531">
      <c r="A2531" t="n">
        <v>106850</v>
      </c>
      <c r="B2531" s="1" t="n">
        <v>45895</v>
      </c>
      <c r="C2531" t="inlineStr">
        <is>
          <t>S03</t>
        </is>
      </c>
      <c r="D2531" t="inlineStr">
        <is>
          <t>P104</t>
        </is>
      </c>
      <c r="E2531" t="n">
        <v>1</v>
      </c>
      <c r="F2531" t="n">
        <v>189</v>
      </c>
      <c r="G2531" t="n">
        <v>0</v>
      </c>
      <c r="H2531">
        <f>E2531*F2531*(1-G2531)</f>
        <v/>
      </c>
      <c r="I2531">
        <f>XLOOKUP(D2531,Products!$A$2:$A$15,Products!$B$2:$B$15,"Not found")</f>
        <v/>
      </c>
    </row>
    <row r="2532">
      <c r="A2532" t="n">
        <v>106851</v>
      </c>
      <c r="B2532" s="1" t="n">
        <v>45895</v>
      </c>
      <c r="C2532" t="inlineStr">
        <is>
          <t>S03</t>
        </is>
      </c>
      <c r="D2532" t="inlineStr">
        <is>
          <t>P102</t>
        </is>
      </c>
      <c r="E2532" t="n">
        <v>1</v>
      </c>
      <c r="F2532" t="n">
        <v>14.5</v>
      </c>
      <c r="G2532" t="n">
        <v>0</v>
      </c>
      <c r="H2532">
        <f>E2532*F2532*(1-G2532)</f>
        <v/>
      </c>
      <c r="I2532">
        <f>XLOOKUP(D2532,Products!$A$2:$A$15,Products!$B$2:$B$15,"Not found")</f>
        <v/>
      </c>
    </row>
    <row r="2533">
      <c r="A2533" t="n">
        <v>106852</v>
      </c>
      <c r="B2533" s="1" t="n">
        <v>45895</v>
      </c>
      <c r="C2533" t="inlineStr">
        <is>
          <t>S03</t>
        </is>
      </c>
      <c r="D2533" t="inlineStr">
        <is>
          <t>P102</t>
        </is>
      </c>
      <c r="E2533" t="n">
        <v>3</v>
      </c>
      <c r="F2533" t="n">
        <v>14.5</v>
      </c>
      <c r="G2533" t="n">
        <v>0.2</v>
      </c>
      <c r="H2533">
        <f>E2533*F2533*(1-G2533)</f>
        <v/>
      </c>
      <c r="I2533">
        <f>XLOOKUP(D2533,Products!$A$2:$A$15,Products!$B$2:$B$15,"Not found")</f>
        <v/>
      </c>
    </row>
    <row r="2534">
      <c r="A2534" t="n">
        <v>106853</v>
      </c>
      <c r="B2534" s="1" t="n">
        <v>45895</v>
      </c>
      <c r="C2534" t="inlineStr">
        <is>
          <t>S04</t>
        </is>
      </c>
      <c r="D2534" t="inlineStr">
        <is>
          <t>P102</t>
        </is>
      </c>
      <c r="E2534" t="n">
        <v>3</v>
      </c>
      <c r="F2534" t="n">
        <v>14.5</v>
      </c>
      <c r="G2534" t="n">
        <v>0</v>
      </c>
      <c r="H2534">
        <f>E2534*F2534*(1-G2534)</f>
        <v/>
      </c>
      <c r="I2534">
        <f>XLOOKUP(D2534,Products!$A$2:$A$15,Products!$B$2:$B$15,"Not found")</f>
        <v/>
      </c>
    </row>
    <row r="2535">
      <c r="A2535" t="n">
        <v>106854</v>
      </c>
      <c r="B2535" s="1" t="n">
        <v>45895</v>
      </c>
      <c r="C2535" t="inlineStr">
        <is>
          <t>S05</t>
        </is>
      </c>
      <c r="D2535" t="inlineStr">
        <is>
          <t>P104</t>
        </is>
      </c>
      <c r="E2535" t="n">
        <v>1</v>
      </c>
      <c r="F2535" t="n">
        <v>189</v>
      </c>
      <c r="G2535" t="n">
        <v>0</v>
      </c>
      <c r="H2535">
        <f>E2535*F2535*(1-G2535)</f>
        <v/>
      </c>
      <c r="I2535">
        <f>XLOOKUP(D2535,Products!$A$2:$A$15,Products!$B$2:$B$15,"Not found")</f>
        <v/>
      </c>
    </row>
    <row r="2536">
      <c r="A2536" t="n">
        <v>106855</v>
      </c>
      <c r="B2536" s="1" t="n">
        <v>45895</v>
      </c>
      <c r="C2536" t="inlineStr">
        <is>
          <t>S05</t>
        </is>
      </c>
      <c r="D2536" t="inlineStr">
        <is>
          <t>P101</t>
        </is>
      </c>
      <c r="E2536" t="n">
        <v>1</v>
      </c>
      <c r="F2536" t="n">
        <v>39</v>
      </c>
      <c r="G2536" t="n">
        <v>0.2</v>
      </c>
      <c r="H2536">
        <f>E2536*F2536*(1-G2536)</f>
        <v/>
      </c>
      <c r="I2536">
        <f>XLOOKUP(D2536,Products!$A$2:$A$15,Products!$B$2:$B$15,"Not found")</f>
        <v/>
      </c>
    </row>
    <row r="2537">
      <c r="A2537" t="n">
        <v>106856</v>
      </c>
      <c r="B2537" s="1" t="n">
        <v>45895</v>
      </c>
      <c r="C2537" t="inlineStr">
        <is>
          <t>S05</t>
        </is>
      </c>
      <c r="D2537" t="inlineStr">
        <is>
          <t>P203</t>
        </is>
      </c>
      <c r="E2537" t="n">
        <v>1</v>
      </c>
      <c r="F2537" t="n">
        <v>19.5</v>
      </c>
      <c r="G2537" t="n">
        <v>0</v>
      </c>
      <c r="H2537">
        <f>E2537*F2537*(1-G2537)</f>
        <v/>
      </c>
      <c r="I2537">
        <f>XLOOKUP(D2537,Products!$A$2:$A$15,Products!$B$2:$B$15,"Not found")</f>
        <v/>
      </c>
    </row>
    <row r="2538">
      <c r="A2538" t="n">
        <v>106857</v>
      </c>
      <c r="B2538" s="1" t="n">
        <v>45895</v>
      </c>
      <c r="C2538" t="inlineStr">
        <is>
          <t>S05</t>
        </is>
      </c>
      <c r="D2538" t="inlineStr">
        <is>
          <t>P101</t>
        </is>
      </c>
      <c r="E2538" t="n">
        <v>1</v>
      </c>
      <c r="F2538" t="n">
        <v>39</v>
      </c>
      <c r="G2538" t="n">
        <v>0</v>
      </c>
      <c r="H2538">
        <f>E2538*F2538*(1-G2538)</f>
        <v/>
      </c>
      <c r="I2538">
        <f>XLOOKUP(D2538,Products!$A$2:$A$15,Products!$B$2:$B$15,"Not found")</f>
        <v/>
      </c>
    </row>
    <row r="2539">
      <c r="A2539" t="n">
        <v>106858</v>
      </c>
      <c r="B2539" s="1" t="n">
        <v>45895</v>
      </c>
      <c r="C2539" t="inlineStr">
        <is>
          <t>S05</t>
        </is>
      </c>
      <c r="D2539" t="inlineStr">
        <is>
          <t>P301</t>
        </is>
      </c>
      <c r="E2539" t="n">
        <v>1</v>
      </c>
      <c r="F2539" t="n">
        <v>119</v>
      </c>
      <c r="G2539" t="n">
        <v>0</v>
      </c>
      <c r="H2539">
        <f>E2539*F2539*(1-G2539)</f>
        <v/>
      </c>
      <c r="I2539">
        <f>XLOOKUP(D2539,Products!$A$2:$A$15,Products!$B$2:$B$15,"Not found")</f>
        <v/>
      </c>
    </row>
    <row r="2540">
      <c r="A2540" t="n">
        <v>106859</v>
      </c>
      <c r="B2540" s="1" t="n">
        <v>45896</v>
      </c>
      <c r="C2540" t="inlineStr">
        <is>
          <t>S03</t>
        </is>
      </c>
      <c r="D2540" t="inlineStr">
        <is>
          <t>P302</t>
        </is>
      </c>
      <c r="E2540" t="n">
        <v>2</v>
      </c>
      <c r="F2540" t="n">
        <v>24</v>
      </c>
      <c r="G2540" t="n">
        <v>0</v>
      </c>
      <c r="H2540">
        <f>E2540*F2540*(1-G2540)</f>
        <v/>
      </c>
      <c r="I2540">
        <f>XLOOKUP(D2540,Products!$A$2:$A$15,Products!$B$2:$B$15,"Not found")</f>
        <v/>
      </c>
    </row>
    <row r="2541">
      <c r="A2541" t="n">
        <v>106860</v>
      </c>
      <c r="B2541" s="1" t="n">
        <v>45896</v>
      </c>
      <c r="C2541" t="inlineStr">
        <is>
          <t>S04</t>
        </is>
      </c>
      <c r="D2541" t="inlineStr">
        <is>
          <t>P102</t>
        </is>
      </c>
      <c r="E2541" t="n">
        <v>1</v>
      </c>
      <c r="F2541" t="n">
        <v>14.5</v>
      </c>
      <c r="G2541" t="n">
        <v>0.1</v>
      </c>
      <c r="H2541">
        <f>E2541*F2541*(1-G2541)</f>
        <v/>
      </c>
      <c r="I2541">
        <f>XLOOKUP(D2541,Products!$A$2:$A$15,Products!$B$2:$B$15,"Not found")</f>
        <v/>
      </c>
    </row>
    <row r="2542">
      <c r="A2542" t="n">
        <v>106861</v>
      </c>
      <c r="B2542" s="1" t="n">
        <v>45896</v>
      </c>
      <c r="C2542" t="inlineStr">
        <is>
          <t>S04</t>
        </is>
      </c>
      <c r="D2542" t="inlineStr">
        <is>
          <t>P401</t>
        </is>
      </c>
      <c r="E2542" t="n">
        <v>1</v>
      </c>
      <c r="F2542" t="n">
        <v>549</v>
      </c>
      <c r="G2542" t="n">
        <v>0</v>
      </c>
      <c r="H2542">
        <f>E2542*F2542*(1-G2542)</f>
        <v/>
      </c>
      <c r="I2542">
        <f>XLOOKUP(D2542,Products!$A$2:$A$15,Products!$B$2:$B$15,"Not found")</f>
        <v/>
      </c>
    </row>
    <row r="2543">
      <c r="A2543" t="n">
        <v>106862</v>
      </c>
      <c r="B2543" s="1" t="n">
        <v>45896</v>
      </c>
      <c r="C2543" t="inlineStr">
        <is>
          <t>S06</t>
        </is>
      </c>
      <c r="D2543" t="inlineStr">
        <is>
          <t>P303</t>
        </is>
      </c>
      <c r="E2543" t="n">
        <v>3</v>
      </c>
      <c r="F2543" t="n">
        <v>12</v>
      </c>
      <c r="G2543" t="n">
        <v>0</v>
      </c>
      <c r="H2543">
        <f>E2543*F2543*(1-G2543)</f>
        <v/>
      </c>
      <c r="I2543">
        <f>XLOOKUP(D2543,Products!$A$2:$A$15,Products!$B$2:$B$15,"Not found")</f>
        <v/>
      </c>
    </row>
    <row r="2544">
      <c r="A2544" t="n">
        <v>106863</v>
      </c>
      <c r="B2544" s="1" t="n">
        <v>45897</v>
      </c>
      <c r="C2544" t="inlineStr">
        <is>
          <t>S01</t>
        </is>
      </c>
      <c r="D2544" t="inlineStr">
        <is>
          <t>P204</t>
        </is>
      </c>
      <c r="E2544" t="n">
        <v>1</v>
      </c>
      <c r="F2544" t="n">
        <v>229</v>
      </c>
      <c r="G2544" t="n">
        <v>0</v>
      </c>
      <c r="H2544">
        <f>E2544*F2544*(1-G2544)</f>
        <v/>
      </c>
      <c r="I2544">
        <f>XLOOKUP(D2544,Products!$A$2:$A$15,Products!$B$2:$B$15,"Not found")</f>
        <v/>
      </c>
    </row>
    <row r="2545">
      <c r="A2545" t="n">
        <v>106864</v>
      </c>
      <c r="B2545" s="1" t="n">
        <v>45897</v>
      </c>
      <c r="C2545" t="inlineStr">
        <is>
          <t>S02</t>
        </is>
      </c>
      <c r="D2545" t="inlineStr">
        <is>
          <t>P102</t>
        </is>
      </c>
      <c r="E2545" t="n">
        <v>2</v>
      </c>
      <c r="F2545" t="n">
        <v>14.5</v>
      </c>
      <c r="G2545" t="n">
        <v>0</v>
      </c>
      <c r="H2545">
        <f>E2545*F2545*(1-G2545)</f>
        <v/>
      </c>
      <c r="I2545">
        <f>XLOOKUP(D2545,Products!$A$2:$A$15,Products!$B$2:$B$15,"Not found")</f>
        <v/>
      </c>
    </row>
    <row r="2546">
      <c r="A2546" t="n">
        <v>106865</v>
      </c>
      <c r="B2546" s="1" t="n">
        <v>45897</v>
      </c>
      <c r="C2546" t="inlineStr">
        <is>
          <t>S03</t>
        </is>
      </c>
      <c r="D2546" t="inlineStr">
        <is>
          <t>P203</t>
        </is>
      </c>
      <c r="E2546" t="n">
        <v>1</v>
      </c>
      <c r="F2546" t="n">
        <v>19.5</v>
      </c>
      <c r="G2546" t="n">
        <v>0</v>
      </c>
      <c r="H2546">
        <f>E2546*F2546*(1-G2546)</f>
        <v/>
      </c>
      <c r="I2546">
        <f>XLOOKUP(D2546,Products!$A$2:$A$15,Products!$B$2:$B$15,"Not found")</f>
        <v/>
      </c>
    </row>
    <row r="2547">
      <c r="A2547" t="n">
        <v>106866</v>
      </c>
      <c r="B2547" s="1" t="n">
        <v>45897</v>
      </c>
      <c r="C2547" t="inlineStr">
        <is>
          <t>S03</t>
        </is>
      </c>
      <c r="D2547" t="inlineStr">
        <is>
          <t>P103</t>
        </is>
      </c>
      <c r="E2547" t="n">
        <v>2</v>
      </c>
      <c r="F2547" t="n">
        <v>29</v>
      </c>
      <c r="G2547" t="n">
        <v>0.2</v>
      </c>
      <c r="H2547">
        <f>E2547*F2547*(1-G2547)</f>
        <v/>
      </c>
      <c r="I2547">
        <f>XLOOKUP(D2547,Products!$A$2:$A$15,Products!$B$2:$B$15,"Not found")</f>
        <v/>
      </c>
    </row>
    <row r="2548">
      <c r="A2548" t="n">
        <v>106867</v>
      </c>
      <c r="B2548" s="1" t="n">
        <v>45897</v>
      </c>
      <c r="C2548" t="inlineStr">
        <is>
          <t>S05</t>
        </is>
      </c>
      <c r="D2548" t="inlineStr">
        <is>
          <t>P103</t>
        </is>
      </c>
      <c r="E2548" t="n">
        <v>1</v>
      </c>
      <c r="F2548" t="n">
        <v>29</v>
      </c>
      <c r="G2548" t="n">
        <v>0</v>
      </c>
      <c r="H2548">
        <f>E2548*F2548*(1-G2548)</f>
        <v/>
      </c>
      <c r="I2548">
        <f>XLOOKUP(D2548,Products!$A$2:$A$15,Products!$B$2:$B$15,"Not found")</f>
        <v/>
      </c>
    </row>
    <row r="2549">
      <c r="A2549" t="n">
        <v>106868</v>
      </c>
      <c r="B2549" s="1" t="n">
        <v>45897</v>
      </c>
      <c r="C2549" t="inlineStr">
        <is>
          <t>S05</t>
        </is>
      </c>
      <c r="D2549" t="inlineStr">
        <is>
          <t>P303</t>
        </is>
      </c>
      <c r="E2549" t="n">
        <v>3</v>
      </c>
      <c r="F2549" t="n">
        <v>12</v>
      </c>
      <c r="G2549" t="n">
        <v>0.15</v>
      </c>
      <c r="H2549">
        <f>E2549*F2549*(1-G2549)</f>
        <v/>
      </c>
      <c r="I2549">
        <f>XLOOKUP(D2549,Products!$A$2:$A$15,Products!$B$2:$B$15,"Not found")</f>
        <v/>
      </c>
    </row>
    <row r="2550">
      <c r="A2550" t="n">
        <v>106869</v>
      </c>
      <c r="B2550" s="1" t="n">
        <v>45897</v>
      </c>
      <c r="C2550" t="inlineStr">
        <is>
          <t>S06</t>
        </is>
      </c>
      <c r="D2550" t="inlineStr">
        <is>
          <t>P102</t>
        </is>
      </c>
      <c r="E2550" t="n">
        <v>4</v>
      </c>
      <c r="F2550" t="n">
        <v>14.5</v>
      </c>
      <c r="G2550" t="n">
        <v>0</v>
      </c>
      <c r="H2550">
        <f>E2550*F2550*(1-G2550)</f>
        <v/>
      </c>
      <c r="I2550">
        <f>XLOOKUP(D2550,Products!$A$2:$A$15,Products!$B$2:$B$15,"Not found")</f>
        <v/>
      </c>
    </row>
    <row r="2551">
      <c r="A2551" t="n">
        <v>106870</v>
      </c>
      <c r="B2551" s="1" t="n">
        <v>45898</v>
      </c>
      <c r="C2551" t="inlineStr">
        <is>
          <t>S02</t>
        </is>
      </c>
      <c r="D2551" t="inlineStr">
        <is>
          <t>P104</t>
        </is>
      </c>
      <c r="E2551" t="n">
        <v>1</v>
      </c>
      <c r="F2551" t="n">
        <v>189</v>
      </c>
      <c r="G2551" t="n">
        <v>0</v>
      </c>
      <c r="H2551">
        <f>E2551*F2551*(1-G2551)</f>
        <v/>
      </c>
      <c r="I2551">
        <f>XLOOKUP(D2551,Products!$A$2:$A$15,Products!$B$2:$B$15,"Not found")</f>
        <v/>
      </c>
    </row>
    <row r="2552">
      <c r="A2552" t="n">
        <v>106871</v>
      </c>
      <c r="B2552" s="1" t="n">
        <v>45898</v>
      </c>
      <c r="C2552" t="inlineStr">
        <is>
          <t>S03</t>
        </is>
      </c>
      <c r="D2552" t="inlineStr">
        <is>
          <t>P104</t>
        </is>
      </c>
      <c r="E2552" t="n">
        <v>1</v>
      </c>
      <c r="F2552" t="n">
        <v>189</v>
      </c>
      <c r="G2552" t="n">
        <v>0</v>
      </c>
      <c r="H2552">
        <f>E2552*F2552*(1-G2552)</f>
        <v/>
      </c>
      <c r="I2552">
        <f>XLOOKUP(D2552,Products!$A$2:$A$15,Products!$B$2:$B$15,"Not found")</f>
        <v/>
      </c>
    </row>
    <row r="2553">
      <c r="A2553" t="n">
        <v>106872</v>
      </c>
      <c r="B2553" s="1" t="n">
        <v>45898</v>
      </c>
      <c r="C2553" t="inlineStr">
        <is>
          <t>S03</t>
        </is>
      </c>
      <c r="D2553" t="inlineStr">
        <is>
          <t>P101</t>
        </is>
      </c>
      <c r="E2553" t="n">
        <v>1</v>
      </c>
      <c r="F2553" t="n">
        <v>39</v>
      </c>
      <c r="G2553" t="n">
        <v>0</v>
      </c>
      <c r="H2553">
        <f>E2553*F2553*(1-G2553)</f>
        <v/>
      </c>
      <c r="I2553">
        <f>XLOOKUP(D2553,Products!$A$2:$A$15,Products!$B$2:$B$15,"Not found")</f>
        <v/>
      </c>
    </row>
    <row r="2554">
      <c r="A2554" t="n">
        <v>106873</v>
      </c>
      <c r="B2554" s="1" t="n">
        <v>45898</v>
      </c>
      <c r="C2554" t="inlineStr">
        <is>
          <t>S03</t>
        </is>
      </c>
      <c r="D2554" t="inlineStr">
        <is>
          <t>P302</t>
        </is>
      </c>
      <c r="E2554" t="n">
        <v>1</v>
      </c>
      <c r="F2554" t="n">
        <v>24</v>
      </c>
      <c r="G2554" t="n">
        <v>0</v>
      </c>
      <c r="H2554">
        <f>E2554*F2554*(1-G2554)</f>
        <v/>
      </c>
      <c r="I2554">
        <f>XLOOKUP(D2554,Products!$A$2:$A$15,Products!$B$2:$B$15,"Not found")</f>
        <v/>
      </c>
    </row>
    <row r="2555">
      <c r="A2555" t="n">
        <v>106874</v>
      </c>
      <c r="B2555" s="1" t="n">
        <v>45898</v>
      </c>
      <c r="C2555" t="inlineStr">
        <is>
          <t>S04</t>
        </is>
      </c>
      <c r="D2555" t="inlineStr">
        <is>
          <t>P204</t>
        </is>
      </c>
      <c r="E2555" t="n">
        <v>1</v>
      </c>
      <c r="F2555" t="n">
        <v>229</v>
      </c>
      <c r="G2555" t="n">
        <v>0</v>
      </c>
      <c r="H2555">
        <f>E2555*F2555*(1-G2555)</f>
        <v/>
      </c>
      <c r="I2555">
        <f>XLOOKUP(D2555,Products!$A$2:$A$15,Products!$B$2:$B$15,"Not found")</f>
        <v/>
      </c>
    </row>
    <row r="2556">
      <c r="A2556" t="n">
        <v>106875</v>
      </c>
      <c r="B2556" s="1" t="n">
        <v>45898</v>
      </c>
      <c r="C2556" t="inlineStr">
        <is>
          <t>S05</t>
        </is>
      </c>
      <c r="D2556" t="inlineStr">
        <is>
          <t>P301</t>
        </is>
      </c>
      <c r="E2556" t="n">
        <v>1</v>
      </c>
      <c r="F2556" t="n">
        <v>119</v>
      </c>
      <c r="G2556" t="n">
        <v>0</v>
      </c>
      <c r="H2556">
        <f>E2556*F2556*(1-G2556)</f>
        <v/>
      </c>
      <c r="I2556">
        <f>XLOOKUP(D2556,Products!$A$2:$A$15,Products!$B$2:$B$15,"Not found")</f>
        <v/>
      </c>
    </row>
    <row r="2557">
      <c r="A2557" t="n">
        <v>106876</v>
      </c>
      <c r="B2557" s="1" t="n">
        <v>45898</v>
      </c>
      <c r="C2557" t="inlineStr">
        <is>
          <t>S05</t>
        </is>
      </c>
      <c r="D2557" t="inlineStr">
        <is>
          <t>P203</t>
        </is>
      </c>
      <c r="E2557" t="n">
        <v>2</v>
      </c>
      <c r="F2557" t="n">
        <v>19.5</v>
      </c>
      <c r="G2557" t="n">
        <v>0</v>
      </c>
      <c r="H2557">
        <f>E2557*F2557*(1-G2557)</f>
        <v/>
      </c>
      <c r="I2557">
        <f>XLOOKUP(D2557,Products!$A$2:$A$15,Products!$B$2:$B$15,"Not found")</f>
        <v/>
      </c>
    </row>
    <row r="2558">
      <c r="A2558" t="n">
        <v>106877</v>
      </c>
      <c r="B2558" s="1" t="n">
        <v>45898</v>
      </c>
      <c r="C2558" t="inlineStr">
        <is>
          <t>S05</t>
        </is>
      </c>
      <c r="D2558" t="inlineStr">
        <is>
          <t>P303</t>
        </is>
      </c>
      <c r="E2558" t="n">
        <v>1</v>
      </c>
      <c r="F2558" t="n">
        <v>12</v>
      </c>
      <c r="G2558" t="n">
        <v>0</v>
      </c>
      <c r="H2558">
        <f>E2558*F2558*(1-G2558)</f>
        <v/>
      </c>
      <c r="I2558">
        <f>XLOOKUP(D2558,Products!$A$2:$A$15,Products!$B$2:$B$15,"Not found")</f>
        <v/>
      </c>
    </row>
    <row r="2559">
      <c r="A2559" t="n">
        <v>106878</v>
      </c>
      <c r="B2559" s="1" t="n">
        <v>45898</v>
      </c>
      <c r="C2559" t="inlineStr">
        <is>
          <t>S05</t>
        </is>
      </c>
      <c r="D2559" t="inlineStr">
        <is>
          <t>P102</t>
        </is>
      </c>
      <c r="E2559" t="n">
        <v>3</v>
      </c>
      <c r="F2559" t="n">
        <v>14.5</v>
      </c>
      <c r="G2559" t="n">
        <v>0</v>
      </c>
      <c r="H2559">
        <f>E2559*F2559*(1-G2559)</f>
        <v/>
      </c>
      <c r="I2559">
        <f>XLOOKUP(D2559,Products!$A$2:$A$15,Products!$B$2:$B$15,"Not found")</f>
        <v/>
      </c>
    </row>
    <row r="2560">
      <c r="A2560" t="n">
        <v>106879</v>
      </c>
      <c r="B2560" s="1" t="n">
        <v>45899</v>
      </c>
      <c r="C2560" t="inlineStr">
        <is>
          <t>S01</t>
        </is>
      </c>
      <c r="D2560" t="inlineStr">
        <is>
          <t>P101</t>
        </is>
      </c>
      <c r="E2560" t="n">
        <v>1</v>
      </c>
      <c r="F2560" t="n">
        <v>39</v>
      </c>
      <c r="G2560" t="n">
        <v>0</v>
      </c>
      <c r="H2560">
        <f>E2560*F2560*(1-G2560)</f>
        <v/>
      </c>
      <c r="I2560">
        <f>XLOOKUP(D2560,Products!$A$2:$A$15,Products!$B$2:$B$15,"Not found")</f>
        <v/>
      </c>
    </row>
    <row r="2561">
      <c r="A2561" t="n">
        <v>106880</v>
      </c>
      <c r="B2561" s="1" t="n">
        <v>45899</v>
      </c>
      <c r="C2561" t="inlineStr">
        <is>
          <t>S01</t>
        </is>
      </c>
      <c r="D2561" t="inlineStr">
        <is>
          <t>P301</t>
        </is>
      </c>
      <c r="E2561" t="n">
        <v>1</v>
      </c>
      <c r="F2561" t="n">
        <v>119</v>
      </c>
      <c r="G2561" t="n">
        <v>0</v>
      </c>
      <c r="H2561">
        <f>E2561*F2561*(1-G2561)</f>
        <v/>
      </c>
      <c r="I2561">
        <f>XLOOKUP(D2561,Products!$A$2:$A$15,Products!$B$2:$B$15,"Not found")</f>
        <v/>
      </c>
    </row>
    <row r="2562">
      <c r="A2562" t="n">
        <v>106881</v>
      </c>
      <c r="B2562" s="1" t="n">
        <v>45899</v>
      </c>
      <c r="C2562" t="inlineStr">
        <is>
          <t>S01</t>
        </is>
      </c>
      <c r="D2562" t="inlineStr">
        <is>
          <t>P104</t>
        </is>
      </c>
      <c r="E2562" t="n">
        <v>1</v>
      </c>
      <c r="F2562" t="n">
        <v>189</v>
      </c>
      <c r="G2562" t="n">
        <v>0</v>
      </c>
      <c r="H2562">
        <f>E2562*F2562*(1-G2562)</f>
        <v/>
      </c>
      <c r="I2562">
        <f>XLOOKUP(D2562,Products!$A$2:$A$15,Products!$B$2:$B$15,"Not found")</f>
        <v/>
      </c>
    </row>
    <row r="2563">
      <c r="A2563" t="n">
        <v>106882</v>
      </c>
      <c r="B2563" s="1" t="n">
        <v>45899</v>
      </c>
      <c r="C2563" t="inlineStr">
        <is>
          <t>S01</t>
        </is>
      </c>
      <c r="D2563" t="inlineStr">
        <is>
          <t>P303</t>
        </is>
      </c>
      <c r="E2563" t="n">
        <v>1</v>
      </c>
      <c r="F2563" t="n">
        <v>12</v>
      </c>
      <c r="G2563" t="n">
        <v>0.15</v>
      </c>
      <c r="H2563">
        <f>E2563*F2563*(1-G2563)</f>
        <v/>
      </c>
      <c r="I2563">
        <f>XLOOKUP(D2563,Products!$A$2:$A$15,Products!$B$2:$B$15,"Not found")</f>
        <v/>
      </c>
    </row>
    <row r="2564">
      <c r="A2564" t="n">
        <v>106883</v>
      </c>
      <c r="B2564" s="1" t="n">
        <v>45899</v>
      </c>
      <c r="C2564" t="inlineStr">
        <is>
          <t>S01</t>
        </is>
      </c>
      <c r="D2564" t="inlineStr">
        <is>
          <t>P203</t>
        </is>
      </c>
      <c r="E2564" t="n">
        <v>1</v>
      </c>
      <c r="F2564" t="n">
        <v>19.5</v>
      </c>
      <c r="G2564" t="n">
        <v>0.15</v>
      </c>
      <c r="H2564">
        <f>E2564*F2564*(1-G2564)</f>
        <v/>
      </c>
      <c r="I2564">
        <f>XLOOKUP(D2564,Products!$A$2:$A$15,Products!$B$2:$B$15,"Not found")</f>
        <v/>
      </c>
    </row>
    <row r="2565">
      <c r="A2565" t="n">
        <v>106884</v>
      </c>
      <c r="B2565" s="1" t="n">
        <v>45899</v>
      </c>
      <c r="C2565" t="inlineStr">
        <is>
          <t>S02</t>
        </is>
      </c>
      <c r="D2565" t="inlineStr">
        <is>
          <t>P203</t>
        </is>
      </c>
      <c r="E2565" t="n">
        <v>4</v>
      </c>
      <c r="F2565" t="n">
        <v>19.5</v>
      </c>
      <c r="G2565" t="n">
        <v>0</v>
      </c>
      <c r="H2565">
        <f>E2565*F2565*(1-G2565)</f>
        <v/>
      </c>
      <c r="I2565">
        <f>XLOOKUP(D2565,Products!$A$2:$A$15,Products!$B$2:$B$15,"Not found")</f>
        <v/>
      </c>
    </row>
    <row r="2566">
      <c r="A2566" t="n">
        <v>106885</v>
      </c>
      <c r="B2566" s="1" t="n">
        <v>45899</v>
      </c>
      <c r="C2566" t="inlineStr">
        <is>
          <t>S02</t>
        </is>
      </c>
      <c r="D2566" t="inlineStr">
        <is>
          <t>P102</t>
        </is>
      </c>
      <c r="E2566" t="n">
        <v>1</v>
      </c>
      <c r="F2566" t="n">
        <v>14.5</v>
      </c>
      <c r="G2566" t="n">
        <v>0</v>
      </c>
      <c r="H2566">
        <f>E2566*F2566*(1-G2566)</f>
        <v/>
      </c>
      <c r="I2566">
        <f>XLOOKUP(D2566,Products!$A$2:$A$15,Products!$B$2:$B$15,"Not found")</f>
        <v/>
      </c>
    </row>
    <row r="2567">
      <c r="A2567" t="n">
        <v>106886</v>
      </c>
      <c r="B2567" s="1" t="n">
        <v>45899</v>
      </c>
      <c r="C2567" t="inlineStr">
        <is>
          <t>S04</t>
        </is>
      </c>
      <c r="D2567" t="inlineStr">
        <is>
          <t>P302</t>
        </is>
      </c>
      <c r="E2567" t="n">
        <v>2</v>
      </c>
      <c r="F2567" t="n">
        <v>24</v>
      </c>
      <c r="G2567" t="n">
        <v>0.2</v>
      </c>
      <c r="H2567">
        <f>E2567*F2567*(1-G2567)</f>
        <v/>
      </c>
      <c r="I2567">
        <f>XLOOKUP(D2567,Products!$A$2:$A$15,Products!$B$2:$B$15,"Not found")</f>
        <v/>
      </c>
    </row>
    <row r="2568">
      <c r="A2568" t="n">
        <v>106887</v>
      </c>
      <c r="B2568" s="1" t="n">
        <v>45899</v>
      </c>
      <c r="C2568" t="inlineStr">
        <is>
          <t>S05</t>
        </is>
      </c>
      <c r="D2568" t="inlineStr">
        <is>
          <t>P102</t>
        </is>
      </c>
      <c r="E2568" t="n">
        <v>1</v>
      </c>
      <c r="F2568" t="n">
        <v>14.5</v>
      </c>
      <c r="G2568" t="n">
        <v>0.2</v>
      </c>
      <c r="H2568">
        <f>E2568*F2568*(1-G2568)</f>
        <v/>
      </c>
      <c r="I2568">
        <f>XLOOKUP(D2568,Products!$A$2:$A$15,Products!$B$2:$B$15,"Not found")</f>
        <v/>
      </c>
    </row>
    <row r="2569">
      <c r="A2569" t="n">
        <v>106888</v>
      </c>
      <c r="B2569" s="1" t="n">
        <v>45899</v>
      </c>
      <c r="C2569" t="inlineStr">
        <is>
          <t>S05</t>
        </is>
      </c>
      <c r="D2569" t="inlineStr">
        <is>
          <t>P203</t>
        </is>
      </c>
      <c r="E2569" t="n">
        <v>4</v>
      </c>
      <c r="F2569" t="n">
        <v>19.5</v>
      </c>
      <c r="G2569" t="n">
        <v>0.15</v>
      </c>
      <c r="H2569">
        <f>E2569*F2569*(1-G2569)</f>
        <v/>
      </c>
      <c r="I2569">
        <f>XLOOKUP(D2569,Products!$A$2:$A$15,Products!$B$2:$B$15,"Not found")</f>
        <v/>
      </c>
    </row>
    <row r="2570">
      <c r="A2570" t="n">
        <v>106889</v>
      </c>
      <c r="B2570" s="1" t="n">
        <v>45899</v>
      </c>
      <c r="C2570" t="inlineStr">
        <is>
          <t>S06</t>
        </is>
      </c>
      <c r="D2570" t="inlineStr">
        <is>
          <t>P102</t>
        </is>
      </c>
      <c r="E2570" t="n">
        <v>2</v>
      </c>
      <c r="F2570" t="n">
        <v>14.5</v>
      </c>
      <c r="G2570" t="n">
        <v>0</v>
      </c>
      <c r="H2570">
        <f>E2570*F2570*(1-G2570)</f>
        <v/>
      </c>
      <c r="I2570">
        <f>XLOOKUP(D2570,Products!$A$2:$A$15,Products!$B$2:$B$15,"Not found")</f>
        <v/>
      </c>
    </row>
    <row r="2571">
      <c r="A2571" t="n">
        <v>106890</v>
      </c>
      <c r="B2571" s="1" t="n">
        <v>45900</v>
      </c>
      <c r="C2571" t="inlineStr">
        <is>
          <t>S01</t>
        </is>
      </c>
      <c r="D2571" t="inlineStr">
        <is>
          <t>P104</t>
        </is>
      </c>
      <c r="E2571" t="n">
        <v>1</v>
      </c>
      <c r="F2571" t="n">
        <v>189</v>
      </c>
      <c r="G2571" t="n">
        <v>0</v>
      </c>
      <c r="H2571">
        <f>E2571*F2571*(1-G2571)</f>
        <v/>
      </c>
      <c r="I2571">
        <f>XLOOKUP(D2571,Products!$A$2:$A$15,Products!$B$2:$B$15,"Not found")</f>
        <v/>
      </c>
    </row>
    <row r="2572">
      <c r="A2572" t="n">
        <v>106891</v>
      </c>
      <c r="B2572" s="1" t="n">
        <v>45900</v>
      </c>
      <c r="C2572" t="inlineStr">
        <is>
          <t>S01</t>
        </is>
      </c>
      <c r="D2572" t="inlineStr">
        <is>
          <t>P102</t>
        </is>
      </c>
      <c r="E2572" t="n">
        <v>1</v>
      </c>
      <c r="F2572" t="n">
        <v>14.5</v>
      </c>
      <c r="G2572" t="n">
        <v>0</v>
      </c>
      <c r="H2572">
        <f>E2572*F2572*(1-G2572)</f>
        <v/>
      </c>
      <c r="I2572">
        <f>XLOOKUP(D2572,Products!$A$2:$A$15,Products!$B$2:$B$15,"Not found")</f>
        <v/>
      </c>
    </row>
    <row r="2573">
      <c r="A2573" t="n">
        <v>106892</v>
      </c>
      <c r="B2573" s="1" t="n">
        <v>45900</v>
      </c>
      <c r="C2573" t="inlineStr">
        <is>
          <t>S01</t>
        </is>
      </c>
      <c r="D2573" t="inlineStr">
        <is>
          <t>P203</t>
        </is>
      </c>
      <c r="E2573" t="n">
        <v>3</v>
      </c>
      <c r="F2573" t="n">
        <v>19.5</v>
      </c>
      <c r="G2573" t="n">
        <v>0.1</v>
      </c>
      <c r="H2573">
        <f>E2573*F2573*(1-G2573)</f>
        <v/>
      </c>
      <c r="I2573">
        <f>XLOOKUP(D2573,Products!$A$2:$A$15,Products!$B$2:$B$15,"Not found")</f>
        <v/>
      </c>
    </row>
    <row r="2574">
      <c r="A2574" t="n">
        <v>106893</v>
      </c>
      <c r="B2574" s="1" t="n">
        <v>45900</v>
      </c>
      <c r="C2574" t="inlineStr">
        <is>
          <t>S02</t>
        </is>
      </c>
      <c r="D2574" t="inlineStr">
        <is>
          <t>P102</t>
        </is>
      </c>
      <c r="E2574" t="n">
        <v>2</v>
      </c>
      <c r="F2574" t="n">
        <v>14.5</v>
      </c>
      <c r="G2574" t="n">
        <v>0</v>
      </c>
      <c r="H2574">
        <f>E2574*F2574*(1-G2574)</f>
        <v/>
      </c>
      <c r="I2574">
        <f>XLOOKUP(D2574,Products!$A$2:$A$15,Products!$B$2:$B$15,"Not found")</f>
        <v/>
      </c>
    </row>
    <row r="2575">
      <c r="A2575" t="n">
        <v>106894</v>
      </c>
      <c r="B2575" s="1" t="n">
        <v>45900</v>
      </c>
      <c r="C2575" t="inlineStr">
        <is>
          <t>S02</t>
        </is>
      </c>
      <c r="D2575" t="inlineStr">
        <is>
          <t>P102</t>
        </is>
      </c>
      <c r="E2575" t="n">
        <v>2</v>
      </c>
      <c r="F2575" t="n">
        <v>14.5</v>
      </c>
      <c r="G2575" t="n">
        <v>0.15</v>
      </c>
      <c r="H2575">
        <f>E2575*F2575*(1-G2575)</f>
        <v/>
      </c>
      <c r="I2575">
        <f>XLOOKUP(D2575,Products!$A$2:$A$15,Products!$B$2:$B$15,"Not found")</f>
        <v/>
      </c>
    </row>
    <row r="2576">
      <c r="A2576" t="n">
        <v>106895</v>
      </c>
      <c r="B2576" s="1" t="n">
        <v>45900</v>
      </c>
      <c r="C2576" t="inlineStr">
        <is>
          <t>S05</t>
        </is>
      </c>
      <c r="D2576" t="inlineStr">
        <is>
          <t>P301</t>
        </is>
      </c>
      <c r="E2576" t="n">
        <v>1</v>
      </c>
      <c r="F2576" t="n">
        <v>119</v>
      </c>
      <c r="G2576" t="n">
        <v>0.2</v>
      </c>
      <c r="H2576">
        <f>E2576*F2576*(1-G2576)</f>
        <v/>
      </c>
      <c r="I2576">
        <f>XLOOKUP(D2576,Products!$A$2:$A$15,Products!$B$2:$B$15,"Not found")</f>
        <v/>
      </c>
    </row>
    <row r="2577">
      <c r="A2577" t="n">
        <v>106896</v>
      </c>
      <c r="B2577" s="1" t="n">
        <v>45900</v>
      </c>
      <c r="C2577" t="inlineStr">
        <is>
          <t>S05</t>
        </is>
      </c>
      <c r="D2577" t="inlineStr">
        <is>
          <t>P203</t>
        </is>
      </c>
      <c r="E2577" t="n">
        <v>1</v>
      </c>
      <c r="F2577" t="n">
        <v>19.5</v>
      </c>
      <c r="G2577" t="n">
        <v>0</v>
      </c>
      <c r="H2577">
        <f>E2577*F2577*(1-G2577)</f>
        <v/>
      </c>
      <c r="I2577">
        <f>XLOOKUP(D2577,Products!$A$2:$A$15,Products!$B$2:$B$15,"Not found")</f>
        <v/>
      </c>
    </row>
    <row r="2578">
      <c r="A2578" t="n">
        <v>106897</v>
      </c>
      <c r="B2578" s="1" t="n">
        <v>45900</v>
      </c>
      <c r="C2578" t="inlineStr">
        <is>
          <t>S06</t>
        </is>
      </c>
      <c r="D2578" t="inlineStr">
        <is>
          <t>P203</t>
        </is>
      </c>
      <c r="E2578" t="n">
        <v>3</v>
      </c>
      <c r="F2578" t="n">
        <v>19.5</v>
      </c>
      <c r="G2578" t="n">
        <v>0.15</v>
      </c>
      <c r="H2578">
        <f>E2578*F2578*(1-G2578)</f>
        <v/>
      </c>
      <c r="I2578">
        <f>XLOOKUP(D2578,Products!$A$2:$A$15,Products!$B$2:$B$15,"Not found")</f>
        <v/>
      </c>
    </row>
    <row r="2579">
      <c r="A2579" t="n">
        <v>106898</v>
      </c>
      <c r="B2579" s="1" t="n">
        <v>45900</v>
      </c>
      <c r="C2579" t="inlineStr">
        <is>
          <t>S06</t>
        </is>
      </c>
      <c r="D2579" t="inlineStr">
        <is>
          <t>P403</t>
        </is>
      </c>
      <c r="E2579" t="n">
        <v>3</v>
      </c>
      <c r="F2579" t="n">
        <v>89</v>
      </c>
      <c r="G2579" t="n">
        <v>0.2</v>
      </c>
      <c r="H2579">
        <f>E2579*F2579*(1-G2579)</f>
        <v/>
      </c>
      <c r="I2579">
        <f>XLOOKUP(D2579,Products!$A$2:$A$15,Products!$B$2:$B$15,"Not found")</f>
        <v/>
      </c>
    </row>
    <row r="2580">
      <c r="A2580" t="n">
        <v>106899</v>
      </c>
      <c r="B2580" s="1" t="n">
        <v>45900</v>
      </c>
      <c r="C2580" t="inlineStr">
        <is>
          <t>S06</t>
        </is>
      </c>
      <c r="D2580" t="inlineStr">
        <is>
          <t>P203</t>
        </is>
      </c>
      <c r="E2580" t="n">
        <v>1</v>
      </c>
      <c r="F2580" t="n">
        <v>19.5</v>
      </c>
      <c r="G2580" t="n">
        <v>0</v>
      </c>
      <c r="H2580">
        <f>E2580*F2580*(1-G2580)</f>
        <v/>
      </c>
      <c r="I2580">
        <f>XLOOKUP(D2580,Products!$A$2:$A$15,Products!$B$2:$B$15,"Not found")</f>
        <v/>
      </c>
    </row>
    <row r="2581">
      <c r="A2581" t="n">
        <v>106900</v>
      </c>
      <c r="B2581" s="1" t="n">
        <v>45900</v>
      </c>
      <c r="C2581" t="inlineStr">
        <is>
          <t>S06</t>
        </is>
      </c>
      <c r="D2581" t="inlineStr">
        <is>
          <t>P102</t>
        </is>
      </c>
      <c r="E2581" t="n">
        <v>2</v>
      </c>
      <c r="F2581" t="n">
        <v>14.5</v>
      </c>
      <c r="G2581" t="n">
        <v>0</v>
      </c>
      <c r="H2581">
        <f>E2581*F2581*(1-G2581)</f>
        <v/>
      </c>
      <c r="I2581">
        <f>XLOOKUP(D2581,Products!$A$2:$A$15,Products!$B$2:$B$15,"Not found")</f>
        <v/>
      </c>
    </row>
    <row r="2582">
      <c r="A2582" t="n">
        <v>106901</v>
      </c>
      <c r="B2582" s="1" t="n">
        <v>45901</v>
      </c>
      <c r="C2582" t="inlineStr">
        <is>
          <t>S01</t>
        </is>
      </c>
      <c r="D2582" t="inlineStr">
        <is>
          <t>P203</t>
        </is>
      </c>
      <c r="E2582" t="n">
        <v>3</v>
      </c>
      <c r="F2582" t="n">
        <v>19.5</v>
      </c>
      <c r="G2582" t="n">
        <v>0</v>
      </c>
      <c r="H2582">
        <f>E2582*F2582*(1-G2582)</f>
        <v/>
      </c>
      <c r="I2582">
        <f>XLOOKUP(D2582,Products!$A$2:$A$15,Products!$B$2:$B$15,"Not found")</f>
        <v/>
      </c>
    </row>
    <row r="2583">
      <c r="A2583" t="n">
        <v>106902</v>
      </c>
      <c r="B2583" s="1" t="n">
        <v>45901</v>
      </c>
      <c r="C2583" t="inlineStr">
        <is>
          <t>S01</t>
        </is>
      </c>
      <c r="D2583" t="inlineStr">
        <is>
          <t>P302</t>
        </is>
      </c>
      <c r="E2583" t="n">
        <v>3</v>
      </c>
      <c r="F2583" t="n">
        <v>24</v>
      </c>
      <c r="G2583" t="n">
        <v>0.2</v>
      </c>
      <c r="H2583">
        <f>E2583*F2583*(1-G2583)</f>
        <v/>
      </c>
      <c r="I2583">
        <f>XLOOKUP(D2583,Products!$A$2:$A$15,Products!$B$2:$B$15,"Not found")</f>
        <v/>
      </c>
    </row>
    <row r="2584">
      <c r="A2584" t="n">
        <v>106903</v>
      </c>
      <c r="B2584" s="1" t="n">
        <v>45901</v>
      </c>
      <c r="C2584" t="inlineStr">
        <is>
          <t>S01</t>
        </is>
      </c>
      <c r="D2584" t="inlineStr">
        <is>
          <t>P203</t>
        </is>
      </c>
      <c r="E2584" t="n">
        <v>1</v>
      </c>
      <c r="F2584" t="n">
        <v>19.5</v>
      </c>
      <c r="G2584" t="n">
        <v>0</v>
      </c>
      <c r="H2584">
        <f>E2584*F2584*(1-G2584)</f>
        <v/>
      </c>
      <c r="I2584">
        <f>XLOOKUP(D2584,Products!$A$2:$A$15,Products!$B$2:$B$15,"Not found")</f>
        <v/>
      </c>
    </row>
    <row r="2585">
      <c r="A2585" t="n">
        <v>106904</v>
      </c>
      <c r="B2585" s="1" t="n">
        <v>45901</v>
      </c>
      <c r="C2585" t="inlineStr">
        <is>
          <t>S01</t>
        </is>
      </c>
      <c r="D2585" t="inlineStr">
        <is>
          <t>P204</t>
        </is>
      </c>
      <c r="E2585" t="n">
        <v>1</v>
      </c>
      <c r="F2585" t="n">
        <v>229</v>
      </c>
      <c r="G2585" t="n">
        <v>0.15</v>
      </c>
      <c r="H2585">
        <f>E2585*F2585*(1-G2585)</f>
        <v/>
      </c>
      <c r="I2585">
        <f>XLOOKUP(D2585,Products!$A$2:$A$15,Products!$B$2:$B$15,"Not found")</f>
        <v/>
      </c>
    </row>
    <row r="2586">
      <c r="A2586" t="n">
        <v>106905</v>
      </c>
      <c r="B2586" s="1" t="n">
        <v>45901</v>
      </c>
      <c r="C2586" t="inlineStr">
        <is>
          <t>S02</t>
        </is>
      </c>
      <c r="D2586" t="inlineStr">
        <is>
          <t>P103</t>
        </is>
      </c>
      <c r="E2586" t="n">
        <v>2</v>
      </c>
      <c r="F2586" t="n">
        <v>29</v>
      </c>
      <c r="G2586" t="n">
        <v>0</v>
      </c>
      <c r="H2586">
        <f>E2586*F2586*(1-G2586)</f>
        <v/>
      </c>
      <c r="I2586">
        <f>XLOOKUP(D2586,Products!$A$2:$A$15,Products!$B$2:$B$15,"Not found")</f>
        <v/>
      </c>
    </row>
    <row r="2587">
      <c r="A2587" t="n">
        <v>106906</v>
      </c>
      <c r="B2587" s="1" t="n">
        <v>45901</v>
      </c>
      <c r="C2587" t="inlineStr">
        <is>
          <t>S02</t>
        </is>
      </c>
      <c r="D2587" t="inlineStr">
        <is>
          <t>P302</t>
        </is>
      </c>
      <c r="E2587" t="n">
        <v>3</v>
      </c>
      <c r="F2587" t="n">
        <v>24</v>
      </c>
      <c r="G2587" t="n">
        <v>0</v>
      </c>
      <c r="H2587">
        <f>E2587*F2587*(1-G2587)</f>
        <v/>
      </c>
      <c r="I2587">
        <f>XLOOKUP(D2587,Products!$A$2:$A$15,Products!$B$2:$B$15,"Not found")</f>
        <v/>
      </c>
    </row>
    <row r="2588">
      <c r="A2588" t="n">
        <v>106907</v>
      </c>
      <c r="B2588" s="1" t="n">
        <v>45901</v>
      </c>
      <c r="C2588" t="inlineStr">
        <is>
          <t>S02</t>
        </is>
      </c>
      <c r="D2588" t="inlineStr">
        <is>
          <t>P102</t>
        </is>
      </c>
      <c r="E2588" t="n">
        <v>1</v>
      </c>
      <c r="F2588" t="n">
        <v>14.5</v>
      </c>
      <c r="G2588" t="n">
        <v>0.2</v>
      </c>
      <c r="H2588">
        <f>E2588*F2588*(1-G2588)</f>
        <v/>
      </c>
      <c r="I2588">
        <f>XLOOKUP(D2588,Products!$A$2:$A$15,Products!$B$2:$B$15,"Not found")</f>
        <v/>
      </c>
    </row>
    <row r="2589">
      <c r="A2589" t="n">
        <v>106908</v>
      </c>
      <c r="B2589" s="1" t="n">
        <v>45901</v>
      </c>
      <c r="C2589" t="inlineStr">
        <is>
          <t>S04</t>
        </is>
      </c>
      <c r="D2589" t="inlineStr">
        <is>
          <t>P302</t>
        </is>
      </c>
      <c r="E2589" t="n">
        <v>1</v>
      </c>
      <c r="F2589" t="n">
        <v>24</v>
      </c>
      <c r="G2589" t="n">
        <v>0.15</v>
      </c>
      <c r="H2589">
        <f>E2589*F2589*(1-G2589)</f>
        <v/>
      </c>
      <c r="I2589">
        <f>XLOOKUP(D2589,Products!$A$2:$A$15,Products!$B$2:$B$15,"Not found")</f>
        <v/>
      </c>
    </row>
    <row r="2590">
      <c r="A2590" t="n">
        <v>106909</v>
      </c>
      <c r="B2590" s="1" t="n">
        <v>45901</v>
      </c>
      <c r="C2590" t="inlineStr">
        <is>
          <t>S05</t>
        </is>
      </c>
      <c r="D2590" t="inlineStr">
        <is>
          <t>P203</t>
        </is>
      </c>
      <c r="E2590" t="n">
        <v>3</v>
      </c>
      <c r="F2590" t="n">
        <v>19.5</v>
      </c>
      <c r="G2590" t="n">
        <v>0</v>
      </c>
      <c r="H2590">
        <f>E2590*F2590*(1-G2590)</f>
        <v/>
      </c>
      <c r="I2590">
        <f>XLOOKUP(D2590,Products!$A$2:$A$15,Products!$B$2:$B$15,"Not found")</f>
        <v/>
      </c>
    </row>
    <row r="2591">
      <c r="A2591" t="n">
        <v>106910</v>
      </c>
      <c r="B2591" s="1" t="n">
        <v>45901</v>
      </c>
      <c r="C2591" t="inlineStr">
        <is>
          <t>S05</t>
        </is>
      </c>
      <c r="D2591" t="inlineStr">
        <is>
          <t>P403</t>
        </is>
      </c>
      <c r="E2591" t="n">
        <v>1</v>
      </c>
      <c r="F2591" t="n">
        <v>89</v>
      </c>
      <c r="G2591" t="n">
        <v>0.2</v>
      </c>
      <c r="H2591">
        <f>E2591*F2591*(1-G2591)</f>
        <v/>
      </c>
      <c r="I2591">
        <f>XLOOKUP(D2591,Products!$A$2:$A$15,Products!$B$2:$B$15,"Not found")</f>
        <v/>
      </c>
    </row>
    <row r="2592">
      <c r="A2592" t="n">
        <v>106911</v>
      </c>
      <c r="B2592" s="1" t="n">
        <v>45901</v>
      </c>
      <c r="C2592" t="inlineStr">
        <is>
          <t>S05</t>
        </is>
      </c>
      <c r="D2592" t="inlineStr">
        <is>
          <t>P102</t>
        </is>
      </c>
      <c r="E2592" t="n">
        <v>1</v>
      </c>
      <c r="F2592" t="n">
        <v>14.5</v>
      </c>
      <c r="G2592" t="n">
        <v>0</v>
      </c>
      <c r="H2592">
        <f>E2592*F2592*(1-G2592)</f>
        <v/>
      </c>
      <c r="I2592">
        <f>XLOOKUP(D2592,Products!$A$2:$A$15,Products!$B$2:$B$15,"Not found")</f>
        <v/>
      </c>
    </row>
    <row r="2593">
      <c r="A2593" t="n">
        <v>106912</v>
      </c>
      <c r="B2593" s="1" t="n">
        <v>45901</v>
      </c>
      <c r="C2593" t="inlineStr">
        <is>
          <t>S05</t>
        </is>
      </c>
      <c r="D2593" t="inlineStr">
        <is>
          <t>P303</t>
        </is>
      </c>
      <c r="E2593" t="n">
        <v>1</v>
      </c>
      <c r="F2593" t="n">
        <v>12</v>
      </c>
      <c r="G2593" t="n">
        <v>0</v>
      </c>
      <c r="H2593">
        <f>E2593*F2593*(1-G2593)</f>
        <v/>
      </c>
      <c r="I2593">
        <f>XLOOKUP(D2593,Products!$A$2:$A$15,Products!$B$2:$B$15,"Not found")</f>
        <v/>
      </c>
    </row>
    <row r="2594">
      <c r="A2594" t="n">
        <v>106913</v>
      </c>
      <c r="B2594" s="1" t="n">
        <v>45901</v>
      </c>
      <c r="C2594" t="inlineStr">
        <is>
          <t>S05</t>
        </is>
      </c>
      <c r="D2594" t="inlineStr">
        <is>
          <t>P103</t>
        </is>
      </c>
      <c r="E2594" t="n">
        <v>2</v>
      </c>
      <c r="F2594" t="n">
        <v>29</v>
      </c>
      <c r="G2594" t="n">
        <v>0.15</v>
      </c>
      <c r="H2594">
        <f>E2594*F2594*(1-G2594)</f>
        <v/>
      </c>
      <c r="I2594">
        <f>XLOOKUP(D2594,Products!$A$2:$A$15,Products!$B$2:$B$15,"Not found")</f>
        <v/>
      </c>
    </row>
    <row r="2595">
      <c r="A2595" t="n">
        <v>106914</v>
      </c>
      <c r="B2595" s="1" t="n">
        <v>45901</v>
      </c>
      <c r="C2595" t="inlineStr">
        <is>
          <t>S05</t>
        </is>
      </c>
      <c r="D2595" t="inlineStr">
        <is>
          <t>P303</t>
        </is>
      </c>
      <c r="E2595" t="n">
        <v>3</v>
      </c>
      <c r="F2595" t="n">
        <v>12</v>
      </c>
      <c r="G2595" t="n">
        <v>0.1</v>
      </c>
      <c r="H2595">
        <f>E2595*F2595*(1-G2595)</f>
        <v/>
      </c>
      <c r="I2595">
        <f>XLOOKUP(D2595,Products!$A$2:$A$15,Products!$B$2:$B$15,"Not found")</f>
        <v/>
      </c>
    </row>
    <row r="2596">
      <c r="A2596" t="n">
        <v>106915</v>
      </c>
      <c r="B2596" s="1" t="n">
        <v>45902</v>
      </c>
      <c r="C2596" t="inlineStr">
        <is>
          <t>S01</t>
        </is>
      </c>
      <c r="D2596" t="inlineStr">
        <is>
          <t>P303</t>
        </is>
      </c>
      <c r="E2596" t="n">
        <v>1</v>
      </c>
      <c r="F2596" t="n">
        <v>12</v>
      </c>
      <c r="G2596" t="n">
        <v>0.1</v>
      </c>
      <c r="H2596">
        <f>E2596*F2596*(1-G2596)</f>
        <v/>
      </c>
      <c r="I2596">
        <f>XLOOKUP(D2596,Products!$A$2:$A$15,Products!$B$2:$B$15,"Not found")</f>
        <v/>
      </c>
    </row>
    <row r="2597">
      <c r="A2597" t="n">
        <v>106916</v>
      </c>
      <c r="B2597" s="1" t="n">
        <v>45902</v>
      </c>
      <c r="C2597" t="inlineStr">
        <is>
          <t>S01</t>
        </is>
      </c>
      <c r="D2597" t="inlineStr">
        <is>
          <t>P202</t>
        </is>
      </c>
      <c r="E2597" t="n">
        <v>3</v>
      </c>
      <c r="F2597" t="n">
        <v>79</v>
      </c>
      <c r="G2597" t="n">
        <v>0.15</v>
      </c>
      <c r="H2597">
        <f>E2597*F2597*(1-G2597)</f>
        <v/>
      </c>
      <c r="I2597">
        <f>XLOOKUP(D2597,Products!$A$2:$A$15,Products!$B$2:$B$15,"Not found")</f>
        <v/>
      </c>
    </row>
    <row r="2598">
      <c r="A2598" t="n">
        <v>106917</v>
      </c>
      <c r="B2598" s="1" t="n">
        <v>45902</v>
      </c>
      <c r="C2598" t="inlineStr">
        <is>
          <t>S02</t>
        </is>
      </c>
      <c r="D2598" t="inlineStr">
        <is>
          <t>P201</t>
        </is>
      </c>
      <c r="E2598" t="n">
        <v>1</v>
      </c>
      <c r="F2598" t="n">
        <v>149</v>
      </c>
      <c r="G2598" t="n">
        <v>0</v>
      </c>
      <c r="H2598">
        <f>E2598*F2598*(1-G2598)</f>
        <v/>
      </c>
      <c r="I2598">
        <f>XLOOKUP(D2598,Products!$A$2:$A$15,Products!$B$2:$B$15,"Not found")</f>
        <v/>
      </c>
    </row>
    <row r="2599">
      <c r="A2599" t="n">
        <v>106918</v>
      </c>
      <c r="B2599" s="1" t="n">
        <v>45902</v>
      </c>
      <c r="C2599" t="inlineStr">
        <is>
          <t>S02</t>
        </is>
      </c>
      <c r="D2599" t="inlineStr">
        <is>
          <t>P203</t>
        </is>
      </c>
      <c r="E2599" t="n">
        <v>2</v>
      </c>
      <c r="F2599" t="n">
        <v>19.5</v>
      </c>
      <c r="G2599" t="n">
        <v>0</v>
      </c>
      <c r="H2599">
        <f>E2599*F2599*(1-G2599)</f>
        <v/>
      </c>
      <c r="I2599">
        <f>XLOOKUP(D2599,Products!$A$2:$A$15,Products!$B$2:$B$15,"Not found")</f>
        <v/>
      </c>
    </row>
    <row r="2600">
      <c r="A2600" t="n">
        <v>106919</v>
      </c>
      <c r="B2600" s="1" t="n">
        <v>45902</v>
      </c>
      <c r="C2600" t="inlineStr">
        <is>
          <t>S03</t>
        </is>
      </c>
      <c r="D2600" t="inlineStr">
        <is>
          <t>P303</t>
        </is>
      </c>
      <c r="E2600" t="n">
        <v>1</v>
      </c>
      <c r="F2600" t="n">
        <v>12</v>
      </c>
      <c r="G2600" t="n">
        <v>0</v>
      </c>
      <c r="H2600">
        <f>E2600*F2600*(1-G2600)</f>
        <v/>
      </c>
      <c r="I2600">
        <f>XLOOKUP(D2600,Products!$A$2:$A$15,Products!$B$2:$B$15,"Not found")</f>
        <v/>
      </c>
    </row>
    <row r="2601">
      <c r="A2601" t="n">
        <v>106920</v>
      </c>
      <c r="B2601" s="1" t="n">
        <v>45902</v>
      </c>
      <c r="C2601" t="inlineStr">
        <is>
          <t>S03</t>
        </is>
      </c>
      <c r="D2601" t="inlineStr">
        <is>
          <t>P303</t>
        </is>
      </c>
      <c r="E2601" t="n">
        <v>4</v>
      </c>
      <c r="F2601" t="n">
        <v>12</v>
      </c>
      <c r="G2601" t="n">
        <v>0.1</v>
      </c>
      <c r="H2601">
        <f>E2601*F2601*(1-G2601)</f>
        <v/>
      </c>
      <c r="I2601">
        <f>XLOOKUP(D2601,Products!$A$2:$A$15,Products!$B$2:$B$15,"Not found")</f>
        <v/>
      </c>
    </row>
    <row r="2602">
      <c r="A2602" t="n">
        <v>106921</v>
      </c>
      <c r="B2602" s="1" t="n">
        <v>45902</v>
      </c>
      <c r="C2602" t="inlineStr">
        <is>
          <t>S04</t>
        </is>
      </c>
      <c r="D2602" t="inlineStr">
        <is>
          <t>P102</t>
        </is>
      </c>
      <c r="E2602" t="n">
        <v>2</v>
      </c>
      <c r="F2602" t="n">
        <v>14.5</v>
      </c>
      <c r="G2602" t="n">
        <v>0</v>
      </c>
      <c r="H2602">
        <f>E2602*F2602*(1-G2602)</f>
        <v/>
      </c>
      <c r="I2602">
        <f>XLOOKUP(D2602,Products!$A$2:$A$15,Products!$B$2:$B$15,"Not found")</f>
        <v/>
      </c>
    </row>
    <row r="2603">
      <c r="A2603" t="n">
        <v>106922</v>
      </c>
      <c r="B2603" s="1" t="n">
        <v>45902</v>
      </c>
      <c r="C2603" t="inlineStr">
        <is>
          <t>S05</t>
        </is>
      </c>
      <c r="D2603" t="inlineStr">
        <is>
          <t>P302</t>
        </is>
      </c>
      <c r="E2603" t="n">
        <v>4</v>
      </c>
      <c r="F2603" t="n">
        <v>24</v>
      </c>
      <c r="G2603" t="n">
        <v>0.1</v>
      </c>
      <c r="H2603">
        <f>E2603*F2603*(1-G2603)</f>
        <v/>
      </c>
      <c r="I2603">
        <f>XLOOKUP(D2603,Products!$A$2:$A$15,Products!$B$2:$B$15,"Not found")</f>
        <v/>
      </c>
    </row>
    <row r="2604">
      <c r="A2604" t="n">
        <v>106923</v>
      </c>
      <c r="B2604" s="1" t="n">
        <v>45902</v>
      </c>
      <c r="C2604" t="inlineStr">
        <is>
          <t>S05</t>
        </is>
      </c>
      <c r="D2604" t="inlineStr">
        <is>
          <t>P202</t>
        </is>
      </c>
      <c r="E2604" t="n">
        <v>2</v>
      </c>
      <c r="F2604" t="n">
        <v>79</v>
      </c>
      <c r="G2604" t="n">
        <v>0.2</v>
      </c>
      <c r="H2604">
        <f>E2604*F2604*(1-G2604)</f>
        <v/>
      </c>
      <c r="I2604">
        <f>XLOOKUP(D2604,Products!$A$2:$A$15,Products!$B$2:$B$15,"Not found")</f>
        <v/>
      </c>
    </row>
    <row r="2605">
      <c r="A2605" t="n">
        <v>106924</v>
      </c>
      <c r="B2605" s="1" t="n">
        <v>45902</v>
      </c>
      <c r="C2605" t="inlineStr">
        <is>
          <t>S05</t>
        </is>
      </c>
      <c r="D2605" t="inlineStr">
        <is>
          <t>P203</t>
        </is>
      </c>
      <c r="E2605" t="n">
        <v>1</v>
      </c>
      <c r="F2605" t="n">
        <v>19.5</v>
      </c>
      <c r="G2605" t="n">
        <v>0</v>
      </c>
      <c r="H2605">
        <f>E2605*F2605*(1-G2605)</f>
        <v/>
      </c>
      <c r="I2605">
        <f>XLOOKUP(D2605,Products!$A$2:$A$15,Products!$B$2:$B$15,"Not found")</f>
        <v/>
      </c>
    </row>
    <row r="2606">
      <c r="A2606" t="n">
        <v>106925</v>
      </c>
      <c r="B2606" s="1" t="n">
        <v>45902</v>
      </c>
      <c r="C2606" t="inlineStr">
        <is>
          <t>S06</t>
        </is>
      </c>
      <c r="D2606" t="inlineStr">
        <is>
          <t>P201</t>
        </is>
      </c>
      <c r="E2606" t="n">
        <v>1</v>
      </c>
      <c r="F2606" t="n">
        <v>149</v>
      </c>
      <c r="G2606" t="n">
        <v>0</v>
      </c>
      <c r="H2606">
        <f>E2606*F2606*(1-G2606)</f>
        <v/>
      </c>
      <c r="I2606">
        <f>XLOOKUP(D2606,Products!$A$2:$A$15,Products!$B$2:$B$15,"Not found")</f>
        <v/>
      </c>
    </row>
    <row r="2607">
      <c r="A2607" t="n">
        <v>106926</v>
      </c>
      <c r="B2607" s="1" t="n">
        <v>45903</v>
      </c>
      <c r="C2607" t="inlineStr">
        <is>
          <t>S01</t>
        </is>
      </c>
      <c r="D2607" t="inlineStr">
        <is>
          <t>P303</t>
        </is>
      </c>
      <c r="E2607" t="n">
        <v>1</v>
      </c>
      <c r="F2607" t="n">
        <v>12</v>
      </c>
      <c r="G2607" t="n">
        <v>0</v>
      </c>
      <c r="H2607">
        <f>E2607*F2607*(1-G2607)</f>
        <v/>
      </c>
      <c r="I2607">
        <f>XLOOKUP(D2607,Products!$A$2:$A$15,Products!$B$2:$B$15,"Not found")</f>
        <v/>
      </c>
    </row>
    <row r="2608">
      <c r="A2608" t="n">
        <v>106927</v>
      </c>
      <c r="B2608" s="1" t="n">
        <v>45903</v>
      </c>
      <c r="C2608" t="inlineStr">
        <is>
          <t>S01</t>
        </is>
      </c>
      <c r="D2608" t="inlineStr">
        <is>
          <t>P102</t>
        </is>
      </c>
      <c r="E2608" t="n">
        <v>3</v>
      </c>
      <c r="F2608" t="n">
        <v>14.5</v>
      </c>
      <c r="G2608" t="n">
        <v>0.15</v>
      </c>
      <c r="H2608">
        <f>E2608*F2608*(1-G2608)</f>
        <v/>
      </c>
      <c r="I2608">
        <f>XLOOKUP(D2608,Products!$A$2:$A$15,Products!$B$2:$B$15,"Not found")</f>
        <v/>
      </c>
    </row>
    <row r="2609">
      <c r="A2609" t="n">
        <v>106928</v>
      </c>
      <c r="B2609" s="1" t="n">
        <v>45903</v>
      </c>
      <c r="C2609" t="inlineStr">
        <is>
          <t>S01</t>
        </is>
      </c>
      <c r="D2609" t="inlineStr">
        <is>
          <t>P302</t>
        </is>
      </c>
      <c r="E2609" t="n">
        <v>4</v>
      </c>
      <c r="F2609" t="n">
        <v>24</v>
      </c>
      <c r="G2609" t="n">
        <v>0</v>
      </c>
      <c r="H2609">
        <f>E2609*F2609*(1-G2609)</f>
        <v/>
      </c>
      <c r="I2609">
        <f>XLOOKUP(D2609,Products!$A$2:$A$15,Products!$B$2:$B$15,"Not found")</f>
        <v/>
      </c>
    </row>
    <row r="2610">
      <c r="A2610" t="n">
        <v>106929</v>
      </c>
      <c r="B2610" s="1" t="n">
        <v>45903</v>
      </c>
      <c r="C2610" t="inlineStr">
        <is>
          <t>S01</t>
        </is>
      </c>
      <c r="D2610" t="inlineStr">
        <is>
          <t>P303</t>
        </is>
      </c>
      <c r="E2610" t="n">
        <v>2</v>
      </c>
      <c r="F2610" t="n">
        <v>12</v>
      </c>
      <c r="G2610" t="n">
        <v>0.15</v>
      </c>
      <c r="H2610">
        <f>E2610*F2610*(1-G2610)</f>
        <v/>
      </c>
      <c r="I2610">
        <f>XLOOKUP(D2610,Products!$A$2:$A$15,Products!$B$2:$B$15,"Not found")</f>
        <v/>
      </c>
    </row>
    <row r="2611">
      <c r="A2611" t="n">
        <v>106930</v>
      </c>
      <c r="B2611" s="1" t="n">
        <v>45903</v>
      </c>
      <c r="C2611" t="inlineStr">
        <is>
          <t>S01</t>
        </is>
      </c>
      <c r="D2611" t="inlineStr">
        <is>
          <t>P303</t>
        </is>
      </c>
      <c r="E2611" t="n">
        <v>1</v>
      </c>
      <c r="F2611" t="n">
        <v>12</v>
      </c>
      <c r="G2611" t="n">
        <v>0.1</v>
      </c>
      <c r="H2611">
        <f>E2611*F2611*(1-G2611)</f>
        <v/>
      </c>
      <c r="I2611">
        <f>XLOOKUP(D2611,Products!$A$2:$A$15,Products!$B$2:$B$15,"Not found")</f>
        <v/>
      </c>
    </row>
    <row r="2612">
      <c r="A2612" t="n">
        <v>106931</v>
      </c>
      <c r="B2612" s="1" t="n">
        <v>45903</v>
      </c>
      <c r="C2612" t="inlineStr">
        <is>
          <t>S01</t>
        </is>
      </c>
      <c r="D2612" t="inlineStr">
        <is>
          <t>P201</t>
        </is>
      </c>
      <c r="E2612" t="n">
        <v>1</v>
      </c>
      <c r="F2612" t="n">
        <v>149</v>
      </c>
      <c r="G2612" t="n">
        <v>0</v>
      </c>
      <c r="H2612">
        <f>E2612*F2612*(1-G2612)</f>
        <v/>
      </c>
      <c r="I2612">
        <f>XLOOKUP(D2612,Products!$A$2:$A$15,Products!$B$2:$B$15,"Not found")</f>
        <v/>
      </c>
    </row>
    <row r="2613">
      <c r="A2613" t="n">
        <v>106932</v>
      </c>
      <c r="B2613" s="1" t="n">
        <v>45903</v>
      </c>
      <c r="C2613" t="inlineStr">
        <is>
          <t>S02</t>
        </is>
      </c>
      <c r="D2613" t="inlineStr">
        <is>
          <t>P101</t>
        </is>
      </c>
      <c r="E2613" t="n">
        <v>3</v>
      </c>
      <c r="F2613" t="n">
        <v>39</v>
      </c>
      <c r="G2613" t="n">
        <v>0.1</v>
      </c>
      <c r="H2613">
        <f>E2613*F2613*(1-G2613)</f>
        <v/>
      </c>
      <c r="I2613">
        <f>XLOOKUP(D2613,Products!$A$2:$A$15,Products!$B$2:$B$15,"Not found")</f>
        <v/>
      </c>
    </row>
    <row r="2614">
      <c r="A2614" t="n">
        <v>106933</v>
      </c>
      <c r="B2614" s="1" t="n">
        <v>45903</v>
      </c>
      <c r="C2614" t="inlineStr">
        <is>
          <t>S05</t>
        </is>
      </c>
      <c r="D2614" t="inlineStr">
        <is>
          <t>P303</t>
        </is>
      </c>
      <c r="E2614" t="n">
        <v>3</v>
      </c>
      <c r="F2614" t="n">
        <v>12</v>
      </c>
      <c r="G2614" t="n">
        <v>0</v>
      </c>
      <c r="H2614">
        <f>E2614*F2614*(1-G2614)</f>
        <v/>
      </c>
      <c r="I2614">
        <f>XLOOKUP(D2614,Products!$A$2:$A$15,Products!$B$2:$B$15,"Not found")</f>
        <v/>
      </c>
    </row>
    <row r="2615">
      <c r="A2615" t="n">
        <v>106934</v>
      </c>
      <c r="B2615" s="1" t="n">
        <v>45903</v>
      </c>
      <c r="C2615" t="inlineStr">
        <is>
          <t>S05</t>
        </is>
      </c>
      <c r="D2615" t="inlineStr">
        <is>
          <t>P203</t>
        </is>
      </c>
      <c r="E2615" t="n">
        <v>1</v>
      </c>
      <c r="F2615" t="n">
        <v>19.5</v>
      </c>
      <c r="G2615" t="n">
        <v>0</v>
      </c>
      <c r="H2615">
        <f>E2615*F2615*(1-G2615)</f>
        <v/>
      </c>
      <c r="I2615">
        <f>XLOOKUP(D2615,Products!$A$2:$A$15,Products!$B$2:$B$15,"Not found")</f>
        <v/>
      </c>
    </row>
    <row r="2616">
      <c r="A2616" t="n">
        <v>106935</v>
      </c>
      <c r="B2616" s="1" t="n">
        <v>45903</v>
      </c>
      <c r="C2616" t="inlineStr">
        <is>
          <t>S05</t>
        </is>
      </c>
      <c r="D2616" t="inlineStr">
        <is>
          <t>P104</t>
        </is>
      </c>
      <c r="E2616" t="n">
        <v>1</v>
      </c>
      <c r="F2616" t="n">
        <v>189</v>
      </c>
      <c r="G2616" t="n">
        <v>0</v>
      </c>
      <c r="H2616">
        <f>E2616*F2616*(1-G2616)</f>
        <v/>
      </c>
      <c r="I2616">
        <f>XLOOKUP(D2616,Products!$A$2:$A$15,Products!$B$2:$B$15,"Not found")</f>
        <v/>
      </c>
    </row>
    <row r="2617">
      <c r="A2617" t="n">
        <v>106936</v>
      </c>
      <c r="B2617" s="1" t="n">
        <v>45903</v>
      </c>
      <c r="C2617" t="inlineStr">
        <is>
          <t>S06</t>
        </is>
      </c>
      <c r="D2617" t="inlineStr">
        <is>
          <t>P302</t>
        </is>
      </c>
      <c r="E2617" t="n">
        <v>2</v>
      </c>
      <c r="F2617" t="n">
        <v>24</v>
      </c>
      <c r="G2617" t="n">
        <v>0</v>
      </c>
      <c r="H2617">
        <f>E2617*F2617*(1-G2617)</f>
        <v/>
      </c>
      <c r="I2617">
        <f>XLOOKUP(D2617,Products!$A$2:$A$15,Products!$B$2:$B$15,"Not found")</f>
        <v/>
      </c>
    </row>
    <row r="2618">
      <c r="A2618" t="n">
        <v>106937</v>
      </c>
      <c r="B2618" s="1" t="n">
        <v>45904</v>
      </c>
      <c r="C2618" t="inlineStr">
        <is>
          <t>S01</t>
        </is>
      </c>
      <c r="D2618" t="inlineStr">
        <is>
          <t>P201</t>
        </is>
      </c>
      <c r="E2618" t="n">
        <v>1</v>
      </c>
      <c r="F2618" t="n">
        <v>149</v>
      </c>
      <c r="G2618" t="n">
        <v>0</v>
      </c>
      <c r="H2618">
        <f>E2618*F2618*(1-G2618)</f>
        <v/>
      </c>
      <c r="I2618">
        <f>XLOOKUP(D2618,Products!$A$2:$A$15,Products!$B$2:$B$15,"Not found")</f>
        <v/>
      </c>
    </row>
    <row r="2619">
      <c r="A2619" t="n">
        <v>106938</v>
      </c>
      <c r="B2619" s="1" t="n">
        <v>45904</v>
      </c>
      <c r="C2619" t="inlineStr">
        <is>
          <t>S02</t>
        </is>
      </c>
      <c r="D2619" t="inlineStr">
        <is>
          <t>P104</t>
        </is>
      </c>
      <c r="E2619" t="n">
        <v>1</v>
      </c>
      <c r="F2619" t="n">
        <v>189</v>
      </c>
      <c r="G2619" t="n">
        <v>0</v>
      </c>
      <c r="H2619">
        <f>E2619*F2619*(1-G2619)</f>
        <v/>
      </c>
      <c r="I2619">
        <f>XLOOKUP(D2619,Products!$A$2:$A$15,Products!$B$2:$B$15,"Not found")</f>
        <v/>
      </c>
    </row>
    <row r="2620">
      <c r="A2620" t="n">
        <v>106939</v>
      </c>
      <c r="B2620" s="1" t="n">
        <v>45904</v>
      </c>
      <c r="C2620" t="inlineStr">
        <is>
          <t>S04</t>
        </is>
      </c>
      <c r="D2620" t="inlineStr">
        <is>
          <t>P201</t>
        </is>
      </c>
      <c r="E2620" t="n">
        <v>1</v>
      </c>
      <c r="F2620" t="n">
        <v>149</v>
      </c>
      <c r="G2620" t="n">
        <v>0.2</v>
      </c>
      <c r="H2620">
        <f>E2620*F2620*(1-G2620)</f>
        <v/>
      </c>
      <c r="I2620">
        <f>XLOOKUP(D2620,Products!$A$2:$A$15,Products!$B$2:$B$15,"Not found")</f>
        <v/>
      </c>
    </row>
    <row r="2621">
      <c r="A2621" t="n">
        <v>106940</v>
      </c>
      <c r="B2621" s="1" t="n">
        <v>45904</v>
      </c>
      <c r="C2621" t="inlineStr">
        <is>
          <t>S04</t>
        </is>
      </c>
      <c r="D2621" t="inlineStr">
        <is>
          <t>P102</t>
        </is>
      </c>
      <c r="E2621" t="n">
        <v>2</v>
      </c>
      <c r="F2621" t="n">
        <v>14.5</v>
      </c>
      <c r="G2621" t="n">
        <v>0</v>
      </c>
      <c r="H2621">
        <f>E2621*F2621*(1-G2621)</f>
        <v/>
      </c>
      <c r="I2621">
        <f>XLOOKUP(D2621,Products!$A$2:$A$15,Products!$B$2:$B$15,"Not found")</f>
        <v/>
      </c>
    </row>
    <row r="2622">
      <c r="A2622" t="n">
        <v>106941</v>
      </c>
      <c r="B2622" s="1" t="n">
        <v>45904</v>
      </c>
      <c r="C2622" t="inlineStr">
        <is>
          <t>S05</t>
        </is>
      </c>
      <c r="D2622" t="inlineStr">
        <is>
          <t>P101</t>
        </is>
      </c>
      <c r="E2622" t="n">
        <v>2</v>
      </c>
      <c r="F2622" t="n">
        <v>39</v>
      </c>
      <c r="G2622" t="n">
        <v>0</v>
      </c>
      <c r="H2622">
        <f>E2622*F2622*(1-G2622)</f>
        <v/>
      </c>
      <c r="I2622">
        <f>XLOOKUP(D2622,Products!$A$2:$A$15,Products!$B$2:$B$15,"Not found")</f>
        <v/>
      </c>
    </row>
    <row r="2623">
      <c r="A2623" t="n">
        <v>106942</v>
      </c>
      <c r="B2623" s="1" t="n">
        <v>45905</v>
      </c>
      <c r="C2623" t="inlineStr">
        <is>
          <t>S01</t>
        </is>
      </c>
      <c r="D2623" t="inlineStr">
        <is>
          <t>P103</t>
        </is>
      </c>
      <c r="E2623" t="n">
        <v>3</v>
      </c>
      <c r="F2623" t="n">
        <v>29</v>
      </c>
      <c r="G2623" t="n">
        <v>0</v>
      </c>
      <c r="H2623">
        <f>E2623*F2623*(1-G2623)</f>
        <v/>
      </c>
      <c r="I2623">
        <f>XLOOKUP(D2623,Products!$A$2:$A$15,Products!$B$2:$B$15,"Not found")</f>
        <v/>
      </c>
    </row>
    <row r="2624">
      <c r="A2624" t="n">
        <v>106943</v>
      </c>
      <c r="B2624" s="1" t="n">
        <v>45905</v>
      </c>
      <c r="C2624" t="inlineStr">
        <is>
          <t>S01</t>
        </is>
      </c>
      <c r="D2624" t="inlineStr">
        <is>
          <t>P301</t>
        </is>
      </c>
      <c r="E2624" t="n">
        <v>1</v>
      </c>
      <c r="F2624" t="n">
        <v>119</v>
      </c>
      <c r="G2624" t="n">
        <v>0</v>
      </c>
      <c r="H2624">
        <f>E2624*F2624*(1-G2624)</f>
        <v/>
      </c>
      <c r="I2624">
        <f>XLOOKUP(D2624,Products!$A$2:$A$15,Products!$B$2:$B$15,"Not found")</f>
        <v/>
      </c>
    </row>
    <row r="2625">
      <c r="A2625" t="n">
        <v>106944</v>
      </c>
      <c r="B2625" s="1" t="n">
        <v>45905</v>
      </c>
      <c r="C2625" t="inlineStr">
        <is>
          <t>S01</t>
        </is>
      </c>
      <c r="D2625" t="inlineStr">
        <is>
          <t>P302</t>
        </is>
      </c>
      <c r="E2625" t="n">
        <v>4</v>
      </c>
      <c r="F2625" t="n">
        <v>24</v>
      </c>
      <c r="G2625" t="n">
        <v>0.2</v>
      </c>
      <c r="H2625">
        <f>E2625*F2625*(1-G2625)</f>
        <v/>
      </c>
      <c r="I2625">
        <f>XLOOKUP(D2625,Products!$A$2:$A$15,Products!$B$2:$B$15,"Not found")</f>
        <v/>
      </c>
    </row>
    <row r="2626">
      <c r="A2626" t="n">
        <v>106945</v>
      </c>
      <c r="B2626" s="1" t="n">
        <v>45905</v>
      </c>
      <c r="C2626" t="inlineStr">
        <is>
          <t>S02</t>
        </is>
      </c>
      <c r="D2626" t="inlineStr">
        <is>
          <t>P201</t>
        </is>
      </c>
      <c r="E2626" t="n">
        <v>1</v>
      </c>
      <c r="F2626" t="n">
        <v>149</v>
      </c>
      <c r="G2626" t="n">
        <v>0.2</v>
      </c>
      <c r="H2626">
        <f>E2626*F2626*(1-G2626)</f>
        <v/>
      </c>
      <c r="I2626">
        <f>XLOOKUP(D2626,Products!$A$2:$A$15,Products!$B$2:$B$15,"Not found")</f>
        <v/>
      </c>
    </row>
    <row r="2627">
      <c r="A2627" t="n">
        <v>106946</v>
      </c>
      <c r="B2627" s="1" t="n">
        <v>45905</v>
      </c>
      <c r="C2627" t="inlineStr">
        <is>
          <t>S02</t>
        </is>
      </c>
      <c r="D2627" t="inlineStr">
        <is>
          <t>P101</t>
        </is>
      </c>
      <c r="E2627" t="n">
        <v>1</v>
      </c>
      <c r="F2627" t="n">
        <v>39</v>
      </c>
      <c r="G2627" t="n">
        <v>0.2</v>
      </c>
      <c r="H2627">
        <f>E2627*F2627*(1-G2627)</f>
        <v/>
      </c>
      <c r="I2627">
        <f>XLOOKUP(D2627,Products!$A$2:$A$15,Products!$B$2:$B$15,"Not found")</f>
        <v/>
      </c>
    </row>
    <row r="2628">
      <c r="A2628" t="n">
        <v>106947</v>
      </c>
      <c r="B2628" s="1" t="n">
        <v>45905</v>
      </c>
      <c r="C2628" t="inlineStr">
        <is>
          <t>S03</t>
        </is>
      </c>
      <c r="D2628" t="inlineStr">
        <is>
          <t>P103</t>
        </is>
      </c>
      <c r="E2628" t="n">
        <v>4</v>
      </c>
      <c r="F2628" t="n">
        <v>29</v>
      </c>
      <c r="G2628" t="n">
        <v>0</v>
      </c>
      <c r="H2628">
        <f>E2628*F2628*(1-G2628)</f>
        <v/>
      </c>
      <c r="I2628">
        <f>XLOOKUP(D2628,Products!$A$2:$A$15,Products!$B$2:$B$15,"Not found")</f>
        <v/>
      </c>
    </row>
    <row r="2629">
      <c r="A2629" t="n">
        <v>106948</v>
      </c>
      <c r="B2629" s="1" t="n">
        <v>45905</v>
      </c>
      <c r="C2629" t="inlineStr">
        <is>
          <t>S04</t>
        </is>
      </c>
      <c r="D2629" t="inlineStr">
        <is>
          <t>P302</t>
        </is>
      </c>
      <c r="E2629" t="n">
        <v>1</v>
      </c>
      <c r="F2629" t="n">
        <v>24</v>
      </c>
      <c r="G2629" t="n">
        <v>0</v>
      </c>
      <c r="H2629">
        <f>E2629*F2629*(1-G2629)</f>
        <v/>
      </c>
      <c r="I2629">
        <f>XLOOKUP(D2629,Products!$A$2:$A$15,Products!$B$2:$B$15,"Not found")</f>
        <v/>
      </c>
    </row>
    <row r="2630">
      <c r="A2630" t="n">
        <v>106949</v>
      </c>
      <c r="B2630" s="1" t="n">
        <v>45905</v>
      </c>
      <c r="C2630" t="inlineStr">
        <is>
          <t>S04</t>
        </is>
      </c>
      <c r="D2630" t="inlineStr">
        <is>
          <t>P102</t>
        </is>
      </c>
      <c r="E2630" t="n">
        <v>1</v>
      </c>
      <c r="F2630" t="n">
        <v>14.5</v>
      </c>
      <c r="G2630" t="n">
        <v>0</v>
      </c>
      <c r="H2630">
        <f>E2630*F2630*(1-G2630)</f>
        <v/>
      </c>
      <c r="I2630">
        <f>XLOOKUP(D2630,Products!$A$2:$A$15,Products!$B$2:$B$15,"Not found")</f>
        <v/>
      </c>
    </row>
    <row r="2631">
      <c r="A2631" t="n">
        <v>106950</v>
      </c>
      <c r="B2631" s="1" t="n">
        <v>45905</v>
      </c>
      <c r="C2631" t="inlineStr">
        <is>
          <t>S05</t>
        </is>
      </c>
      <c r="D2631" t="inlineStr">
        <is>
          <t>P102</t>
        </is>
      </c>
      <c r="E2631" t="n">
        <v>2</v>
      </c>
      <c r="F2631" t="n">
        <v>14.5</v>
      </c>
      <c r="G2631" t="n">
        <v>0.1</v>
      </c>
      <c r="H2631">
        <f>E2631*F2631*(1-G2631)</f>
        <v/>
      </c>
      <c r="I2631">
        <f>XLOOKUP(D2631,Products!$A$2:$A$15,Products!$B$2:$B$15,"Not found")</f>
        <v/>
      </c>
    </row>
    <row r="2632">
      <c r="A2632" t="n">
        <v>106951</v>
      </c>
      <c r="B2632" s="1" t="n">
        <v>45906</v>
      </c>
      <c r="C2632" t="inlineStr">
        <is>
          <t>S01</t>
        </is>
      </c>
      <c r="D2632" t="inlineStr">
        <is>
          <t>P203</t>
        </is>
      </c>
      <c r="E2632" t="n">
        <v>4</v>
      </c>
      <c r="F2632" t="n">
        <v>19.5</v>
      </c>
      <c r="G2632" t="n">
        <v>0</v>
      </c>
      <c r="H2632">
        <f>E2632*F2632*(1-G2632)</f>
        <v/>
      </c>
      <c r="I2632">
        <f>XLOOKUP(D2632,Products!$A$2:$A$15,Products!$B$2:$B$15,"Not found")</f>
        <v/>
      </c>
    </row>
    <row r="2633">
      <c r="A2633" t="n">
        <v>106952</v>
      </c>
      <c r="B2633" s="1" t="n">
        <v>45906</v>
      </c>
      <c r="C2633" t="inlineStr">
        <is>
          <t>S01</t>
        </is>
      </c>
      <c r="D2633" t="inlineStr">
        <is>
          <t>P203</t>
        </is>
      </c>
      <c r="E2633" t="n">
        <v>1</v>
      </c>
      <c r="F2633" t="n">
        <v>19.5</v>
      </c>
      <c r="G2633" t="n">
        <v>0</v>
      </c>
      <c r="H2633">
        <f>E2633*F2633*(1-G2633)</f>
        <v/>
      </c>
      <c r="I2633">
        <f>XLOOKUP(D2633,Products!$A$2:$A$15,Products!$B$2:$B$15,"Not found")</f>
        <v/>
      </c>
    </row>
    <row r="2634">
      <c r="A2634" t="n">
        <v>106953</v>
      </c>
      <c r="B2634" s="1" t="n">
        <v>45906</v>
      </c>
      <c r="C2634" t="inlineStr">
        <is>
          <t>S01</t>
        </is>
      </c>
      <c r="D2634" t="inlineStr">
        <is>
          <t>P303</t>
        </is>
      </c>
      <c r="E2634" t="n">
        <v>3</v>
      </c>
      <c r="F2634" t="n">
        <v>12</v>
      </c>
      <c r="G2634" t="n">
        <v>0</v>
      </c>
      <c r="H2634">
        <f>E2634*F2634*(1-G2634)</f>
        <v/>
      </c>
      <c r="I2634">
        <f>XLOOKUP(D2634,Products!$A$2:$A$15,Products!$B$2:$B$15,"Not found")</f>
        <v/>
      </c>
    </row>
    <row r="2635">
      <c r="A2635" t="n">
        <v>106954</v>
      </c>
      <c r="B2635" s="1" t="n">
        <v>45906</v>
      </c>
      <c r="C2635" t="inlineStr">
        <is>
          <t>S01</t>
        </is>
      </c>
      <c r="D2635" t="inlineStr">
        <is>
          <t>P303</t>
        </is>
      </c>
      <c r="E2635" t="n">
        <v>4</v>
      </c>
      <c r="F2635" t="n">
        <v>12</v>
      </c>
      <c r="G2635" t="n">
        <v>0</v>
      </c>
      <c r="H2635">
        <f>E2635*F2635*(1-G2635)</f>
        <v/>
      </c>
      <c r="I2635">
        <f>XLOOKUP(D2635,Products!$A$2:$A$15,Products!$B$2:$B$15,"Not found")</f>
        <v/>
      </c>
    </row>
    <row r="2636">
      <c r="A2636" t="n">
        <v>106955</v>
      </c>
      <c r="B2636" s="1" t="n">
        <v>45906</v>
      </c>
      <c r="C2636" t="inlineStr">
        <is>
          <t>S01</t>
        </is>
      </c>
      <c r="D2636" t="inlineStr">
        <is>
          <t>P103</t>
        </is>
      </c>
      <c r="E2636" t="n">
        <v>2</v>
      </c>
      <c r="F2636" t="n">
        <v>29</v>
      </c>
      <c r="G2636" t="n">
        <v>0.1</v>
      </c>
      <c r="H2636">
        <f>E2636*F2636*(1-G2636)</f>
        <v/>
      </c>
      <c r="I2636">
        <f>XLOOKUP(D2636,Products!$A$2:$A$15,Products!$B$2:$B$15,"Not found")</f>
        <v/>
      </c>
    </row>
    <row r="2637">
      <c r="A2637" t="n">
        <v>106956</v>
      </c>
      <c r="B2637" s="1" t="n">
        <v>45906</v>
      </c>
      <c r="C2637" t="inlineStr">
        <is>
          <t>S01</t>
        </is>
      </c>
      <c r="D2637" t="inlineStr">
        <is>
          <t>P201</t>
        </is>
      </c>
      <c r="E2637" t="n">
        <v>1</v>
      </c>
      <c r="F2637" t="n">
        <v>149</v>
      </c>
      <c r="G2637" t="n">
        <v>0</v>
      </c>
      <c r="H2637">
        <f>E2637*F2637*(1-G2637)</f>
        <v/>
      </c>
      <c r="I2637">
        <f>XLOOKUP(D2637,Products!$A$2:$A$15,Products!$B$2:$B$15,"Not found")</f>
        <v/>
      </c>
    </row>
    <row r="2638">
      <c r="A2638" t="n">
        <v>106957</v>
      </c>
      <c r="B2638" s="1" t="n">
        <v>45906</v>
      </c>
      <c r="C2638" t="inlineStr">
        <is>
          <t>S02</t>
        </is>
      </c>
      <c r="D2638" t="inlineStr">
        <is>
          <t>P303</t>
        </is>
      </c>
      <c r="E2638" t="n">
        <v>1</v>
      </c>
      <c r="F2638" t="n">
        <v>12</v>
      </c>
      <c r="G2638" t="n">
        <v>0</v>
      </c>
      <c r="H2638">
        <f>E2638*F2638*(1-G2638)</f>
        <v/>
      </c>
      <c r="I2638">
        <f>XLOOKUP(D2638,Products!$A$2:$A$15,Products!$B$2:$B$15,"Not found")</f>
        <v/>
      </c>
    </row>
    <row r="2639">
      <c r="A2639" t="n">
        <v>106958</v>
      </c>
      <c r="B2639" s="1" t="n">
        <v>45906</v>
      </c>
      <c r="C2639" t="inlineStr">
        <is>
          <t>S04</t>
        </is>
      </c>
      <c r="D2639" t="inlineStr">
        <is>
          <t>P203</t>
        </is>
      </c>
      <c r="E2639" t="n">
        <v>3</v>
      </c>
      <c r="F2639" t="n">
        <v>19.5</v>
      </c>
      <c r="G2639" t="n">
        <v>0</v>
      </c>
      <c r="H2639">
        <f>E2639*F2639*(1-G2639)</f>
        <v/>
      </c>
      <c r="I2639">
        <f>XLOOKUP(D2639,Products!$A$2:$A$15,Products!$B$2:$B$15,"Not found")</f>
        <v/>
      </c>
    </row>
    <row r="2640">
      <c r="A2640" t="n">
        <v>106959</v>
      </c>
      <c r="B2640" s="1" t="n">
        <v>45906</v>
      </c>
      <c r="C2640" t="inlineStr">
        <is>
          <t>S04</t>
        </is>
      </c>
      <c r="D2640" t="inlineStr">
        <is>
          <t>P201</t>
        </is>
      </c>
      <c r="E2640" t="n">
        <v>1</v>
      </c>
      <c r="F2640" t="n">
        <v>149</v>
      </c>
      <c r="G2640" t="n">
        <v>0</v>
      </c>
      <c r="H2640">
        <f>E2640*F2640*(1-G2640)</f>
        <v/>
      </c>
      <c r="I2640">
        <f>XLOOKUP(D2640,Products!$A$2:$A$15,Products!$B$2:$B$15,"Not found")</f>
        <v/>
      </c>
    </row>
    <row r="2641">
      <c r="A2641" t="n">
        <v>106960</v>
      </c>
      <c r="B2641" s="1" t="n">
        <v>45906</v>
      </c>
      <c r="C2641" t="inlineStr">
        <is>
          <t>S04</t>
        </is>
      </c>
      <c r="D2641" t="inlineStr">
        <is>
          <t>P102</t>
        </is>
      </c>
      <c r="E2641" t="n">
        <v>2</v>
      </c>
      <c r="F2641" t="n">
        <v>14.5</v>
      </c>
      <c r="G2641" t="n">
        <v>0.15</v>
      </c>
      <c r="H2641">
        <f>E2641*F2641*(1-G2641)</f>
        <v/>
      </c>
      <c r="I2641">
        <f>XLOOKUP(D2641,Products!$A$2:$A$15,Products!$B$2:$B$15,"Not found")</f>
        <v/>
      </c>
    </row>
    <row r="2642">
      <c r="A2642" t="n">
        <v>106961</v>
      </c>
      <c r="B2642" s="1" t="n">
        <v>45906</v>
      </c>
      <c r="C2642" t="inlineStr">
        <is>
          <t>S04</t>
        </is>
      </c>
      <c r="D2642" t="inlineStr">
        <is>
          <t>P203</t>
        </is>
      </c>
      <c r="E2642" t="n">
        <v>1</v>
      </c>
      <c r="F2642" t="n">
        <v>19.5</v>
      </c>
      <c r="G2642" t="n">
        <v>0</v>
      </c>
      <c r="H2642">
        <f>E2642*F2642*(1-G2642)</f>
        <v/>
      </c>
      <c r="I2642">
        <f>XLOOKUP(D2642,Products!$A$2:$A$15,Products!$B$2:$B$15,"Not found")</f>
        <v/>
      </c>
    </row>
    <row r="2643">
      <c r="A2643" t="n">
        <v>106962</v>
      </c>
      <c r="B2643" s="1" t="n">
        <v>45906</v>
      </c>
      <c r="C2643" t="inlineStr">
        <is>
          <t>S04</t>
        </is>
      </c>
      <c r="D2643" t="inlineStr">
        <is>
          <t>P103</t>
        </is>
      </c>
      <c r="E2643" t="n">
        <v>1</v>
      </c>
      <c r="F2643" t="n">
        <v>29</v>
      </c>
      <c r="G2643" t="n">
        <v>0</v>
      </c>
      <c r="H2643">
        <f>E2643*F2643*(1-G2643)</f>
        <v/>
      </c>
      <c r="I2643">
        <f>XLOOKUP(D2643,Products!$A$2:$A$15,Products!$B$2:$B$15,"Not found")</f>
        <v/>
      </c>
    </row>
    <row r="2644">
      <c r="A2644" t="n">
        <v>106963</v>
      </c>
      <c r="B2644" s="1" t="n">
        <v>45906</v>
      </c>
      <c r="C2644" t="inlineStr">
        <is>
          <t>S05</t>
        </is>
      </c>
      <c r="D2644" t="inlineStr">
        <is>
          <t>P204</t>
        </is>
      </c>
      <c r="E2644" t="n">
        <v>1</v>
      </c>
      <c r="F2644" t="n">
        <v>229</v>
      </c>
      <c r="G2644" t="n">
        <v>0</v>
      </c>
      <c r="H2644">
        <f>E2644*F2644*(1-G2644)</f>
        <v/>
      </c>
      <c r="I2644">
        <f>XLOOKUP(D2644,Products!$A$2:$A$15,Products!$B$2:$B$15,"Not found")</f>
        <v/>
      </c>
    </row>
    <row r="2645">
      <c r="A2645" t="n">
        <v>106964</v>
      </c>
      <c r="B2645" s="1" t="n">
        <v>45906</v>
      </c>
      <c r="C2645" t="inlineStr">
        <is>
          <t>S05</t>
        </is>
      </c>
      <c r="D2645" t="inlineStr">
        <is>
          <t>P302</t>
        </is>
      </c>
      <c r="E2645" t="n">
        <v>4</v>
      </c>
      <c r="F2645" t="n">
        <v>24</v>
      </c>
      <c r="G2645" t="n">
        <v>0</v>
      </c>
      <c r="H2645">
        <f>E2645*F2645*(1-G2645)</f>
        <v/>
      </c>
      <c r="I2645">
        <f>XLOOKUP(D2645,Products!$A$2:$A$15,Products!$B$2:$B$15,"Not found")</f>
        <v/>
      </c>
    </row>
    <row r="2646">
      <c r="A2646" t="n">
        <v>106965</v>
      </c>
      <c r="B2646" s="1" t="n">
        <v>45906</v>
      </c>
      <c r="C2646" t="inlineStr">
        <is>
          <t>S05</t>
        </is>
      </c>
      <c r="D2646" t="inlineStr">
        <is>
          <t>P203</t>
        </is>
      </c>
      <c r="E2646" t="n">
        <v>1</v>
      </c>
      <c r="F2646" t="n">
        <v>19.5</v>
      </c>
      <c r="G2646" t="n">
        <v>0</v>
      </c>
      <c r="H2646">
        <f>E2646*F2646*(1-G2646)</f>
        <v/>
      </c>
      <c r="I2646">
        <f>XLOOKUP(D2646,Products!$A$2:$A$15,Products!$B$2:$B$15,"Not found")</f>
        <v/>
      </c>
    </row>
    <row r="2647">
      <c r="A2647" t="n">
        <v>106966</v>
      </c>
      <c r="B2647" s="1" t="n">
        <v>45907</v>
      </c>
      <c r="C2647" t="inlineStr">
        <is>
          <t>S01</t>
        </is>
      </c>
      <c r="D2647" t="inlineStr">
        <is>
          <t>P303</t>
        </is>
      </c>
      <c r="E2647" t="n">
        <v>2</v>
      </c>
      <c r="F2647" t="n">
        <v>12</v>
      </c>
      <c r="G2647" t="n">
        <v>0.1</v>
      </c>
      <c r="H2647">
        <f>E2647*F2647*(1-G2647)</f>
        <v/>
      </c>
      <c r="I2647">
        <f>XLOOKUP(D2647,Products!$A$2:$A$15,Products!$B$2:$B$15,"Not found")</f>
        <v/>
      </c>
    </row>
    <row r="2648">
      <c r="A2648" t="n">
        <v>106967</v>
      </c>
      <c r="B2648" s="1" t="n">
        <v>45907</v>
      </c>
      <c r="C2648" t="inlineStr">
        <is>
          <t>S01</t>
        </is>
      </c>
      <c r="D2648" t="inlineStr">
        <is>
          <t>P202</t>
        </is>
      </c>
      <c r="E2648" t="n">
        <v>3</v>
      </c>
      <c r="F2648" t="n">
        <v>79</v>
      </c>
      <c r="G2648" t="n">
        <v>0</v>
      </c>
      <c r="H2648">
        <f>E2648*F2648*(1-G2648)</f>
        <v/>
      </c>
      <c r="I2648">
        <f>XLOOKUP(D2648,Products!$A$2:$A$15,Products!$B$2:$B$15,"Not found")</f>
        <v/>
      </c>
    </row>
    <row r="2649">
      <c r="A2649" t="n">
        <v>106968</v>
      </c>
      <c r="B2649" s="1" t="n">
        <v>45907</v>
      </c>
      <c r="C2649" t="inlineStr">
        <is>
          <t>S01</t>
        </is>
      </c>
      <c r="D2649" t="inlineStr">
        <is>
          <t>P202</t>
        </is>
      </c>
      <c r="E2649" t="n">
        <v>2</v>
      </c>
      <c r="F2649" t="n">
        <v>79</v>
      </c>
      <c r="G2649" t="n">
        <v>0</v>
      </c>
      <c r="H2649">
        <f>E2649*F2649*(1-G2649)</f>
        <v/>
      </c>
      <c r="I2649">
        <f>XLOOKUP(D2649,Products!$A$2:$A$15,Products!$B$2:$B$15,"Not found")</f>
        <v/>
      </c>
    </row>
    <row r="2650">
      <c r="A2650" t="n">
        <v>106969</v>
      </c>
      <c r="B2650" s="1" t="n">
        <v>45907</v>
      </c>
      <c r="C2650" t="inlineStr">
        <is>
          <t>S01</t>
        </is>
      </c>
      <c r="D2650" t="inlineStr">
        <is>
          <t>P201</t>
        </is>
      </c>
      <c r="E2650" t="n">
        <v>1</v>
      </c>
      <c r="F2650" t="n">
        <v>149</v>
      </c>
      <c r="G2650" t="n">
        <v>0</v>
      </c>
      <c r="H2650">
        <f>E2650*F2650*(1-G2650)</f>
        <v/>
      </c>
      <c r="I2650">
        <f>XLOOKUP(D2650,Products!$A$2:$A$15,Products!$B$2:$B$15,"Not found")</f>
        <v/>
      </c>
    </row>
    <row r="2651">
      <c r="A2651" t="n">
        <v>106970</v>
      </c>
      <c r="B2651" s="1" t="n">
        <v>45907</v>
      </c>
      <c r="C2651" t="inlineStr">
        <is>
          <t>S01</t>
        </is>
      </c>
      <c r="D2651" t="inlineStr">
        <is>
          <t>P102</t>
        </is>
      </c>
      <c r="E2651" t="n">
        <v>2</v>
      </c>
      <c r="F2651" t="n">
        <v>14.5</v>
      </c>
      <c r="G2651" t="n">
        <v>0.2</v>
      </c>
      <c r="H2651">
        <f>E2651*F2651*(1-G2651)</f>
        <v/>
      </c>
      <c r="I2651">
        <f>XLOOKUP(D2651,Products!$A$2:$A$15,Products!$B$2:$B$15,"Not found")</f>
        <v/>
      </c>
    </row>
    <row r="2652">
      <c r="A2652" t="n">
        <v>106971</v>
      </c>
      <c r="B2652" s="1" t="n">
        <v>45907</v>
      </c>
      <c r="C2652" t="inlineStr">
        <is>
          <t>S01</t>
        </is>
      </c>
      <c r="D2652" t="inlineStr">
        <is>
          <t>P203</t>
        </is>
      </c>
      <c r="E2652" t="n">
        <v>1</v>
      </c>
      <c r="F2652" t="n">
        <v>19.5</v>
      </c>
      <c r="G2652" t="n">
        <v>0</v>
      </c>
      <c r="H2652">
        <f>E2652*F2652*(1-G2652)</f>
        <v/>
      </c>
      <c r="I2652">
        <f>XLOOKUP(D2652,Products!$A$2:$A$15,Products!$B$2:$B$15,"Not found")</f>
        <v/>
      </c>
    </row>
    <row r="2653">
      <c r="A2653" t="n">
        <v>106972</v>
      </c>
      <c r="B2653" s="1" t="n">
        <v>45907</v>
      </c>
      <c r="C2653" t="inlineStr">
        <is>
          <t>S01</t>
        </is>
      </c>
      <c r="D2653" t="inlineStr">
        <is>
          <t>P303</t>
        </is>
      </c>
      <c r="E2653" t="n">
        <v>4</v>
      </c>
      <c r="F2653" t="n">
        <v>12</v>
      </c>
      <c r="G2653" t="n">
        <v>0</v>
      </c>
      <c r="H2653">
        <f>E2653*F2653*(1-G2653)</f>
        <v/>
      </c>
      <c r="I2653">
        <f>XLOOKUP(D2653,Products!$A$2:$A$15,Products!$B$2:$B$15,"Not found")</f>
        <v/>
      </c>
    </row>
    <row r="2654">
      <c r="A2654" t="n">
        <v>106973</v>
      </c>
      <c r="B2654" s="1" t="n">
        <v>45907</v>
      </c>
      <c r="C2654" t="inlineStr">
        <is>
          <t>S02</t>
        </is>
      </c>
      <c r="D2654" t="inlineStr">
        <is>
          <t>P102</t>
        </is>
      </c>
      <c r="E2654" t="n">
        <v>1</v>
      </c>
      <c r="F2654" t="n">
        <v>14.5</v>
      </c>
      <c r="G2654" t="n">
        <v>0.2</v>
      </c>
      <c r="H2654">
        <f>E2654*F2654*(1-G2654)</f>
        <v/>
      </c>
      <c r="I2654">
        <f>XLOOKUP(D2654,Products!$A$2:$A$15,Products!$B$2:$B$15,"Not found")</f>
        <v/>
      </c>
    </row>
    <row r="2655">
      <c r="A2655" t="n">
        <v>106974</v>
      </c>
      <c r="B2655" s="1" t="n">
        <v>45907</v>
      </c>
      <c r="C2655" t="inlineStr">
        <is>
          <t>S02</t>
        </is>
      </c>
      <c r="D2655" t="inlineStr">
        <is>
          <t>P102</t>
        </is>
      </c>
      <c r="E2655" t="n">
        <v>1</v>
      </c>
      <c r="F2655" t="n">
        <v>14.5</v>
      </c>
      <c r="G2655" t="n">
        <v>0.15</v>
      </c>
      <c r="H2655">
        <f>E2655*F2655*(1-G2655)</f>
        <v/>
      </c>
      <c r="I2655">
        <f>XLOOKUP(D2655,Products!$A$2:$A$15,Products!$B$2:$B$15,"Not found")</f>
        <v/>
      </c>
    </row>
    <row r="2656">
      <c r="A2656" t="n">
        <v>106975</v>
      </c>
      <c r="B2656" s="1" t="n">
        <v>45907</v>
      </c>
      <c r="C2656" t="inlineStr">
        <is>
          <t>S02</t>
        </is>
      </c>
      <c r="D2656" t="inlineStr">
        <is>
          <t>P103</t>
        </is>
      </c>
      <c r="E2656" t="n">
        <v>1</v>
      </c>
      <c r="F2656" t="n">
        <v>29</v>
      </c>
      <c r="G2656" t="n">
        <v>0</v>
      </c>
      <c r="H2656">
        <f>E2656*F2656*(1-G2656)</f>
        <v/>
      </c>
      <c r="I2656">
        <f>XLOOKUP(D2656,Products!$A$2:$A$15,Products!$B$2:$B$15,"Not found")</f>
        <v/>
      </c>
    </row>
    <row r="2657">
      <c r="A2657" t="n">
        <v>106976</v>
      </c>
      <c r="B2657" s="1" t="n">
        <v>45907</v>
      </c>
      <c r="C2657" t="inlineStr">
        <is>
          <t>S04</t>
        </is>
      </c>
      <c r="D2657" t="inlineStr">
        <is>
          <t>P103</t>
        </is>
      </c>
      <c r="E2657" t="n">
        <v>2</v>
      </c>
      <c r="F2657" t="n">
        <v>29</v>
      </c>
      <c r="G2657" t="n">
        <v>0.1</v>
      </c>
      <c r="H2657">
        <f>E2657*F2657*(1-G2657)</f>
        <v/>
      </c>
      <c r="I2657">
        <f>XLOOKUP(D2657,Products!$A$2:$A$15,Products!$B$2:$B$15,"Not found")</f>
        <v/>
      </c>
    </row>
    <row r="2658">
      <c r="A2658" t="n">
        <v>106977</v>
      </c>
      <c r="B2658" s="1" t="n">
        <v>45907</v>
      </c>
      <c r="C2658" t="inlineStr">
        <is>
          <t>S04</t>
        </is>
      </c>
      <c r="D2658" t="inlineStr">
        <is>
          <t>P103</t>
        </is>
      </c>
      <c r="E2658" t="n">
        <v>1</v>
      </c>
      <c r="F2658" t="n">
        <v>29</v>
      </c>
      <c r="G2658" t="n">
        <v>0</v>
      </c>
      <c r="H2658">
        <f>E2658*F2658*(1-G2658)</f>
        <v/>
      </c>
      <c r="I2658">
        <f>XLOOKUP(D2658,Products!$A$2:$A$15,Products!$B$2:$B$15,"Not found")</f>
        <v/>
      </c>
    </row>
    <row r="2659">
      <c r="A2659" t="n">
        <v>106978</v>
      </c>
      <c r="B2659" s="1" t="n">
        <v>45907</v>
      </c>
      <c r="C2659" t="inlineStr">
        <is>
          <t>S04</t>
        </is>
      </c>
      <c r="D2659" t="inlineStr">
        <is>
          <t>P101</t>
        </is>
      </c>
      <c r="E2659" t="n">
        <v>1</v>
      </c>
      <c r="F2659" t="n">
        <v>39</v>
      </c>
      <c r="G2659" t="n">
        <v>0.15</v>
      </c>
      <c r="H2659">
        <f>E2659*F2659*(1-G2659)</f>
        <v/>
      </c>
      <c r="I2659">
        <f>XLOOKUP(D2659,Products!$A$2:$A$15,Products!$B$2:$B$15,"Not found")</f>
        <v/>
      </c>
    </row>
    <row r="2660">
      <c r="A2660" t="n">
        <v>106979</v>
      </c>
      <c r="B2660" s="1" t="n">
        <v>45907</v>
      </c>
      <c r="C2660" t="inlineStr">
        <is>
          <t>S05</t>
        </is>
      </c>
      <c r="D2660" t="inlineStr">
        <is>
          <t>P104</t>
        </is>
      </c>
      <c r="E2660" t="n">
        <v>1</v>
      </c>
      <c r="F2660" t="n">
        <v>189</v>
      </c>
      <c r="G2660" t="n">
        <v>0</v>
      </c>
      <c r="H2660">
        <f>E2660*F2660*(1-G2660)</f>
        <v/>
      </c>
      <c r="I2660">
        <f>XLOOKUP(D2660,Products!$A$2:$A$15,Products!$B$2:$B$15,"Not found")</f>
        <v/>
      </c>
    </row>
    <row r="2661">
      <c r="A2661" t="n">
        <v>106980</v>
      </c>
      <c r="B2661" s="1" t="n">
        <v>45908</v>
      </c>
      <c r="C2661" t="inlineStr">
        <is>
          <t>S01</t>
        </is>
      </c>
      <c r="D2661" t="inlineStr">
        <is>
          <t>P202</t>
        </is>
      </c>
      <c r="E2661" t="n">
        <v>2</v>
      </c>
      <c r="F2661" t="n">
        <v>79</v>
      </c>
      <c r="G2661" t="n">
        <v>0</v>
      </c>
      <c r="H2661">
        <f>E2661*F2661*(1-G2661)</f>
        <v/>
      </c>
      <c r="I2661">
        <f>XLOOKUP(D2661,Products!$A$2:$A$15,Products!$B$2:$B$15,"Not found")</f>
        <v/>
      </c>
    </row>
    <row r="2662">
      <c r="A2662" t="n">
        <v>106981</v>
      </c>
      <c r="B2662" s="1" t="n">
        <v>45908</v>
      </c>
      <c r="C2662" t="inlineStr">
        <is>
          <t>S01</t>
        </is>
      </c>
      <c r="D2662" t="inlineStr">
        <is>
          <t>P202</t>
        </is>
      </c>
      <c r="E2662" t="n">
        <v>4</v>
      </c>
      <c r="F2662" t="n">
        <v>79</v>
      </c>
      <c r="G2662" t="n">
        <v>0</v>
      </c>
      <c r="H2662">
        <f>E2662*F2662*(1-G2662)</f>
        <v/>
      </c>
      <c r="I2662">
        <f>XLOOKUP(D2662,Products!$A$2:$A$15,Products!$B$2:$B$15,"Not found")</f>
        <v/>
      </c>
    </row>
    <row r="2663">
      <c r="A2663" t="n">
        <v>106982</v>
      </c>
      <c r="B2663" s="1" t="n">
        <v>45908</v>
      </c>
      <c r="C2663" t="inlineStr">
        <is>
          <t>S01</t>
        </is>
      </c>
      <c r="D2663" t="inlineStr">
        <is>
          <t>P202</t>
        </is>
      </c>
      <c r="E2663" t="n">
        <v>1</v>
      </c>
      <c r="F2663" t="n">
        <v>79</v>
      </c>
      <c r="G2663" t="n">
        <v>0.15</v>
      </c>
      <c r="H2663">
        <f>E2663*F2663*(1-G2663)</f>
        <v/>
      </c>
      <c r="I2663">
        <f>XLOOKUP(D2663,Products!$A$2:$A$15,Products!$B$2:$B$15,"Not found")</f>
        <v/>
      </c>
    </row>
    <row r="2664">
      <c r="A2664" t="n">
        <v>106983</v>
      </c>
      <c r="B2664" s="1" t="n">
        <v>45908</v>
      </c>
      <c r="C2664" t="inlineStr">
        <is>
          <t>S01</t>
        </is>
      </c>
      <c r="D2664" t="inlineStr">
        <is>
          <t>P302</t>
        </is>
      </c>
      <c r="E2664" t="n">
        <v>1</v>
      </c>
      <c r="F2664" t="n">
        <v>24</v>
      </c>
      <c r="G2664" t="n">
        <v>0</v>
      </c>
      <c r="H2664">
        <f>E2664*F2664*(1-G2664)</f>
        <v/>
      </c>
      <c r="I2664">
        <f>XLOOKUP(D2664,Products!$A$2:$A$15,Products!$B$2:$B$15,"Not found")</f>
        <v/>
      </c>
    </row>
    <row r="2665">
      <c r="A2665" t="n">
        <v>106984</v>
      </c>
      <c r="B2665" s="1" t="n">
        <v>45908</v>
      </c>
      <c r="C2665" t="inlineStr">
        <is>
          <t>S01</t>
        </is>
      </c>
      <c r="D2665" t="inlineStr">
        <is>
          <t>P102</t>
        </is>
      </c>
      <c r="E2665" t="n">
        <v>1</v>
      </c>
      <c r="F2665" t="n">
        <v>14.5</v>
      </c>
      <c r="G2665" t="n">
        <v>0</v>
      </c>
      <c r="H2665">
        <f>E2665*F2665*(1-G2665)</f>
        <v/>
      </c>
      <c r="I2665">
        <f>XLOOKUP(D2665,Products!$A$2:$A$15,Products!$B$2:$B$15,"Not found")</f>
        <v/>
      </c>
    </row>
    <row r="2666">
      <c r="A2666" t="n">
        <v>106985</v>
      </c>
      <c r="B2666" s="1" t="n">
        <v>45908</v>
      </c>
      <c r="C2666" t="inlineStr">
        <is>
          <t>S02</t>
        </is>
      </c>
      <c r="D2666" t="inlineStr">
        <is>
          <t>P101</t>
        </is>
      </c>
      <c r="E2666" t="n">
        <v>3</v>
      </c>
      <c r="F2666" t="n">
        <v>39</v>
      </c>
      <c r="G2666" t="n">
        <v>0</v>
      </c>
      <c r="H2666">
        <f>E2666*F2666*(1-G2666)</f>
        <v/>
      </c>
      <c r="I2666">
        <f>XLOOKUP(D2666,Products!$A$2:$A$15,Products!$B$2:$B$15,"Not found")</f>
        <v/>
      </c>
    </row>
    <row r="2667">
      <c r="A2667" t="n">
        <v>106986</v>
      </c>
      <c r="B2667" s="1" t="n">
        <v>45908</v>
      </c>
      <c r="C2667" t="inlineStr">
        <is>
          <t>S02</t>
        </is>
      </c>
      <c r="D2667" t="inlineStr">
        <is>
          <t>P201</t>
        </is>
      </c>
      <c r="E2667" t="n">
        <v>1</v>
      </c>
      <c r="F2667" t="n">
        <v>149</v>
      </c>
      <c r="G2667" t="n">
        <v>0.15</v>
      </c>
      <c r="H2667">
        <f>E2667*F2667*(1-G2667)</f>
        <v/>
      </c>
      <c r="I2667">
        <f>XLOOKUP(D2667,Products!$A$2:$A$15,Products!$B$2:$B$15,"Not found")</f>
        <v/>
      </c>
    </row>
    <row r="2668">
      <c r="A2668" t="n">
        <v>106987</v>
      </c>
      <c r="B2668" s="1" t="n">
        <v>45908</v>
      </c>
      <c r="C2668" t="inlineStr">
        <is>
          <t>S02</t>
        </is>
      </c>
      <c r="D2668" t="inlineStr">
        <is>
          <t>P102</t>
        </is>
      </c>
      <c r="E2668" t="n">
        <v>4</v>
      </c>
      <c r="F2668" t="n">
        <v>14.5</v>
      </c>
      <c r="G2668" t="n">
        <v>0</v>
      </c>
      <c r="H2668">
        <f>E2668*F2668*(1-G2668)</f>
        <v/>
      </c>
      <c r="I2668">
        <f>XLOOKUP(D2668,Products!$A$2:$A$15,Products!$B$2:$B$15,"Not found")</f>
        <v/>
      </c>
    </row>
    <row r="2669">
      <c r="A2669" t="n">
        <v>106988</v>
      </c>
      <c r="B2669" s="1" t="n">
        <v>45908</v>
      </c>
      <c r="C2669" t="inlineStr">
        <is>
          <t>S03</t>
        </is>
      </c>
      <c r="D2669" t="inlineStr">
        <is>
          <t>P302</t>
        </is>
      </c>
      <c r="E2669" t="n">
        <v>2</v>
      </c>
      <c r="F2669" t="n">
        <v>24</v>
      </c>
      <c r="G2669" t="n">
        <v>0</v>
      </c>
      <c r="H2669">
        <f>E2669*F2669*(1-G2669)</f>
        <v/>
      </c>
      <c r="I2669">
        <f>XLOOKUP(D2669,Products!$A$2:$A$15,Products!$B$2:$B$15,"Not found")</f>
        <v/>
      </c>
    </row>
    <row r="2670">
      <c r="A2670" t="n">
        <v>106989</v>
      </c>
      <c r="B2670" s="1" t="n">
        <v>45908</v>
      </c>
      <c r="C2670" t="inlineStr">
        <is>
          <t>S04</t>
        </is>
      </c>
      <c r="D2670" t="inlineStr">
        <is>
          <t>P102</t>
        </is>
      </c>
      <c r="E2670" t="n">
        <v>1</v>
      </c>
      <c r="F2670" t="n">
        <v>14.5</v>
      </c>
      <c r="G2670" t="n">
        <v>0</v>
      </c>
      <c r="H2670">
        <f>E2670*F2670*(1-G2670)</f>
        <v/>
      </c>
      <c r="I2670">
        <f>XLOOKUP(D2670,Products!$A$2:$A$15,Products!$B$2:$B$15,"Not found")</f>
        <v/>
      </c>
    </row>
    <row r="2671">
      <c r="A2671" t="n">
        <v>106990</v>
      </c>
      <c r="B2671" s="1" t="n">
        <v>45908</v>
      </c>
      <c r="C2671" t="inlineStr">
        <is>
          <t>S04</t>
        </is>
      </c>
      <c r="D2671" t="inlineStr">
        <is>
          <t>P303</t>
        </is>
      </c>
      <c r="E2671" t="n">
        <v>1</v>
      </c>
      <c r="F2671" t="n">
        <v>12</v>
      </c>
      <c r="G2671" t="n">
        <v>0.15</v>
      </c>
      <c r="H2671">
        <f>E2671*F2671*(1-G2671)</f>
        <v/>
      </c>
      <c r="I2671">
        <f>XLOOKUP(D2671,Products!$A$2:$A$15,Products!$B$2:$B$15,"Not found")</f>
        <v/>
      </c>
    </row>
    <row r="2672">
      <c r="A2672" t="n">
        <v>106991</v>
      </c>
      <c r="B2672" s="1" t="n">
        <v>45908</v>
      </c>
      <c r="C2672" t="inlineStr">
        <is>
          <t>S04</t>
        </is>
      </c>
      <c r="D2672" t="inlineStr">
        <is>
          <t>P103</t>
        </is>
      </c>
      <c r="E2672" t="n">
        <v>2</v>
      </c>
      <c r="F2672" t="n">
        <v>29</v>
      </c>
      <c r="G2672" t="n">
        <v>0.15</v>
      </c>
      <c r="H2672">
        <f>E2672*F2672*(1-G2672)</f>
        <v/>
      </c>
      <c r="I2672">
        <f>XLOOKUP(D2672,Products!$A$2:$A$15,Products!$B$2:$B$15,"Not found")</f>
        <v/>
      </c>
    </row>
    <row r="2673">
      <c r="A2673" t="n">
        <v>106992</v>
      </c>
      <c r="B2673" s="1" t="n">
        <v>45908</v>
      </c>
      <c r="C2673" t="inlineStr">
        <is>
          <t>S04</t>
        </is>
      </c>
      <c r="D2673" t="inlineStr">
        <is>
          <t>P202</t>
        </is>
      </c>
      <c r="E2673" t="n">
        <v>2</v>
      </c>
      <c r="F2673" t="n">
        <v>79</v>
      </c>
      <c r="G2673" t="n">
        <v>0</v>
      </c>
      <c r="H2673">
        <f>E2673*F2673*(1-G2673)</f>
        <v/>
      </c>
      <c r="I2673">
        <f>XLOOKUP(D2673,Products!$A$2:$A$15,Products!$B$2:$B$15,"Not found")</f>
        <v/>
      </c>
    </row>
    <row r="2674">
      <c r="A2674" t="n">
        <v>106993</v>
      </c>
      <c r="B2674" s="1" t="n">
        <v>45908</v>
      </c>
      <c r="C2674" t="inlineStr">
        <is>
          <t>S05</t>
        </is>
      </c>
      <c r="D2674" t="inlineStr">
        <is>
          <t>P103</t>
        </is>
      </c>
      <c r="E2674" t="n">
        <v>2</v>
      </c>
      <c r="F2674" t="n">
        <v>29</v>
      </c>
      <c r="G2674" t="n">
        <v>0.15</v>
      </c>
      <c r="H2674">
        <f>E2674*F2674*(1-G2674)</f>
        <v/>
      </c>
      <c r="I2674">
        <f>XLOOKUP(D2674,Products!$A$2:$A$15,Products!$B$2:$B$15,"Not found")</f>
        <v/>
      </c>
    </row>
    <row r="2675">
      <c r="A2675" t="n">
        <v>106994</v>
      </c>
      <c r="B2675" s="1" t="n">
        <v>45908</v>
      </c>
      <c r="C2675" t="inlineStr">
        <is>
          <t>S05</t>
        </is>
      </c>
      <c r="D2675" t="inlineStr">
        <is>
          <t>P102</t>
        </is>
      </c>
      <c r="E2675" t="n">
        <v>4</v>
      </c>
      <c r="F2675" t="n">
        <v>14.5</v>
      </c>
      <c r="G2675" t="n">
        <v>0</v>
      </c>
      <c r="H2675">
        <f>E2675*F2675*(1-G2675)</f>
        <v/>
      </c>
      <c r="I2675">
        <f>XLOOKUP(D2675,Products!$A$2:$A$15,Products!$B$2:$B$15,"Not found")</f>
        <v/>
      </c>
    </row>
    <row r="2676">
      <c r="A2676" t="n">
        <v>106995</v>
      </c>
      <c r="B2676" s="1" t="n">
        <v>45908</v>
      </c>
      <c r="C2676" t="inlineStr">
        <is>
          <t>S05</t>
        </is>
      </c>
      <c r="D2676" t="inlineStr">
        <is>
          <t>P203</t>
        </is>
      </c>
      <c r="E2676" t="n">
        <v>2</v>
      </c>
      <c r="F2676" t="n">
        <v>19.5</v>
      </c>
      <c r="G2676" t="n">
        <v>0</v>
      </c>
      <c r="H2676">
        <f>E2676*F2676*(1-G2676)</f>
        <v/>
      </c>
      <c r="I2676">
        <f>XLOOKUP(D2676,Products!$A$2:$A$15,Products!$B$2:$B$15,"Not found")</f>
        <v/>
      </c>
    </row>
    <row r="2677">
      <c r="A2677" t="n">
        <v>106996</v>
      </c>
      <c r="B2677" s="1" t="n">
        <v>45908</v>
      </c>
      <c r="C2677" t="inlineStr">
        <is>
          <t>S05</t>
        </is>
      </c>
      <c r="D2677" t="inlineStr">
        <is>
          <t>P101</t>
        </is>
      </c>
      <c r="E2677" t="n">
        <v>3</v>
      </c>
      <c r="F2677" t="n">
        <v>39</v>
      </c>
      <c r="G2677" t="n">
        <v>0.15</v>
      </c>
      <c r="H2677">
        <f>E2677*F2677*(1-G2677)</f>
        <v/>
      </c>
      <c r="I2677">
        <f>XLOOKUP(D2677,Products!$A$2:$A$15,Products!$B$2:$B$15,"Not found")</f>
        <v/>
      </c>
    </row>
    <row r="2678">
      <c r="A2678" t="n">
        <v>106997</v>
      </c>
      <c r="B2678" s="1" t="n">
        <v>45908</v>
      </c>
      <c r="C2678" t="inlineStr">
        <is>
          <t>S06</t>
        </is>
      </c>
      <c r="D2678" t="inlineStr">
        <is>
          <t>P301</t>
        </is>
      </c>
      <c r="E2678" t="n">
        <v>1</v>
      </c>
      <c r="F2678" t="n">
        <v>119</v>
      </c>
      <c r="G2678" t="n">
        <v>0</v>
      </c>
      <c r="H2678">
        <f>E2678*F2678*(1-G2678)</f>
        <v/>
      </c>
      <c r="I2678">
        <f>XLOOKUP(D2678,Products!$A$2:$A$15,Products!$B$2:$B$15,"Not found")</f>
        <v/>
      </c>
    </row>
    <row r="2679">
      <c r="A2679" t="n">
        <v>106998</v>
      </c>
      <c r="B2679" s="1" t="n">
        <v>45908</v>
      </c>
      <c r="C2679" t="inlineStr">
        <is>
          <t>S06</t>
        </is>
      </c>
      <c r="D2679" t="inlineStr">
        <is>
          <t>P401</t>
        </is>
      </c>
      <c r="E2679" t="n">
        <v>1</v>
      </c>
      <c r="F2679" t="n">
        <v>549</v>
      </c>
      <c r="G2679" t="n">
        <v>0</v>
      </c>
      <c r="H2679">
        <f>E2679*F2679*(1-G2679)</f>
        <v/>
      </c>
      <c r="I2679">
        <f>XLOOKUP(D2679,Products!$A$2:$A$15,Products!$B$2:$B$15,"Not found")</f>
        <v/>
      </c>
    </row>
    <row r="2680">
      <c r="A2680" t="n">
        <v>106999</v>
      </c>
      <c r="B2680" s="1" t="n">
        <v>45909</v>
      </c>
      <c r="C2680" t="inlineStr">
        <is>
          <t>S01</t>
        </is>
      </c>
      <c r="D2680" t="inlineStr">
        <is>
          <t>P403</t>
        </is>
      </c>
      <c r="E2680" t="n">
        <v>3</v>
      </c>
      <c r="F2680" t="n">
        <v>89</v>
      </c>
      <c r="G2680" t="n">
        <v>0</v>
      </c>
      <c r="H2680">
        <f>E2680*F2680*(1-G2680)</f>
        <v/>
      </c>
      <c r="I2680">
        <f>XLOOKUP(D2680,Products!$A$2:$A$15,Products!$B$2:$B$15,"Not found")</f>
        <v/>
      </c>
    </row>
    <row r="2681">
      <c r="A2681" t="n">
        <v>107000</v>
      </c>
      <c r="B2681" s="1" t="n">
        <v>45909</v>
      </c>
      <c r="C2681" t="inlineStr">
        <is>
          <t>S03</t>
        </is>
      </c>
      <c r="D2681" t="inlineStr">
        <is>
          <t>P303</t>
        </is>
      </c>
      <c r="E2681" t="n">
        <v>3</v>
      </c>
      <c r="F2681" t="n">
        <v>12</v>
      </c>
      <c r="G2681" t="n">
        <v>0</v>
      </c>
      <c r="H2681">
        <f>E2681*F2681*(1-G2681)</f>
        <v/>
      </c>
      <c r="I2681">
        <f>XLOOKUP(D2681,Products!$A$2:$A$15,Products!$B$2:$B$15,"Not found")</f>
        <v/>
      </c>
    </row>
    <row r="2682">
      <c r="A2682" t="n">
        <v>107001</v>
      </c>
      <c r="B2682" s="1" t="n">
        <v>45909</v>
      </c>
      <c r="C2682" t="inlineStr">
        <is>
          <t>S03</t>
        </is>
      </c>
      <c r="D2682" t="inlineStr">
        <is>
          <t>P302</t>
        </is>
      </c>
      <c r="E2682" t="n">
        <v>1</v>
      </c>
      <c r="F2682" t="n">
        <v>24</v>
      </c>
      <c r="G2682" t="n">
        <v>0.1</v>
      </c>
      <c r="H2682">
        <f>E2682*F2682*(1-G2682)</f>
        <v/>
      </c>
      <c r="I2682">
        <f>XLOOKUP(D2682,Products!$A$2:$A$15,Products!$B$2:$B$15,"Not found")</f>
        <v/>
      </c>
    </row>
    <row r="2683">
      <c r="A2683" t="n">
        <v>107002</v>
      </c>
      <c r="B2683" s="1" t="n">
        <v>45909</v>
      </c>
      <c r="C2683" t="inlineStr">
        <is>
          <t>S03</t>
        </is>
      </c>
      <c r="D2683" t="inlineStr">
        <is>
          <t>P103</t>
        </is>
      </c>
      <c r="E2683" t="n">
        <v>2</v>
      </c>
      <c r="F2683" t="n">
        <v>29</v>
      </c>
      <c r="G2683" t="n">
        <v>0</v>
      </c>
      <c r="H2683">
        <f>E2683*F2683*(1-G2683)</f>
        <v/>
      </c>
      <c r="I2683">
        <f>XLOOKUP(D2683,Products!$A$2:$A$15,Products!$B$2:$B$15,"Not found")</f>
        <v/>
      </c>
    </row>
    <row r="2684">
      <c r="A2684" t="n">
        <v>107003</v>
      </c>
      <c r="B2684" s="1" t="n">
        <v>45909</v>
      </c>
      <c r="C2684" t="inlineStr">
        <is>
          <t>S04</t>
        </is>
      </c>
      <c r="D2684" t="inlineStr">
        <is>
          <t>P102</t>
        </is>
      </c>
      <c r="E2684" t="n">
        <v>1</v>
      </c>
      <c r="F2684" t="n">
        <v>14.5</v>
      </c>
      <c r="G2684" t="n">
        <v>0</v>
      </c>
      <c r="H2684">
        <f>E2684*F2684*(1-G2684)</f>
        <v/>
      </c>
      <c r="I2684">
        <f>XLOOKUP(D2684,Products!$A$2:$A$15,Products!$B$2:$B$15,"Not found")</f>
        <v/>
      </c>
    </row>
    <row r="2685">
      <c r="A2685" t="n">
        <v>107004</v>
      </c>
      <c r="B2685" s="1" t="n">
        <v>45909</v>
      </c>
      <c r="C2685" t="inlineStr">
        <is>
          <t>S04</t>
        </is>
      </c>
      <c r="D2685" t="inlineStr">
        <is>
          <t>P403</t>
        </is>
      </c>
      <c r="E2685" t="n">
        <v>1</v>
      </c>
      <c r="F2685" t="n">
        <v>89</v>
      </c>
      <c r="G2685" t="n">
        <v>0</v>
      </c>
      <c r="H2685">
        <f>E2685*F2685*(1-G2685)</f>
        <v/>
      </c>
      <c r="I2685">
        <f>XLOOKUP(D2685,Products!$A$2:$A$15,Products!$B$2:$B$15,"Not found")</f>
        <v/>
      </c>
    </row>
    <row r="2686">
      <c r="A2686" t="n">
        <v>107005</v>
      </c>
      <c r="B2686" s="1" t="n">
        <v>45909</v>
      </c>
      <c r="C2686" t="inlineStr">
        <is>
          <t>S04</t>
        </is>
      </c>
      <c r="D2686" t="inlineStr">
        <is>
          <t>P301</t>
        </is>
      </c>
      <c r="E2686" t="n">
        <v>1</v>
      </c>
      <c r="F2686" t="n">
        <v>119</v>
      </c>
      <c r="G2686" t="n">
        <v>0.2</v>
      </c>
      <c r="H2686">
        <f>E2686*F2686*(1-G2686)</f>
        <v/>
      </c>
      <c r="I2686">
        <f>XLOOKUP(D2686,Products!$A$2:$A$15,Products!$B$2:$B$15,"Not found")</f>
        <v/>
      </c>
    </row>
    <row r="2687">
      <c r="A2687" t="n">
        <v>107006</v>
      </c>
      <c r="B2687" s="1" t="n">
        <v>45909</v>
      </c>
      <c r="C2687" t="inlineStr">
        <is>
          <t>S04</t>
        </is>
      </c>
      <c r="D2687" t="inlineStr">
        <is>
          <t>P301</t>
        </is>
      </c>
      <c r="E2687" t="n">
        <v>1</v>
      </c>
      <c r="F2687" t="n">
        <v>119</v>
      </c>
      <c r="G2687" t="n">
        <v>0</v>
      </c>
      <c r="H2687">
        <f>E2687*F2687*(1-G2687)</f>
        <v/>
      </c>
      <c r="I2687">
        <f>XLOOKUP(D2687,Products!$A$2:$A$15,Products!$B$2:$B$15,"Not found")</f>
        <v/>
      </c>
    </row>
    <row r="2688">
      <c r="A2688" t="n">
        <v>107007</v>
      </c>
      <c r="B2688" s="1" t="n">
        <v>45909</v>
      </c>
      <c r="C2688" t="inlineStr">
        <is>
          <t>S05</t>
        </is>
      </c>
      <c r="D2688" t="inlineStr">
        <is>
          <t>P303</t>
        </is>
      </c>
      <c r="E2688" t="n">
        <v>1</v>
      </c>
      <c r="F2688" t="n">
        <v>12</v>
      </c>
      <c r="G2688" t="n">
        <v>0.2</v>
      </c>
      <c r="H2688">
        <f>E2688*F2688*(1-G2688)</f>
        <v/>
      </c>
      <c r="I2688">
        <f>XLOOKUP(D2688,Products!$A$2:$A$15,Products!$B$2:$B$15,"Not found")</f>
        <v/>
      </c>
    </row>
    <row r="2689">
      <c r="A2689" t="n">
        <v>107008</v>
      </c>
      <c r="B2689" s="1" t="n">
        <v>45909</v>
      </c>
      <c r="C2689" t="inlineStr">
        <is>
          <t>S05</t>
        </is>
      </c>
      <c r="D2689" t="inlineStr">
        <is>
          <t>P403</t>
        </is>
      </c>
      <c r="E2689" t="n">
        <v>1</v>
      </c>
      <c r="F2689" t="n">
        <v>89</v>
      </c>
      <c r="G2689" t="n">
        <v>0</v>
      </c>
      <c r="H2689">
        <f>E2689*F2689*(1-G2689)</f>
        <v/>
      </c>
      <c r="I2689">
        <f>XLOOKUP(D2689,Products!$A$2:$A$15,Products!$B$2:$B$15,"Not found")</f>
        <v/>
      </c>
    </row>
    <row r="2690">
      <c r="A2690" t="n">
        <v>107009</v>
      </c>
      <c r="B2690" s="1" t="n">
        <v>45909</v>
      </c>
      <c r="C2690" t="inlineStr">
        <is>
          <t>S06</t>
        </is>
      </c>
      <c r="D2690" t="inlineStr">
        <is>
          <t>P203</t>
        </is>
      </c>
      <c r="E2690" t="n">
        <v>3</v>
      </c>
      <c r="F2690" t="n">
        <v>19.5</v>
      </c>
      <c r="G2690" t="n">
        <v>0.1</v>
      </c>
      <c r="H2690">
        <f>E2690*F2690*(1-G2690)</f>
        <v/>
      </c>
      <c r="I2690">
        <f>XLOOKUP(D2690,Products!$A$2:$A$15,Products!$B$2:$B$15,"Not found")</f>
        <v/>
      </c>
    </row>
    <row r="2691">
      <c r="A2691" t="n">
        <v>107010</v>
      </c>
      <c r="B2691" s="1" t="n">
        <v>45910</v>
      </c>
      <c r="C2691" t="inlineStr">
        <is>
          <t>S01</t>
        </is>
      </c>
      <c r="D2691" t="inlineStr">
        <is>
          <t>P402</t>
        </is>
      </c>
      <c r="E2691" t="n">
        <v>1</v>
      </c>
      <c r="F2691" t="n">
        <v>699</v>
      </c>
      <c r="G2691" t="n">
        <v>0.2</v>
      </c>
      <c r="H2691">
        <f>E2691*F2691*(1-G2691)</f>
        <v/>
      </c>
      <c r="I2691">
        <f>XLOOKUP(D2691,Products!$A$2:$A$15,Products!$B$2:$B$15,"Not found")</f>
        <v/>
      </c>
    </row>
    <row r="2692">
      <c r="A2692" t="n">
        <v>107011</v>
      </c>
      <c r="B2692" s="1" t="n">
        <v>45910</v>
      </c>
      <c r="C2692" t="inlineStr">
        <is>
          <t>S01</t>
        </is>
      </c>
      <c r="D2692" t="inlineStr">
        <is>
          <t>P401</t>
        </is>
      </c>
      <c r="E2692" t="n">
        <v>1</v>
      </c>
      <c r="F2692" t="n">
        <v>549</v>
      </c>
      <c r="G2692" t="n">
        <v>0.2</v>
      </c>
      <c r="H2692">
        <f>E2692*F2692*(1-G2692)</f>
        <v/>
      </c>
      <c r="I2692">
        <f>XLOOKUP(D2692,Products!$A$2:$A$15,Products!$B$2:$B$15,"Not found")</f>
        <v/>
      </c>
    </row>
    <row r="2693">
      <c r="A2693" t="n">
        <v>107012</v>
      </c>
      <c r="B2693" s="1" t="n">
        <v>45910</v>
      </c>
      <c r="C2693" t="inlineStr">
        <is>
          <t>S01</t>
        </is>
      </c>
      <c r="D2693" t="inlineStr">
        <is>
          <t>P204</t>
        </is>
      </c>
      <c r="E2693" t="n">
        <v>1</v>
      </c>
      <c r="F2693" t="n">
        <v>229</v>
      </c>
      <c r="G2693" t="n">
        <v>0.15</v>
      </c>
      <c r="H2693">
        <f>E2693*F2693*(1-G2693)</f>
        <v/>
      </c>
      <c r="I2693">
        <f>XLOOKUP(D2693,Products!$A$2:$A$15,Products!$B$2:$B$15,"Not found")</f>
        <v/>
      </c>
    </row>
    <row r="2694">
      <c r="A2694" t="n">
        <v>107013</v>
      </c>
      <c r="B2694" s="1" t="n">
        <v>45910</v>
      </c>
      <c r="C2694" t="inlineStr">
        <is>
          <t>S01</t>
        </is>
      </c>
      <c r="D2694" t="inlineStr">
        <is>
          <t>P302</t>
        </is>
      </c>
      <c r="E2694" t="n">
        <v>1</v>
      </c>
      <c r="F2694" t="n">
        <v>24</v>
      </c>
      <c r="G2694" t="n">
        <v>0.1</v>
      </c>
      <c r="H2694">
        <f>E2694*F2694*(1-G2694)</f>
        <v/>
      </c>
      <c r="I2694">
        <f>XLOOKUP(D2694,Products!$A$2:$A$15,Products!$B$2:$B$15,"Not found")</f>
        <v/>
      </c>
    </row>
    <row r="2695">
      <c r="A2695" t="n">
        <v>107014</v>
      </c>
      <c r="B2695" s="1" t="n">
        <v>45910</v>
      </c>
      <c r="C2695" t="inlineStr">
        <is>
          <t>S02</t>
        </is>
      </c>
      <c r="D2695" t="inlineStr">
        <is>
          <t>P103</t>
        </is>
      </c>
      <c r="E2695" t="n">
        <v>2</v>
      </c>
      <c r="F2695" t="n">
        <v>29</v>
      </c>
      <c r="G2695" t="n">
        <v>0.1</v>
      </c>
      <c r="H2695">
        <f>E2695*F2695*(1-G2695)</f>
        <v/>
      </c>
      <c r="I2695">
        <f>XLOOKUP(D2695,Products!$A$2:$A$15,Products!$B$2:$B$15,"Not found")</f>
        <v/>
      </c>
    </row>
    <row r="2696">
      <c r="A2696" t="n">
        <v>107015</v>
      </c>
      <c r="B2696" s="1" t="n">
        <v>45910</v>
      </c>
      <c r="C2696" t="inlineStr">
        <is>
          <t>S02</t>
        </is>
      </c>
      <c r="D2696" t="inlineStr">
        <is>
          <t>P303</t>
        </is>
      </c>
      <c r="E2696" t="n">
        <v>2</v>
      </c>
      <c r="F2696" t="n">
        <v>12</v>
      </c>
      <c r="G2696" t="n">
        <v>0.2</v>
      </c>
      <c r="H2696">
        <f>E2696*F2696*(1-G2696)</f>
        <v/>
      </c>
      <c r="I2696">
        <f>XLOOKUP(D2696,Products!$A$2:$A$15,Products!$B$2:$B$15,"Not found")</f>
        <v/>
      </c>
    </row>
    <row r="2697">
      <c r="A2697" t="n">
        <v>107016</v>
      </c>
      <c r="B2697" s="1" t="n">
        <v>45910</v>
      </c>
      <c r="C2697" t="inlineStr">
        <is>
          <t>S03</t>
        </is>
      </c>
      <c r="D2697" t="inlineStr">
        <is>
          <t>P303</t>
        </is>
      </c>
      <c r="E2697" t="n">
        <v>3</v>
      </c>
      <c r="F2697" t="n">
        <v>12</v>
      </c>
      <c r="G2697" t="n">
        <v>0.15</v>
      </c>
      <c r="H2697">
        <f>E2697*F2697*(1-G2697)</f>
        <v/>
      </c>
      <c r="I2697">
        <f>XLOOKUP(D2697,Products!$A$2:$A$15,Products!$B$2:$B$15,"Not found")</f>
        <v/>
      </c>
    </row>
    <row r="2698">
      <c r="A2698" t="n">
        <v>107017</v>
      </c>
      <c r="B2698" s="1" t="n">
        <v>45910</v>
      </c>
      <c r="C2698" t="inlineStr">
        <is>
          <t>S03</t>
        </is>
      </c>
      <c r="D2698" t="inlineStr">
        <is>
          <t>P102</t>
        </is>
      </c>
      <c r="E2698" t="n">
        <v>3</v>
      </c>
      <c r="F2698" t="n">
        <v>14.5</v>
      </c>
      <c r="G2698" t="n">
        <v>0</v>
      </c>
      <c r="H2698">
        <f>E2698*F2698*(1-G2698)</f>
        <v/>
      </c>
      <c r="I2698">
        <f>XLOOKUP(D2698,Products!$A$2:$A$15,Products!$B$2:$B$15,"Not found")</f>
        <v/>
      </c>
    </row>
    <row r="2699">
      <c r="A2699" t="n">
        <v>107018</v>
      </c>
      <c r="B2699" s="1" t="n">
        <v>45910</v>
      </c>
      <c r="C2699" t="inlineStr">
        <is>
          <t>S03</t>
        </is>
      </c>
      <c r="D2699" t="inlineStr">
        <is>
          <t>P102</t>
        </is>
      </c>
      <c r="E2699" t="n">
        <v>3</v>
      </c>
      <c r="F2699" t="n">
        <v>14.5</v>
      </c>
      <c r="G2699" t="n">
        <v>0</v>
      </c>
      <c r="H2699">
        <f>E2699*F2699*(1-G2699)</f>
        <v/>
      </c>
      <c r="I2699">
        <f>XLOOKUP(D2699,Products!$A$2:$A$15,Products!$B$2:$B$15,"Not found")</f>
        <v/>
      </c>
    </row>
    <row r="2700">
      <c r="A2700" t="n">
        <v>107019</v>
      </c>
      <c r="B2700" s="1" t="n">
        <v>45910</v>
      </c>
      <c r="C2700" t="inlineStr">
        <is>
          <t>S03</t>
        </is>
      </c>
      <c r="D2700" t="inlineStr">
        <is>
          <t>P103</t>
        </is>
      </c>
      <c r="E2700" t="n">
        <v>2</v>
      </c>
      <c r="F2700" t="n">
        <v>29</v>
      </c>
      <c r="G2700" t="n">
        <v>0.2</v>
      </c>
      <c r="H2700">
        <f>E2700*F2700*(1-G2700)</f>
        <v/>
      </c>
      <c r="I2700">
        <f>XLOOKUP(D2700,Products!$A$2:$A$15,Products!$B$2:$B$15,"Not found")</f>
        <v/>
      </c>
    </row>
    <row r="2701">
      <c r="A2701" t="n">
        <v>107020</v>
      </c>
      <c r="B2701" s="1" t="n">
        <v>45910</v>
      </c>
      <c r="C2701" t="inlineStr">
        <is>
          <t>S05</t>
        </is>
      </c>
      <c r="D2701" t="inlineStr">
        <is>
          <t>P403</t>
        </is>
      </c>
      <c r="E2701" t="n">
        <v>1</v>
      </c>
      <c r="F2701" t="n">
        <v>89</v>
      </c>
      <c r="G2701" t="n">
        <v>0</v>
      </c>
      <c r="H2701">
        <f>E2701*F2701*(1-G2701)</f>
        <v/>
      </c>
      <c r="I2701">
        <f>XLOOKUP(D2701,Products!$A$2:$A$15,Products!$B$2:$B$15,"Not found")</f>
        <v/>
      </c>
    </row>
    <row r="2702">
      <c r="A2702" t="n">
        <v>107021</v>
      </c>
      <c r="B2702" s="1" t="n">
        <v>45910</v>
      </c>
      <c r="C2702" t="inlineStr">
        <is>
          <t>S06</t>
        </is>
      </c>
      <c r="D2702" t="inlineStr">
        <is>
          <t>P301</t>
        </is>
      </c>
      <c r="E2702" t="n">
        <v>1</v>
      </c>
      <c r="F2702" t="n">
        <v>119</v>
      </c>
      <c r="G2702" t="n">
        <v>0</v>
      </c>
      <c r="H2702">
        <f>E2702*F2702*(1-G2702)</f>
        <v/>
      </c>
      <c r="I2702">
        <f>XLOOKUP(D2702,Products!$A$2:$A$15,Products!$B$2:$B$15,"Not found")</f>
        <v/>
      </c>
    </row>
    <row r="2703">
      <c r="A2703" t="n">
        <v>107022</v>
      </c>
      <c r="B2703" s="1" t="n">
        <v>45911</v>
      </c>
      <c r="C2703" t="inlineStr">
        <is>
          <t>S01</t>
        </is>
      </c>
      <c r="D2703" t="inlineStr">
        <is>
          <t>P103</t>
        </is>
      </c>
      <c r="E2703" t="n">
        <v>3</v>
      </c>
      <c r="F2703" t="n">
        <v>29</v>
      </c>
      <c r="G2703" t="n">
        <v>0.1</v>
      </c>
      <c r="H2703">
        <f>E2703*F2703*(1-G2703)</f>
        <v/>
      </c>
      <c r="I2703">
        <f>XLOOKUP(D2703,Products!$A$2:$A$15,Products!$B$2:$B$15,"Not found")</f>
        <v/>
      </c>
    </row>
    <row r="2704">
      <c r="A2704" t="n">
        <v>107023</v>
      </c>
      <c r="B2704" s="1" t="n">
        <v>45911</v>
      </c>
      <c r="C2704" t="inlineStr">
        <is>
          <t>S01</t>
        </is>
      </c>
      <c r="D2704" t="inlineStr">
        <is>
          <t>P201</t>
        </is>
      </c>
      <c r="E2704" t="n">
        <v>1</v>
      </c>
      <c r="F2704" t="n">
        <v>149</v>
      </c>
      <c r="G2704" t="n">
        <v>0</v>
      </c>
      <c r="H2704">
        <f>E2704*F2704*(1-G2704)</f>
        <v/>
      </c>
      <c r="I2704">
        <f>XLOOKUP(D2704,Products!$A$2:$A$15,Products!$B$2:$B$15,"Not found")</f>
        <v/>
      </c>
    </row>
    <row r="2705">
      <c r="A2705" t="n">
        <v>107024</v>
      </c>
      <c r="B2705" s="1" t="n">
        <v>45911</v>
      </c>
      <c r="C2705" t="inlineStr">
        <is>
          <t>S02</t>
        </is>
      </c>
      <c r="D2705" t="inlineStr">
        <is>
          <t>P301</t>
        </is>
      </c>
      <c r="E2705" t="n">
        <v>1</v>
      </c>
      <c r="F2705" t="n">
        <v>119</v>
      </c>
      <c r="G2705" t="n">
        <v>0.2</v>
      </c>
      <c r="H2705">
        <f>E2705*F2705*(1-G2705)</f>
        <v/>
      </c>
      <c r="I2705">
        <f>XLOOKUP(D2705,Products!$A$2:$A$15,Products!$B$2:$B$15,"Not found")</f>
        <v/>
      </c>
    </row>
    <row r="2706">
      <c r="A2706" t="n">
        <v>107025</v>
      </c>
      <c r="B2706" s="1" t="n">
        <v>45911</v>
      </c>
      <c r="C2706" t="inlineStr">
        <is>
          <t>S02</t>
        </is>
      </c>
      <c r="D2706" t="inlineStr">
        <is>
          <t>P202</t>
        </is>
      </c>
      <c r="E2706" t="n">
        <v>4</v>
      </c>
      <c r="F2706" t="n">
        <v>79</v>
      </c>
      <c r="G2706" t="n">
        <v>0</v>
      </c>
      <c r="H2706">
        <f>E2706*F2706*(1-G2706)</f>
        <v/>
      </c>
      <c r="I2706">
        <f>XLOOKUP(D2706,Products!$A$2:$A$15,Products!$B$2:$B$15,"Not found")</f>
        <v/>
      </c>
    </row>
    <row r="2707">
      <c r="A2707" t="n">
        <v>107026</v>
      </c>
      <c r="B2707" s="1" t="n">
        <v>45911</v>
      </c>
      <c r="C2707" t="inlineStr">
        <is>
          <t>S04</t>
        </is>
      </c>
      <c r="D2707" t="inlineStr">
        <is>
          <t>P303</t>
        </is>
      </c>
      <c r="E2707" t="n">
        <v>2</v>
      </c>
      <c r="F2707" t="n">
        <v>12</v>
      </c>
      <c r="G2707" t="n">
        <v>0.15</v>
      </c>
      <c r="H2707">
        <f>E2707*F2707*(1-G2707)</f>
        <v/>
      </c>
      <c r="I2707">
        <f>XLOOKUP(D2707,Products!$A$2:$A$15,Products!$B$2:$B$15,"Not found")</f>
        <v/>
      </c>
    </row>
    <row r="2708">
      <c r="A2708" t="n">
        <v>107027</v>
      </c>
      <c r="B2708" s="1" t="n">
        <v>45911</v>
      </c>
      <c r="C2708" t="inlineStr">
        <is>
          <t>S04</t>
        </is>
      </c>
      <c r="D2708" t="inlineStr">
        <is>
          <t>P102</t>
        </is>
      </c>
      <c r="E2708" t="n">
        <v>2</v>
      </c>
      <c r="F2708" t="n">
        <v>14.5</v>
      </c>
      <c r="G2708" t="n">
        <v>0</v>
      </c>
      <c r="H2708">
        <f>E2708*F2708*(1-G2708)</f>
        <v/>
      </c>
      <c r="I2708">
        <f>XLOOKUP(D2708,Products!$A$2:$A$15,Products!$B$2:$B$15,"Not found")</f>
        <v/>
      </c>
    </row>
    <row r="2709">
      <c r="A2709" t="n">
        <v>107028</v>
      </c>
      <c r="B2709" s="1" t="n">
        <v>45911</v>
      </c>
      <c r="C2709" t="inlineStr">
        <is>
          <t>S04</t>
        </is>
      </c>
      <c r="D2709" t="inlineStr">
        <is>
          <t>P101</t>
        </is>
      </c>
      <c r="E2709" t="n">
        <v>3</v>
      </c>
      <c r="F2709" t="n">
        <v>39</v>
      </c>
      <c r="G2709" t="n">
        <v>0.15</v>
      </c>
      <c r="H2709">
        <f>E2709*F2709*(1-G2709)</f>
        <v/>
      </c>
      <c r="I2709">
        <f>XLOOKUP(D2709,Products!$A$2:$A$15,Products!$B$2:$B$15,"Not found")</f>
        <v/>
      </c>
    </row>
    <row r="2710">
      <c r="A2710" t="n">
        <v>107029</v>
      </c>
      <c r="B2710" s="1" t="n">
        <v>45911</v>
      </c>
      <c r="C2710" t="inlineStr">
        <is>
          <t>S06</t>
        </is>
      </c>
      <c r="D2710" t="inlineStr">
        <is>
          <t>P202</t>
        </is>
      </c>
      <c r="E2710" t="n">
        <v>1</v>
      </c>
      <c r="F2710" t="n">
        <v>79</v>
      </c>
      <c r="G2710" t="n">
        <v>0</v>
      </c>
      <c r="H2710">
        <f>E2710*F2710*(1-G2710)</f>
        <v/>
      </c>
      <c r="I2710">
        <f>XLOOKUP(D2710,Products!$A$2:$A$15,Products!$B$2:$B$15,"Not found")</f>
        <v/>
      </c>
    </row>
    <row r="2711">
      <c r="A2711" t="n">
        <v>107030</v>
      </c>
      <c r="B2711" s="1" t="n">
        <v>45912</v>
      </c>
      <c r="C2711" t="inlineStr">
        <is>
          <t>S01</t>
        </is>
      </c>
      <c r="D2711" t="inlineStr">
        <is>
          <t>P101</t>
        </is>
      </c>
      <c r="E2711" t="n">
        <v>1</v>
      </c>
      <c r="F2711" t="n">
        <v>39</v>
      </c>
      <c r="G2711" t="n">
        <v>0</v>
      </c>
      <c r="H2711">
        <f>E2711*F2711*(1-G2711)</f>
        <v/>
      </c>
      <c r="I2711">
        <f>XLOOKUP(D2711,Products!$A$2:$A$15,Products!$B$2:$B$15,"Not found")</f>
        <v/>
      </c>
    </row>
    <row r="2712">
      <c r="A2712" t="n">
        <v>107031</v>
      </c>
      <c r="B2712" s="1" t="n">
        <v>45912</v>
      </c>
      <c r="C2712" t="inlineStr">
        <is>
          <t>S01</t>
        </is>
      </c>
      <c r="D2712" t="inlineStr">
        <is>
          <t>P103</t>
        </is>
      </c>
      <c r="E2712" t="n">
        <v>1</v>
      </c>
      <c r="F2712" t="n">
        <v>29</v>
      </c>
      <c r="G2712" t="n">
        <v>0.1</v>
      </c>
      <c r="H2712">
        <f>E2712*F2712*(1-G2712)</f>
        <v/>
      </c>
      <c r="I2712">
        <f>XLOOKUP(D2712,Products!$A$2:$A$15,Products!$B$2:$B$15,"Not found")</f>
        <v/>
      </c>
    </row>
    <row r="2713">
      <c r="A2713" t="n">
        <v>107032</v>
      </c>
      <c r="B2713" s="1" t="n">
        <v>45912</v>
      </c>
      <c r="C2713" t="inlineStr">
        <is>
          <t>S01</t>
        </is>
      </c>
      <c r="D2713" t="inlineStr">
        <is>
          <t>P201</t>
        </is>
      </c>
      <c r="E2713" t="n">
        <v>1</v>
      </c>
      <c r="F2713" t="n">
        <v>149</v>
      </c>
      <c r="G2713" t="n">
        <v>0.15</v>
      </c>
      <c r="H2713">
        <f>E2713*F2713*(1-G2713)</f>
        <v/>
      </c>
      <c r="I2713">
        <f>XLOOKUP(D2713,Products!$A$2:$A$15,Products!$B$2:$B$15,"Not found")</f>
        <v/>
      </c>
    </row>
    <row r="2714">
      <c r="A2714" t="n">
        <v>107033</v>
      </c>
      <c r="B2714" s="1" t="n">
        <v>45912</v>
      </c>
      <c r="C2714" t="inlineStr">
        <is>
          <t>S01</t>
        </is>
      </c>
      <c r="D2714" t="inlineStr">
        <is>
          <t>P103</t>
        </is>
      </c>
      <c r="E2714" t="n">
        <v>1</v>
      </c>
      <c r="F2714" t="n">
        <v>29</v>
      </c>
      <c r="G2714" t="n">
        <v>0</v>
      </c>
      <c r="H2714">
        <f>E2714*F2714*(1-G2714)</f>
        <v/>
      </c>
      <c r="I2714">
        <f>XLOOKUP(D2714,Products!$A$2:$A$15,Products!$B$2:$B$15,"Not found")</f>
        <v/>
      </c>
    </row>
    <row r="2715">
      <c r="A2715" t="n">
        <v>107034</v>
      </c>
      <c r="B2715" s="1" t="n">
        <v>45912</v>
      </c>
      <c r="C2715" t="inlineStr">
        <is>
          <t>S02</t>
        </is>
      </c>
      <c r="D2715" t="inlineStr">
        <is>
          <t>P103</t>
        </is>
      </c>
      <c r="E2715" t="n">
        <v>1</v>
      </c>
      <c r="F2715" t="n">
        <v>29</v>
      </c>
      <c r="G2715" t="n">
        <v>0</v>
      </c>
      <c r="H2715">
        <f>E2715*F2715*(1-G2715)</f>
        <v/>
      </c>
      <c r="I2715">
        <f>XLOOKUP(D2715,Products!$A$2:$A$15,Products!$B$2:$B$15,"Not found")</f>
        <v/>
      </c>
    </row>
    <row r="2716">
      <c r="A2716" t="n">
        <v>107035</v>
      </c>
      <c r="B2716" s="1" t="n">
        <v>45912</v>
      </c>
      <c r="C2716" t="inlineStr">
        <is>
          <t>S02</t>
        </is>
      </c>
      <c r="D2716" t="inlineStr">
        <is>
          <t>P301</t>
        </is>
      </c>
      <c r="E2716" t="n">
        <v>1</v>
      </c>
      <c r="F2716" t="n">
        <v>119</v>
      </c>
      <c r="G2716" t="n">
        <v>0</v>
      </c>
      <c r="H2716">
        <f>E2716*F2716*(1-G2716)</f>
        <v/>
      </c>
      <c r="I2716">
        <f>XLOOKUP(D2716,Products!$A$2:$A$15,Products!$B$2:$B$15,"Not found")</f>
        <v/>
      </c>
    </row>
    <row r="2717">
      <c r="A2717" t="n">
        <v>107036</v>
      </c>
      <c r="B2717" s="1" t="n">
        <v>45912</v>
      </c>
      <c r="C2717" t="inlineStr">
        <is>
          <t>S03</t>
        </is>
      </c>
      <c r="D2717" t="inlineStr">
        <is>
          <t>P301</t>
        </is>
      </c>
      <c r="E2717" t="n">
        <v>1</v>
      </c>
      <c r="F2717" t="n">
        <v>119</v>
      </c>
      <c r="G2717" t="n">
        <v>0.2</v>
      </c>
      <c r="H2717">
        <f>E2717*F2717*(1-G2717)</f>
        <v/>
      </c>
      <c r="I2717">
        <f>XLOOKUP(D2717,Products!$A$2:$A$15,Products!$B$2:$B$15,"Not found")</f>
        <v/>
      </c>
    </row>
    <row r="2718">
      <c r="A2718" t="n">
        <v>107037</v>
      </c>
      <c r="B2718" s="1" t="n">
        <v>45912</v>
      </c>
      <c r="C2718" t="inlineStr">
        <is>
          <t>S03</t>
        </is>
      </c>
      <c r="D2718" t="inlineStr">
        <is>
          <t>P403</t>
        </is>
      </c>
      <c r="E2718" t="n">
        <v>2</v>
      </c>
      <c r="F2718" t="n">
        <v>89</v>
      </c>
      <c r="G2718" t="n">
        <v>0.2</v>
      </c>
      <c r="H2718">
        <f>E2718*F2718*(1-G2718)</f>
        <v/>
      </c>
      <c r="I2718">
        <f>XLOOKUP(D2718,Products!$A$2:$A$15,Products!$B$2:$B$15,"Not found")</f>
        <v/>
      </c>
    </row>
    <row r="2719">
      <c r="A2719" t="n">
        <v>107038</v>
      </c>
      <c r="B2719" s="1" t="n">
        <v>45912</v>
      </c>
      <c r="C2719" t="inlineStr">
        <is>
          <t>S03</t>
        </is>
      </c>
      <c r="D2719" t="inlineStr">
        <is>
          <t>P303</t>
        </is>
      </c>
      <c r="E2719" t="n">
        <v>4</v>
      </c>
      <c r="F2719" t="n">
        <v>12</v>
      </c>
      <c r="G2719" t="n">
        <v>0</v>
      </c>
      <c r="H2719">
        <f>E2719*F2719*(1-G2719)</f>
        <v/>
      </c>
      <c r="I2719">
        <f>XLOOKUP(D2719,Products!$A$2:$A$15,Products!$B$2:$B$15,"Not found")</f>
        <v/>
      </c>
    </row>
    <row r="2720">
      <c r="A2720" t="n">
        <v>107039</v>
      </c>
      <c r="B2720" s="1" t="n">
        <v>45912</v>
      </c>
      <c r="C2720" t="inlineStr">
        <is>
          <t>S04</t>
        </is>
      </c>
      <c r="D2720" t="inlineStr">
        <is>
          <t>P204</t>
        </is>
      </c>
      <c r="E2720" t="n">
        <v>1</v>
      </c>
      <c r="F2720" t="n">
        <v>229</v>
      </c>
      <c r="G2720" t="n">
        <v>0.15</v>
      </c>
      <c r="H2720">
        <f>E2720*F2720*(1-G2720)</f>
        <v/>
      </c>
      <c r="I2720">
        <f>XLOOKUP(D2720,Products!$A$2:$A$15,Products!$B$2:$B$15,"Not found")</f>
        <v/>
      </c>
    </row>
    <row r="2721">
      <c r="A2721" t="n">
        <v>107040</v>
      </c>
      <c r="B2721" s="1" t="n">
        <v>45912</v>
      </c>
      <c r="C2721" t="inlineStr">
        <is>
          <t>S05</t>
        </is>
      </c>
      <c r="D2721" t="inlineStr">
        <is>
          <t>P301</t>
        </is>
      </c>
      <c r="E2721" t="n">
        <v>1</v>
      </c>
      <c r="F2721" t="n">
        <v>119</v>
      </c>
      <c r="G2721" t="n">
        <v>0.1</v>
      </c>
      <c r="H2721">
        <f>E2721*F2721*(1-G2721)</f>
        <v/>
      </c>
      <c r="I2721">
        <f>XLOOKUP(D2721,Products!$A$2:$A$15,Products!$B$2:$B$15,"Not found")</f>
        <v/>
      </c>
    </row>
    <row r="2722">
      <c r="A2722" t="n">
        <v>107041</v>
      </c>
      <c r="B2722" s="1" t="n">
        <v>45912</v>
      </c>
      <c r="C2722" t="inlineStr">
        <is>
          <t>S05</t>
        </is>
      </c>
      <c r="D2722" t="inlineStr">
        <is>
          <t>P102</t>
        </is>
      </c>
      <c r="E2722" t="n">
        <v>1</v>
      </c>
      <c r="F2722" t="n">
        <v>14.5</v>
      </c>
      <c r="G2722" t="n">
        <v>0.1</v>
      </c>
      <c r="H2722">
        <f>E2722*F2722*(1-G2722)</f>
        <v/>
      </c>
      <c r="I2722">
        <f>XLOOKUP(D2722,Products!$A$2:$A$15,Products!$B$2:$B$15,"Not found")</f>
        <v/>
      </c>
    </row>
    <row r="2723">
      <c r="A2723" t="n">
        <v>107042</v>
      </c>
      <c r="B2723" s="1" t="n">
        <v>45912</v>
      </c>
      <c r="C2723" t="inlineStr">
        <is>
          <t>S06</t>
        </is>
      </c>
      <c r="D2723" t="inlineStr">
        <is>
          <t>P203</t>
        </is>
      </c>
      <c r="E2723" t="n">
        <v>2</v>
      </c>
      <c r="F2723" t="n">
        <v>19.5</v>
      </c>
      <c r="G2723" t="n">
        <v>0.15</v>
      </c>
      <c r="H2723">
        <f>E2723*F2723*(1-G2723)</f>
        <v/>
      </c>
      <c r="I2723">
        <f>XLOOKUP(D2723,Products!$A$2:$A$15,Products!$B$2:$B$15,"Not found")</f>
        <v/>
      </c>
    </row>
    <row r="2724">
      <c r="A2724" t="n">
        <v>107043</v>
      </c>
      <c r="B2724" s="1" t="n">
        <v>45913</v>
      </c>
      <c r="C2724" t="inlineStr">
        <is>
          <t>S01</t>
        </is>
      </c>
      <c r="D2724" t="inlineStr">
        <is>
          <t>P302</t>
        </is>
      </c>
      <c r="E2724" t="n">
        <v>2</v>
      </c>
      <c r="F2724" t="n">
        <v>24</v>
      </c>
      <c r="G2724" t="n">
        <v>0</v>
      </c>
      <c r="H2724">
        <f>E2724*F2724*(1-G2724)</f>
        <v/>
      </c>
      <c r="I2724">
        <f>XLOOKUP(D2724,Products!$A$2:$A$15,Products!$B$2:$B$15,"Not found")</f>
        <v/>
      </c>
    </row>
    <row r="2725">
      <c r="A2725" t="n">
        <v>107044</v>
      </c>
      <c r="B2725" s="1" t="n">
        <v>45913</v>
      </c>
      <c r="C2725" t="inlineStr">
        <is>
          <t>S02</t>
        </is>
      </c>
      <c r="D2725" t="inlineStr">
        <is>
          <t>P203</t>
        </is>
      </c>
      <c r="E2725" t="n">
        <v>3</v>
      </c>
      <c r="F2725" t="n">
        <v>19.5</v>
      </c>
      <c r="G2725" t="n">
        <v>0.15</v>
      </c>
      <c r="H2725">
        <f>E2725*F2725*(1-G2725)</f>
        <v/>
      </c>
      <c r="I2725">
        <f>XLOOKUP(D2725,Products!$A$2:$A$15,Products!$B$2:$B$15,"Not found")</f>
        <v/>
      </c>
    </row>
    <row r="2726">
      <c r="A2726" t="n">
        <v>107045</v>
      </c>
      <c r="B2726" s="1" t="n">
        <v>45913</v>
      </c>
      <c r="C2726" t="inlineStr">
        <is>
          <t>S02</t>
        </is>
      </c>
      <c r="D2726" t="inlineStr">
        <is>
          <t>P201</t>
        </is>
      </c>
      <c r="E2726" t="n">
        <v>1</v>
      </c>
      <c r="F2726" t="n">
        <v>149</v>
      </c>
      <c r="G2726" t="n">
        <v>0</v>
      </c>
      <c r="H2726">
        <f>E2726*F2726*(1-G2726)</f>
        <v/>
      </c>
      <c r="I2726">
        <f>XLOOKUP(D2726,Products!$A$2:$A$15,Products!$B$2:$B$15,"Not found")</f>
        <v/>
      </c>
    </row>
    <row r="2727">
      <c r="A2727" t="n">
        <v>107046</v>
      </c>
      <c r="B2727" s="1" t="n">
        <v>45913</v>
      </c>
      <c r="C2727" t="inlineStr">
        <is>
          <t>S03</t>
        </is>
      </c>
      <c r="D2727" t="inlineStr">
        <is>
          <t>P203</t>
        </is>
      </c>
      <c r="E2727" t="n">
        <v>4</v>
      </c>
      <c r="F2727" t="n">
        <v>19.5</v>
      </c>
      <c r="G2727" t="n">
        <v>0</v>
      </c>
      <c r="H2727">
        <f>E2727*F2727*(1-G2727)</f>
        <v/>
      </c>
      <c r="I2727">
        <f>XLOOKUP(D2727,Products!$A$2:$A$15,Products!$B$2:$B$15,"Not found")</f>
        <v/>
      </c>
    </row>
    <row r="2728">
      <c r="A2728" t="n">
        <v>107047</v>
      </c>
      <c r="B2728" s="1" t="n">
        <v>45913</v>
      </c>
      <c r="C2728" t="inlineStr">
        <is>
          <t>S04</t>
        </is>
      </c>
      <c r="D2728" t="inlineStr">
        <is>
          <t>P303</t>
        </is>
      </c>
      <c r="E2728" t="n">
        <v>2</v>
      </c>
      <c r="F2728" t="n">
        <v>12</v>
      </c>
      <c r="G2728" t="n">
        <v>0</v>
      </c>
      <c r="H2728">
        <f>E2728*F2728*(1-G2728)</f>
        <v/>
      </c>
      <c r="I2728">
        <f>XLOOKUP(D2728,Products!$A$2:$A$15,Products!$B$2:$B$15,"Not found")</f>
        <v/>
      </c>
    </row>
    <row r="2729">
      <c r="A2729" t="n">
        <v>107048</v>
      </c>
      <c r="B2729" s="1" t="n">
        <v>45913</v>
      </c>
      <c r="C2729" t="inlineStr">
        <is>
          <t>S04</t>
        </is>
      </c>
      <c r="D2729" t="inlineStr">
        <is>
          <t>P101</t>
        </is>
      </c>
      <c r="E2729" t="n">
        <v>2</v>
      </c>
      <c r="F2729" t="n">
        <v>39</v>
      </c>
      <c r="G2729" t="n">
        <v>0</v>
      </c>
      <c r="H2729">
        <f>E2729*F2729*(1-G2729)</f>
        <v/>
      </c>
      <c r="I2729">
        <f>XLOOKUP(D2729,Products!$A$2:$A$15,Products!$B$2:$B$15,"Not found")</f>
        <v/>
      </c>
    </row>
    <row r="2730">
      <c r="A2730" t="n">
        <v>107049</v>
      </c>
      <c r="B2730" s="1" t="n">
        <v>45913</v>
      </c>
      <c r="C2730" t="inlineStr">
        <is>
          <t>S05</t>
        </is>
      </c>
      <c r="D2730" t="inlineStr">
        <is>
          <t>P101</t>
        </is>
      </c>
      <c r="E2730" t="n">
        <v>1</v>
      </c>
      <c r="F2730" t="n">
        <v>39</v>
      </c>
      <c r="G2730" t="n">
        <v>0</v>
      </c>
      <c r="H2730">
        <f>E2730*F2730*(1-G2730)</f>
        <v/>
      </c>
      <c r="I2730">
        <f>XLOOKUP(D2730,Products!$A$2:$A$15,Products!$B$2:$B$15,"Not found")</f>
        <v/>
      </c>
    </row>
    <row r="2731">
      <c r="A2731" t="n">
        <v>107050</v>
      </c>
      <c r="B2731" s="1" t="n">
        <v>45913</v>
      </c>
      <c r="C2731" t="inlineStr">
        <is>
          <t>S05</t>
        </is>
      </c>
      <c r="D2731" t="inlineStr">
        <is>
          <t>P101</t>
        </is>
      </c>
      <c r="E2731" t="n">
        <v>4</v>
      </c>
      <c r="F2731" t="n">
        <v>39</v>
      </c>
      <c r="G2731" t="n">
        <v>0</v>
      </c>
      <c r="H2731">
        <f>E2731*F2731*(1-G2731)</f>
        <v/>
      </c>
      <c r="I2731">
        <f>XLOOKUP(D2731,Products!$A$2:$A$15,Products!$B$2:$B$15,"Not found")</f>
        <v/>
      </c>
    </row>
    <row r="2732">
      <c r="A2732" t="n">
        <v>107051</v>
      </c>
      <c r="B2732" s="1" t="n">
        <v>45913</v>
      </c>
      <c r="C2732" t="inlineStr">
        <is>
          <t>S05</t>
        </is>
      </c>
      <c r="D2732" t="inlineStr">
        <is>
          <t>P302</t>
        </is>
      </c>
      <c r="E2732" t="n">
        <v>1</v>
      </c>
      <c r="F2732" t="n">
        <v>24</v>
      </c>
      <c r="G2732" t="n">
        <v>0</v>
      </c>
      <c r="H2732">
        <f>E2732*F2732*(1-G2732)</f>
        <v/>
      </c>
      <c r="I2732">
        <f>XLOOKUP(D2732,Products!$A$2:$A$15,Products!$B$2:$B$15,"Not found")</f>
        <v/>
      </c>
    </row>
    <row r="2733">
      <c r="A2733" t="n">
        <v>107052</v>
      </c>
      <c r="B2733" s="1" t="n">
        <v>45913</v>
      </c>
      <c r="C2733" t="inlineStr">
        <is>
          <t>S05</t>
        </is>
      </c>
      <c r="D2733" t="inlineStr">
        <is>
          <t>P303</t>
        </is>
      </c>
      <c r="E2733" t="n">
        <v>4</v>
      </c>
      <c r="F2733" t="n">
        <v>12</v>
      </c>
      <c r="G2733" t="n">
        <v>0.2</v>
      </c>
      <c r="H2733">
        <f>E2733*F2733*(1-G2733)</f>
        <v/>
      </c>
      <c r="I2733">
        <f>XLOOKUP(D2733,Products!$A$2:$A$15,Products!$B$2:$B$15,"Not found")</f>
        <v/>
      </c>
    </row>
    <row r="2734">
      <c r="A2734" t="n">
        <v>107053</v>
      </c>
      <c r="B2734" s="1" t="n">
        <v>45913</v>
      </c>
      <c r="C2734" t="inlineStr">
        <is>
          <t>S05</t>
        </is>
      </c>
      <c r="D2734" t="inlineStr">
        <is>
          <t>P302</t>
        </is>
      </c>
      <c r="E2734" t="n">
        <v>1</v>
      </c>
      <c r="F2734" t="n">
        <v>24</v>
      </c>
      <c r="G2734" t="n">
        <v>0.2</v>
      </c>
      <c r="H2734">
        <f>E2734*F2734*(1-G2734)</f>
        <v/>
      </c>
      <c r="I2734">
        <f>XLOOKUP(D2734,Products!$A$2:$A$15,Products!$B$2:$B$15,"Not found")</f>
        <v/>
      </c>
    </row>
    <row r="2735">
      <c r="A2735" t="n">
        <v>107054</v>
      </c>
      <c r="B2735" s="1" t="n">
        <v>45913</v>
      </c>
      <c r="C2735" t="inlineStr">
        <is>
          <t>S06</t>
        </is>
      </c>
      <c r="D2735" t="inlineStr">
        <is>
          <t>P103</t>
        </is>
      </c>
      <c r="E2735" t="n">
        <v>2</v>
      </c>
      <c r="F2735" t="n">
        <v>29</v>
      </c>
      <c r="G2735" t="n">
        <v>0</v>
      </c>
      <c r="H2735">
        <f>E2735*F2735*(1-G2735)</f>
        <v/>
      </c>
      <c r="I2735">
        <f>XLOOKUP(D2735,Products!$A$2:$A$15,Products!$B$2:$B$15,"Not found")</f>
        <v/>
      </c>
    </row>
    <row r="2736">
      <c r="A2736" t="n">
        <v>107055</v>
      </c>
      <c r="B2736" s="1" t="n">
        <v>45913</v>
      </c>
      <c r="C2736" t="inlineStr">
        <is>
          <t>S06</t>
        </is>
      </c>
      <c r="D2736" t="inlineStr">
        <is>
          <t>P102</t>
        </is>
      </c>
      <c r="E2736" t="n">
        <v>3</v>
      </c>
      <c r="F2736" t="n">
        <v>14.5</v>
      </c>
      <c r="G2736" t="n">
        <v>0.2</v>
      </c>
      <c r="H2736">
        <f>E2736*F2736*(1-G2736)</f>
        <v/>
      </c>
      <c r="I2736">
        <f>XLOOKUP(D2736,Products!$A$2:$A$15,Products!$B$2:$B$15,"Not found")</f>
        <v/>
      </c>
    </row>
    <row r="2737">
      <c r="A2737" t="n">
        <v>107056</v>
      </c>
      <c r="B2737" s="1" t="n">
        <v>45914</v>
      </c>
      <c r="C2737" t="inlineStr">
        <is>
          <t>S01</t>
        </is>
      </c>
      <c r="D2737" t="inlineStr">
        <is>
          <t>P102</t>
        </is>
      </c>
      <c r="E2737" t="n">
        <v>3</v>
      </c>
      <c r="F2737" t="n">
        <v>14.5</v>
      </c>
      <c r="G2737" t="n">
        <v>0.2</v>
      </c>
      <c r="H2737">
        <f>E2737*F2737*(1-G2737)</f>
        <v/>
      </c>
      <c r="I2737">
        <f>XLOOKUP(D2737,Products!$A$2:$A$15,Products!$B$2:$B$15,"Not found")</f>
        <v/>
      </c>
    </row>
    <row r="2738">
      <c r="A2738" t="n">
        <v>107057</v>
      </c>
      <c r="B2738" s="1" t="n">
        <v>45914</v>
      </c>
      <c r="C2738" t="inlineStr">
        <is>
          <t>S01</t>
        </is>
      </c>
      <c r="D2738" t="inlineStr">
        <is>
          <t>P101</t>
        </is>
      </c>
      <c r="E2738" t="n">
        <v>2</v>
      </c>
      <c r="F2738" t="n">
        <v>39</v>
      </c>
      <c r="G2738" t="n">
        <v>0</v>
      </c>
      <c r="H2738">
        <f>E2738*F2738*(1-G2738)</f>
        <v/>
      </c>
      <c r="I2738">
        <f>XLOOKUP(D2738,Products!$A$2:$A$15,Products!$B$2:$B$15,"Not found")</f>
        <v/>
      </c>
    </row>
    <row r="2739">
      <c r="A2739" t="n">
        <v>107058</v>
      </c>
      <c r="B2739" s="1" t="n">
        <v>45914</v>
      </c>
      <c r="C2739" t="inlineStr">
        <is>
          <t>S01</t>
        </is>
      </c>
      <c r="D2739" t="inlineStr">
        <is>
          <t>P301</t>
        </is>
      </c>
      <c r="E2739" t="n">
        <v>1</v>
      </c>
      <c r="F2739" t="n">
        <v>119</v>
      </c>
      <c r="G2739" t="n">
        <v>0</v>
      </c>
      <c r="H2739">
        <f>E2739*F2739*(1-G2739)</f>
        <v/>
      </c>
      <c r="I2739">
        <f>XLOOKUP(D2739,Products!$A$2:$A$15,Products!$B$2:$B$15,"Not found")</f>
        <v/>
      </c>
    </row>
    <row r="2740">
      <c r="A2740" t="n">
        <v>107059</v>
      </c>
      <c r="B2740" s="1" t="n">
        <v>45914</v>
      </c>
      <c r="C2740" t="inlineStr">
        <is>
          <t>S02</t>
        </is>
      </c>
      <c r="D2740" t="inlineStr">
        <is>
          <t>P101</t>
        </is>
      </c>
      <c r="E2740" t="n">
        <v>1</v>
      </c>
      <c r="F2740" t="n">
        <v>39</v>
      </c>
      <c r="G2740" t="n">
        <v>0</v>
      </c>
      <c r="H2740">
        <f>E2740*F2740*(1-G2740)</f>
        <v/>
      </c>
      <c r="I2740">
        <f>XLOOKUP(D2740,Products!$A$2:$A$15,Products!$B$2:$B$15,"Not found")</f>
        <v/>
      </c>
    </row>
    <row r="2741">
      <c r="A2741" t="n">
        <v>107060</v>
      </c>
      <c r="B2741" s="1" t="n">
        <v>45914</v>
      </c>
      <c r="C2741" t="inlineStr">
        <is>
          <t>S02</t>
        </is>
      </c>
      <c r="D2741" t="inlineStr">
        <is>
          <t>P203</t>
        </is>
      </c>
      <c r="E2741" t="n">
        <v>1</v>
      </c>
      <c r="F2741" t="n">
        <v>19.5</v>
      </c>
      <c r="G2741" t="n">
        <v>0</v>
      </c>
      <c r="H2741">
        <f>E2741*F2741*(1-G2741)</f>
        <v/>
      </c>
      <c r="I2741">
        <f>XLOOKUP(D2741,Products!$A$2:$A$15,Products!$B$2:$B$15,"Not found")</f>
        <v/>
      </c>
    </row>
    <row r="2742">
      <c r="A2742" t="n">
        <v>107061</v>
      </c>
      <c r="B2742" s="1" t="n">
        <v>45914</v>
      </c>
      <c r="C2742" t="inlineStr">
        <is>
          <t>S02</t>
        </is>
      </c>
      <c r="D2742" t="inlineStr">
        <is>
          <t>P102</t>
        </is>
      </c>
      <c r="E2742" t="n">
        <v>4</v>
      </c>
      <c r="F2742" t="n">
        <v>14.5</v>
      </c>
      <c r="G2742" t="n">
        <v>0.2</v>
      </c>
      <c r="H2742">
        <f>E2742*F2742*(1-G2742)</f>
        <v/>
      </c>
      <c r="I2742">
        <f>XLOOKUP(D2742,Products!$A$2:$A$15,Products!$B$2:$B$15,"Not found")</f>
        <v/>
      </c>
    </row>
    <row r="2743">
      <c r="A2743" t="n">
        <v>107062</v>
      </c>
      <c r="B2743" s="1" t="n">
        <v>45914</v>
      </c>
      <c r="C2743" t="inlineStr">
        <is>
          <t>S03</t>
        </is>
      </c>
      <c r="D2743" t="inlineStr">
        <is>
          <t>P102</t>
        </is>
      </c>
      <c r="E2743" t="n">
        <v>1</v>
      </c>
      <c r="F2743" t="n">
        <v>14.5</v>
      </c>
      <c r="G2743" t="n">
        <v>0.15</v>
      </c>
      <c r="H2743">
        <f>E2743*F2743*(1-G2743)</f>
        <v/>
      </c>
      <c r="I2743">
        <f>XLOOKUP(D2743,Products!$A$2:$A$15,Products!$B$2:$B$15,"Not found")</f>
        <v/>
      </c>
    </row>
    <row r="2744">
      <c r="A2744" t="n">
        <v>107063</v>
      </c>
      <c r="B2744" s="1" t="n">
        <v>45914</v>
      </c>
      <c r="C2744" t="inlineStr">
        <is>
          <t>S03</t>
        </is>
      </c>
      <c r="D2744" t="inlineStr">
        <is>
          <t>P102</t>
        </is>
      </c>
      <c r="E2744" t="n">
        <v>2</v>
      </c>
      <c r="F2744" t="n">
        <v>14.5</v>
      </c>
      <c r="G2744" t="n">
        <v>0</v>
      </c>
      <c r="H2744">
        <f>E2744*F2744*(1-G2744)</f>
        <v/>
      </c>
      <c r="I2744">
        <f>XLOOKUP(D2744,Products!$A$2:$A$15,Products!$B$2:$B$15,"Not found")</f>
        <v/>
      </c>
    </row>
    <row r="2745">
      <c r="A2745" t="n">
        <v>107064</v>
      </c>
      <c r="B2745" s="1" t="n">
        <v>45914</v>
      </c>
      <c r="C2745" t="inlineStr">
        <is>
          <t>S04</t>
        </is>
      </c>
      <c r="D2745" t="inlineStr">
        <is>
          <t>P101</t>
        </is>
      </c>
      <c r="E2745" t="n">
        <v>2</v>
      </c>
      <c r="F2745" t="n">
        <v>39</v>
      </c>
      <c r="G2745" t="n">
        <v>0.1</v>
      </c>
      <c r="H2745">
        <f>E2745*F2745*(1-G2745)</f>
        <v/>
      </c>
      <c r="I2745">
        <f>XLOOKUP(D2745,Products!$A$2:$A$15,Products!$B$2:$B$15,"Not found")</f>
        <v/>
      </c>
    </row>
    <row r="2746">
      <c r="A2746" t="n">
        <v>107065</v>
      </c>
      <c r="B2746" s="1" t="n">
        <v>45914</v>
      </c>
      <c r="C2746" t="inlineStr">
        <is>
          <t>S04</t>
        </is>
      </c>
      <c r="D2746" t="inlineStr">
        <is>
          <t>P101</t>
        </is>
      </c>
      <c r="E2746" t="n">
        <v>4</v>
      </c>
      <c r="F2746" t="n">
        <v>39</v>
      </c>
      <c r="G2746" t="n">
        <v>0.15</v>
      </c>
      <c r="H2746">
        <f>E2746*F2746*(1-G2746)</f>
        <v/>
      </c>
      <c r="I2746">
        <f>XLOOKUP(D2746,Products!$A$2:$A$15,Products!$B$2:$B$15,"Not found")</f>
        <v/>
      </c>
    </row>
    <row r="2747">
      <c r="A2747" t="n">
        <v>107066</v>
      </c>
      <c r="B2747" s="1" t="n">
        <v>45914</v>
      </c>
      <c r="C2747" t="inlineStr">
        <is>
          <t>S05</t>
        </is>
      </c>
      <c r="D2747" t="inlineStr">
        <is>
          <t>P101</t>
        </is>
      </c>
      <c r="E2747" t="n">
        <v>1</v>
      </c>
      <c r="F2747" t="n">
        <v>39</v>
      </c>
      <c r="G2747" t="n">
        <v>0</v>
      </c>
      <c r="H2747">
        <f>E2747*F2747*(1-G2747)</f>
        <v/>
      </c>
      <c r="I2747">
        <f>XLOOKUP(D2747,Products!$A$2:$A$15,Products!$B$2:$B$15,"Not found")</f>
        <v/>
      </c>
    </row>
    <row r="2748">
      <c r="A2748" t="n">
        <v>107067</v>
      </c>
      <c r="B2748" s="1" t="n">
        <v>45914</v>
      </c>
      <c r="C2748" t="inlineStr">
        <is>
          <t>S05</t>
        </is>
      </c>
      <c r="D2748" t="inlineStr">
        <is>
          <t>P104</t>
        </is>
      </c>
      <c r="E2748" t="n">
        <v>1</v>
      </c>
      <c r="F2748" t="n">
        <v>189</v>
      </c>
      <c r="G2748" t="n">
        <v>0</v>
      </c>
      <c r="H2748">
        <f>E2748*F2748*(1-G2748)</f>
        <v/>
      </c>
      <c r="I2748">
        <f>XLOOKUP(D2748,Products!$A$2:$A$15,Products!$B$2:$B$15,"Not found")</f>
        <v/>
      </c>
    </row>
    <row r="2749">
      <c r="A2749" t="n">
        <v>107068</v>
      </c>
      <c r="B2749" s="1" t="n">
        <v>45914</v>
      </c>
      <c r="C2749" t="inlineStr">
        <is>
          <t>S05</t>
        </is>
      </c>
      <c r="D2749" t="inlineStr">
        <is>
          <t>P301</t>
        </is>
      </c>
      <c r="E2749" t="n">
        <v>1</v>
      </c>
      <c r="F2749" t="n">
        <v>119</v>
      </c>
      <c r="G2749" t="n">
        <v>0</v>
      </c>
      <c r="H2749">
        <f>E2749*F2749*(1-G2749)</f>
        <v/>
      </c>
      <c r="I2749">
        <f>XLOOKUP(D2749,Products!$A$2:$A$15,Products!$B$2:$B$15,"Not found")</f>
        <v/>
      </c>
    </row>
    <row r="2750">
      <c r="A2750" t="n">
        <v>107069</v>
      </c>
      <c r="B2750" s="1" t="n">
        <v>45914</v>
      </c>
      <c r="C2750" t="inlineStr">
        <is>
          <t>S05</t>
        </is>
      </c>
      <c r="D2750" t="inlineStr">
        <is>
          <t>P101</t>
        </is>
      </c>
      <c r="E2750" t="n">
        <v>1</v>
      </c>
      <c r="F2750" t="n">
        <v>39</v>
      </c>
      <c r="G2750" t="n">
        <v>0</v>
      </c>
      <c r="H2750">
        <f>E2750*F2750*(1-G2750)</f>
        <v/>
      </c>
      <c r="I2750">
        <f>XLOOKUP(D2750,Products!$A$2:$A$15,Products!$B$2:$B$15,"Not found")</f>
        <v/>
      </c>
    </row>
    <row r="2751">
      <c r="A2751" t="n">
        <v>107070</v>
      </c>
      <c r="B2751" s="1" t="n">
        <v>45914</v>
      </c>
      <c r="C2751" t="inlineStr">
        <is>
          <t>S05</t>
        </is>
      </c>
      <c r="D2751" t="inlineStr">
        <is>
          <t>P102</t>
        </is>
      </c>
      <c r="E2751" t="n">
        <v>3</v>
      </c>
      <c r="F2751" t="n">
        <v>14.5</v>
      </c>
      <c r="G2751" t="n">
        <v>0</v>
      </c>
      <c r="H2751">
        <f>E2751*F2751*(1-G2751)</f>
        <v/>
      </c>
      <c r="I2751">
        <f>XLOOKUP(D2751,Products!$A$2:$A$15,Products!$B$2:$B$15,"Not found")</f>
        <v/>
      </c>
    </row>
    <row r="2752">
      <c r="A2752" t="n">
        <v>107071</v>
      </c>
      <c r="B2752" s="1" t="n">
        <v>45914</v>
      </c>
      <c r="C2752" t="inlineStr">
        <is>
          <t>S06</t>
        </is>
      </c>
      <c r="D2752" t="inlineStr">
        <is>
          <t>P403</t>
        </is>
      </c>
      <c r="E2752" t="n">
        <v>1</v>
      </c>
      <c r="F2752" t="n">
        <v>89</v>
      </c>
      <c r="G2752" t="n">
        <v>0.1</v>
      </c>
      <c r="H2752">
        <f>E2752*F2752*(1-G2752)</f>
        <v/>
      </c>
      <c r="I2752">
        <f>XLOOKUP(D2752,Products!$A$2:$A$15,Products!$B$2:$B$15,"Not found")</f>
        <v/>
      </c>
    </row>
    <row r="2753">
      <c r="A2753" t="n">
        <v>107072</v>
      </c>
      <c r="B2753" s="1" t="n">
        <v>45915</v>
      </c>
      <c r="C2753" t="inlineStr">
        <is>
          <t>S01</t>
        </is>
      </c>
      <c r="D2753" t="inlineStr">
        <is>
          <t>P101</t>
        </is>
      </c>
      <c r="E2753" t="n">
        <v>2</v>
      </c>
      <c r="F2753" t="n">
        <v>39</v>
      </c>
      <c r="G2753" t="n">
        <v>0.15</v>
      </c>
      <c r="H2753">
        <f>E2753*F2753*(1-G2753)</f>
        <v/>
      </c>
      <c r="I2753">
        <f>XLOOKUP(D2753,Products!$A$2:$A$15,Products!$B$2:$B$15,"Not found")</f>
        <v/>
      </c>
    </row>
    <row r="2754">
      <c r="A2754" t="n">
        <v>107073</v>
      </c>
      <c r="B2754" s="1" t="n">
        <v>45915</v>
      </c>
      <c r="C2754" t="inlineStr">
        <is>
          <t>S01</t>
        </is>
      </c>
      <c r="D2754" t="inlineStr">
        <is>
          <t>P201</t>
        </is>
      </c>
      <c r="E2754" t="n">
        <v>1</v>
      </c>
      <c r="F2754" t="n">
        <v>149</v>
      </c>
      <c r="G2754" t="n">
        <v>0</v>
      </c>
      <c r="H2754">
        <f>E2754*F2754*(1-G2754)</f>
        <v/>
      </c>
      <c r="I2754">
        <f>XLOOKUP(D2754,Products!$A$2:$A$15,Products!$B$2:$B$15,"Not found")</f>
        <v/>
      </c>
    </row>
    <row r="2755">
      <c r="A2755" t="n">
        <v>107074</v>
      </c>
      <c r="B2755" s="1" t="n">
        <v>45915</v>
      </c>
      <c r="C2755" t="inlineStr">
        <is>
          <t>S01</t>
        </is>
      </c>
      <c r="D2755" t="inlineStr">
        <is>
          <t>P403</t>
        </is>
      </c>
      <c r="E2755" t="n">
        <v>1</v>
      </c>
      <c r="F2755" t="n">
        <v>89</v>
      </c>
      <c r="G2755" t="n">
        <v>0</v>
      </c>
      <c r="H2755">
        <f>E2755*F2755*(1-G2755)</f>
        <v/>
      </c>
      <c r="I2755">
        <f>XLOOKUP(D2755,Products!$A$2:$A$15,Products!$B$2:$B$15,"Not found")</f>
        <v/>
      </c>
    </row>
    <row r="2756">
      <c r="A2756" t="n">
        <v>107075</v>
      </c>
      <c r="B2756" s="1" t="n">
        <v>45915</v>
      </c>
      <c r="C2756" t="inlineStr">
        <is>
          <t>S01</t>
        </is>
      </c>
      <c r="D2756" t="inlineStr">
        <is>
          <t>P102</t>
        </is>
      </c>
      <c r="E2756" t="n">
        <v>4</v>
      </c>
      <c r="F2756" t="n">
        <v>14.5</v>
      </c>
      <c r="G2756" t="n">
        <v>0</v>
      </c>
      <c r="H2756">
        <f>E2756*F2756*(1-G2756)</f>
        <v/>
      </c>
      <c r="I2756">
        <f>XLOOKUP(D2756,Products!$A$2:$A$15,Products!$B$2:$B$15,"Not found")</f>
        <v/>
      </c>
    </row>
    <row r="2757">
      <c r="A2757" t="n">
        <v>107076</v>
      </c>
      <c r="B2757" s="1" t="n">
        <v>45915</v>
      </c>
      <c r="C2757" t="inlineStr">
        <is>
          <t>S01</t>
        </is>
      </c>
      <c r="D2757" t="inlineStr">
        <is>
          <t>P302</t>
        </is>
      </c>
      <c r="E2757" t="n">
        <v>1</v>
      </c>
      <c r="F2757" t="n">
        <v>24</v>
      </c>
      <c r="G2757" t="n">
        <v>0</v>
      </c>
      <c r="H2757">
        <f>E2757*F2757*(1-G2757)</f>
        <v/>
      </c>
      <c r="I2757">
        <f>XLOOKUP(D2757,Products!$A$2:$A$15,Products!$B$2:$B$15,"Not found")</f>
        <v/>
      </c>
    </row>
    <row r="2758">
      <c r="A2758" t="n">
        <v>107077</v>
      </c>
      <c r="B2758" s="1" t="n">
        <v>45915</v>
      </c>
      <c r="C2758" t="inlineStr">
        <is>
          <t>S02</t>
        </is>
      </c>
      <c r="D2758" t="inlineStr">
        <is>
          <t>P303</t>
        </is>
      </c>
      <c r="E2758" t="n">
        <v>3</v>
      </c>
      <c r="F2758" t="n">
        <v>12</v>
      </c>
      <c r="G2758" t="n">
        <v>0</v>
      </c>
      <c r="H2758">
        <f>E2758*F2758*(1-G2758)</f>
        <v/>
      </c>
      <c r="I2758">
        <f>XLOOKUP(D2758,Products!$A$2:$A$15,Products!$B$2:$B$15,"Not found")</f>
        <v/>
      </c>
    </row>
    <row r="2759">
      <c r="A2759" t="n">
        <v>107078</v>
      </c>
      <c r="B2759" s="1" t="n">
        <v>45915</v>
      </c>
      <c r="C2759" t="inlineStr">
        <is>
          <t>S02</t>
        </is>
      </c>
      <c r="D2759" t="inlineStr">
        <is>
          <t>P403</t>
        </is>
      </c>
      <c r="E2759" t="n">
        <v>4</v>
      </c>
      <c r="F2759" t="n">
        <v>89</v>
      </c>
      <c r="G2759" t="n">
        <v>0</v>
      </c>
      <c r="H2759">
        <f>E2759*F2759*(1-G2759)</f>
        <v/>
      </c>
      <c r="I2759">
        <f>XLOOKUP(D2759,Products!$A$2:$A$15,Products!$B$2:$B$15,"Not found")</f>
        <v/>
      </c>
    </row>
    <row r="2760">
      <c r="A2760" t="n">
        <v>107079</v>
      </c>
      <c r="B2760" s="1" t="n">
        <v>45915</v>
      </c>
      <c r="C2760" t="inlineStr">
        <is>
          <t>S02</t>
        </is>
      </c>
      <c r="D2760" t="inlineStr">
        <is>
          <t>P102</t>
        </is>
      </c>
      <c r="E2760" t="n">
        <v>1</v>
      </c>
      <c r="F2760" t="n">
        <v>14.5</v>
      </c>
      <c r="G2760" t="n">
        <v>0</v>
      </c>
      <c r="H2760">
        <f>E2760*F2760*(1-G2760)</f>
        <v/>
      </c>
      <c r="I2760">
        <f>XLOOKUP(D2760,Products!$A$2:$A$15,Products!$B$2:$B$15,"Not found")</f>
        <v/>
      </c>
    </row>
    <row r="2761">
      <c r="A2761" t="n">
        <v>107080</v>
      </c>
      <c r="B2761" s="1" t="n">
        <v>45915</v>
      </c>
      <c r="C2761" t="inlineStr">
        <is>
          <t>S02</t>
        </is>
      </c>
      <c r="D2761" t="inlineStr">
        <is>
          <t>P101</t>
        </is>
      </c>
      <c r="E2761" t="n">
        <v>1</v>
      </c>
      <c r="F2761" t="n">
        <v>39</v>
      </c>
      <c r="G2761" t="n">
        <v>0</v>
      </c>
      <c r="H2761">
        <f>E2761*F2761*(1-G2761)</f>
        <v/>
      </c>
      <c r="I2761">
        <f>XLOOKUP(D2761,Products!$A$2:$A$15,Products!$B$2:$B$15,"Not found")</f>
        <v/>
      </c>
    </row>
    <row r="2762">
      <c r="A2762" t="n">
        <v>107081</v>
      </c>
      <c r="B2762" s="1" t="n">
        <v>45915</v>
      </c>
      <c r="C2762" t="inlineStr">
        <is>
          <t>S03</t>
        </is>
      </c>
      <c r="D2762" t="inlineStr">
        <is>
          <t>P102</t>
        </is>
      </c>
      <c r="E2762" t="n">
        <v>3</v>
      </c>
      <c r="F2762" t="n">
        <v>14.5</v>
      </c>
      <c r="G2762" t="n">
        <v>0.2</v>
      </c>
      <c r="H2762">
        <f>E2762*F2762*(1-G2762)</f>
        <v/>
      </c>
      <c r="I2762">
        <f>XLOOKUP(D2762,Products!$A$2:$A$15,Products!$B$2:$B$15,"Not found")</f>
        <v/>
      </c>
    </row>
    <row r="2763">
      <c r="A2763" t="n">
        <v>107082</v>
      </c>
      <c r="B2763" s="1" t="n">
        <v>45915</v>
      </c>
      <c r="C2763" t="inlineStr">
        <is>
          <t>S03</t>
        </is>
      </c>
      <c r="D2763" t="inlineStr">
        <is>
          <t>P102</t>
        </is>
      </c>
      <c r="E2763" t="n">
        <v>4</v>
      </c>
      <c r="F2763" t="n">
        <v>14.5</v>
      </c>
      <c r="G2763" t="n">
        <v>0</v>
      </c>
      <c r="H2763">
        <f>E2763*F2763*(1-G2763)</f>
        <v/>
      </c>
      <c r="I2763">
        <f>XLOOKUP(D2763,Products!$A$2:$A$15,Products!$B$2:$B$15,"Not found")</f>
        <v/>
      </c>
    </row>
    <row r="2764">
      <c r="A2764" t="n">
        <v>107083</v>
      </c>
      <c r="B2764" s="1" t="n">
        <v>45915</v>
      </c>
      <c r="C2764" t="inlineStr">
        <is>
          <t>S04</t>
        </is>
      </c>
      <c r="D2764" t="inlineStr">
        <is>
          <t>P301</t>
        </is>
      </c>
      <c r="E2764" t="n">
        <v>1</v>
      </c>
      <c r="F2764" t="n">
        <v>119</v>
      </c>
      <c r="G2764" t="n">
        <v>0.1</v>
      </c>
      <c r="H2764">
        <f>E2764*F2764*(1-G2764)</f>
        <v/>
      </c>
      <c r="I2764">
        <f>XLOOKUP(D2764,Products!$A$2:$A$15,Products!$B$2:$B$15,"Not found")</f>
        <v/>
      </c>
    </row>
    <row r="2765">
      <c r="A2765" t="n">
        <v>107084</v>
      </c>
      <c r="B2765" s="1" t="n">
        <v>45915</v>
      </c>
      <c r="C2765" t="inlineStr">
        <is>
          <t>S05</t>
        </is>
      </c>
      <c r="D2765" t="inlineStr">
        <is>
          <t>P201</t>
        </is>
      </c>
      <c r="E2765" t="n">
        <v>1</v>
      </c>
      <c r="F2765" t="n">
        <v>149</v>
      </c>
      <c r="G2765" t="n">
        <v>0</v>
      </c>
      <c r="H2765">
        <f>E2765*F2765*(1-G2765)</f>
        <v/>
      </c>
      <c r="I2765">
        <f>XLOOKUP(D2765,Products!$A$2:$A$15,Products!$B$2:$B$15,"Not found")</f>
        <v/>
      </c>
    </row>
    <row r="2766">
      <c r="A2766" t="n">
        <v>107085</v>
      </c>
      <c r="B2766" s="1" t="n">
        <v>45915</v>
      </c>
      <c r="C2766" t="inlineStr">
        <is>
          <t>S06</t>
        </is>
      </c>
      <c r="D2766" t="inlineStr">
        <is>
          <t>P302</t>
        </is>
      </c>
      <c r="E2766" t="n">
        <v>2</v>
      </c>
      <c r="F2766" t="n">
        <v>24</v>
      </c>
      <c r="G2766" t="n">
        <v>0</v>
      </c>
      <c r="H2766">
        <f>E2766*F2766*(1-G2766)</f>
        <v/>
      </c>
      <c r="I2766">
        <f>XLOOKUP(D2766,Products!$A$2:$A$15,Products!$B$2:$B$15,"Not found")</f>
        <v/>
      </c>
    </row>
    <row r="2767">
      <c r="A2767" t="n">
        <v>107086</v>
      </c>
      <c r="B2767" s="1" t="n">
        <v>45915</v>
      </c>
      <c r="C2767" t="inlineStr">
        <is>
          <t>S06</t>
        </is>
      </c>
      <c r="D2767" t="inlineStr">
        <is>
          <t>P202</t>
        </is>
      </c>
      <c r="E2767" t="n">
        <v>4</v>
      </c>
      <c r="F2767" t="n">
        <v>79</v>
      </c>
      <c r="G2767" t="n">
        <v>0.2</v>
      </c>
      <c r="H2767">
        <f>E2767*F2767*(1-G2767)</f>
        <v/>
      </c>
      <c r="I2767">
        <f>XLOOKUP(D2767,Products!$A$2:$A$15,Products!$B$2:$B$15,"Not found")</f>
        <v/>
      </c>
    </row>
    <row r="2768">
      <c r="A2768" t="n">
        <v>107087</v>
      </c>
      <c r="B2768" s="1" t="n">
        <v>45915</v>
      </c>
      <c r="C2768" t="inlineStr">
        <is>
          <t>S06</t>
        </is>
      </c>
      <c r="D2768" t="inlineStr">
        <is>
          <t>P101</t>
        </is>
      </c>
      <c r="E2768" t="n">
        <v>2</v>
      </c>
      <c r="F2768" t="n">
        <v>39</v>
      </c>
      <c r="G2768" t="n">
        <v>0.15</v>
      </c>
      <c r="H2768">
        <f>E2768*F2768*(1-G2768)</f>
        <v/>
      </c>
      <c r="I2768">
        <f>XLOOKUP(D2768,Products!$A$2:$A$15,Products!$B$2:$B$15,"Not found")</f>
        <v/>
      </c>
    </row>
    <row r="2769">
      <c r="A2769" t="n">
        <v>107088</v>
      </c>
      <c r="B2769" s="1" t="n">
        <v>45915</v>
      </c>
      <c r="C2769" t="inlineStr">
        <is>
          <t>S06</t>
        </is>
      </c>
      <c r="D2769" t="inlineStr">
        <is>
          <t>P101</t>
        </is>
      </c>
      <c r="E2769" t="n">
        <v>1</v>
      </c>
      <c r="F2769" t="n">
        <v>39</v>
      </c>
      <c r="G2769" t="n">
        <v>0</v>
      </c>
      <c r="H2769">
        <f>E2769*F2769*(1-G2769)</f>
        <v/>
      </c>
      <c r="I2769">
        <f>XLOOKUP(D2769,Products!$A$2:$A$15,Products!$B$2:$B$15,"Not found")</f>
        <v/>
      </c>
    </row>
    <row r="2770">
      <c r="A2770" t="n">
        <v>107089</v>
      </c>
      <c r="B2770" s="1" t="n">
        <v>45916</v>
      </c>
      <c r="C2770" t="inlineStr">
        <is>
          <t>S01</t>
        </is>
      </c>
      <c r="D2770" t="inlineStr">
        <is>
          <t>P203</t>
        </is>
      </c>
      <c r="E2770" t="n">
        <v>1</v>
      </c>
      <c r="F2770" t="n">
        <v>19.5</v>
      </c>
      <c r="G2770" t="n">
        <v>0.1</v>
      </c>
      <c r="H2770">
        <f>E2770*F2770*(1-G2770)</f>
        <v/>
      </c>
      <c r="I2770">
        <f>XLOOKUP(D2770,Products!$A$2:$A$15,Products!$B$2:$B$15,"Not found")</f>
        <v/>
      </c>
    </row>
    <row r="2771">
      <c r="A2771" t="n">
        <v>107090</v>
      </c>
      <c r="B2771" s="1" t="n">
        <v>45916</v>
      </c>
      <c r="C2771" t="inlineStr">
        <is>
          <t>S01</t>
        </is>
      </c>
      <c r="D2771" t="inlineStr">
        <is>
          <t>P203</t>
        </is>
      </c>
      <c r="E2771" t="n">
        <v>2</v>
      </c>
      <c r="F2771" t="n">
        <v>19.5</v>
      </c>
      <c r="G2771" t="n">
        <v>0.1</v>
      </c>
      <c r="H2771">
        <f>E2771*F2771*(1-G2771)</f>
        <v/>
      </c>
      <c r="I2771">
        <f>XLOOKUP(D2771,Products!$A$2:$A$15,Products!$B$2:$B$15,"Not found")</f>
        <v/>
      </c>
    </row>
    <row r="2772">
      <c r="A2772" t="n">
        <v>107091</v>
      </c>
      <c r="B2772" s="1" t="n">
        <v>45916</v>
      </c>
      <c r="C2772" t="inlineStr">
        <is>
          <t>S01</t>
        </is>
      </c>
      <c r="D2772" t="inlineStr">
        <is>
          <t>P101</t>
        </is>
      </c>
      <c r="E2772" t="n">
        <v>1</v>
      </c>
      <c r="F2772" t="n">
        <v>39</v>
      </c>
      <c r="G2772" t="n">
        <v>0.15</v>
      </c>
      <c r="H2772">
        <f>E2772*F2772*(1-G2772)</f>
        <v/>
      </c>
      <c r="I2772">
        <f>XLOOKUP(D2772,Products!$A$2:$A$15,Products!$B$2:$B$15,"Not found")</f>
        <v/>
      </c>
    </row>
    <row r="2773">
      <c r="A2773" t="n">
        <v>107092</v>
      </c>
      <c r="B2773" s="1" t="n">
        <v>45916</v>
      </c>
      <c r="C2773" t="inlineStr">
        <is>
          <t>S02</t>
        </is>
      </c>
      <c r="D2773" t="inlineStr">
        <is>
          <t>P403</t>
        </is>
      </c>
      <c r="E2773" t="n">
        <v>1</v>
      </c>
      <c r="F2773" t="n">
        <v>89</v>
      </c>
      <c r="G2773" t="n">
        <v>0.15</v>
      </c>
      <c r="H2773">
        <f>E2773*F2773*(1-G2773)</f>
        <v/>
      </c>
      <c r="I2773">
        <f>XLOOKUP(D2773,Products!$A$2:$A$15,Products!$B$2:$B$15,"Not found")</f>
        <v/>
      </c>
    </row>
    <row r="2774">
      <c r="A2774" t="n">
        <v>107093</v>
      </c>
      <c r="B2774" s="1" t="n">
        <v>45916</v>
      </c>
      <c r="C2774" t="inlineStr">
        <is>
          <t>S03</t>
        </is>
      </c>
      <c r="D2774" t="inlineStr">
        <is>
          <t>P101</t>
        </is>
      </c>
      <c r="E2774" t="n">
        <v>3</v>
      </c>
      <c r="F2774" t="n">
        <v>39</v>
      </c>
      <c r="G2774" t="n">
        <v>0</v>
      </c>
      <c r="H2774">
        <f>E2774*F2774*(1-G2774)</f>
        <v/>
      </c>
      <c r="I2774">
        <f>XLOOKUP(D2774,Products!$A$2:$A$15,Products!$B$2:$B$15,"Not found")</f>
        <v/>
      </c>
    </row>
    <row r="2775">
      <c r="A2775" t="n">
        <v>107094</v>
      </c>
      <c r="B2775" s="1" t="n">
        <v>45916</v>
      </c>
      <c r="C2775" t="inlineStr">
        <is>
          <t>S03</t>
        </is>
      </c>
      <c r="D2775" t="inlineStr">
        <is>
          <t>P201</t>
        </is>
      </c>
      <c r="E2775" t="n">
        <v>1</v>
      </c>
      <c r="F2775" t="n">
        <v>149</v>
      </c>
      <c r="G2775" t="n">
        <v>0</v>
      </c>
      <c r="H2775">
        <f>E2775*F2775*(1-G2775)</f>
        <v/>
      </c>
      <c r="I2775">
        <f>XLOOKUP(D2775,Products!$A$2:$A$15,Products!$B$2:$B$15,"Not found")</f>
        <v/>
      </c>
    </row>
    <row r="2776">
      <c r="A2776" t="n">
        <v>107095</v>
      </c>
      <c r="B2776" s="1" t="n">
        <v>45916</v>
      </c>
      <c r="C2776" t="inlineStr">
        <is>
          <t>S04</t>
        </is>
      </c>
      <c r="D2776" t="inlineStr">
        <is>
          <t>P103</t>
        </is>
      </c>
      <c r="E2776" t="n">
        <v>1</v>
      </c>
      <c r="F2776" t="n">
        <v>29</v>
      </c>
      <c r="G2776" t="n">
        <v>0.2</v>
      </c>
      <c r="H2776">
        <f>E2776*F2776*(1-G2776)</f>
        <v/>
      </c>
      <c r="I2776">
        <f>XLOOKUP(D2776,Products!$A$2:$A$15,Products!$B$2:$B$15,"Not found")</f>
        <v/>
      </c>
    </row>
    <row r="2777">
      <c r="A2777" t="n">
        <v>107096</v>
      </c>
      <c r="B2777" s="1" t="n">
        <v>45916</v>
      </c>
      <c r="C2777" t="inlineStr">
        <is>
          <t>S04</t>
        </is>
      </c>
      <c r="D2777" t="inlineStr">
        <is>
          <t>P103</t>
        </is>
      </c>
      <c r="E2777" t="n">
        <v>1</v>
      </c>
      <c r="F2777" t="n">
        <v>29</v>
      </c>
      <c r="G2777" t="n">
        <v>0</v>
      </c>
      <c r="H2777">
        <f>E2777*F2777*(1-G2777)</f>
        <v/>
      </c>
      <c r="I2777">
        <f>XLOOKUP(D2777,Products!$A$2:$A$15,Products!$B$2:$B$15,"Not found")</f>
        <v/>
      </c>
    </row>
    <row r="2778">
      <c r="A2778" t="n">
        <v>107097</v>
      </c>
      <c r="B2778" s="1" t="n">
        <v>45916</v>
      </c>
      <c r="C2778" t="inlineStr">
        <is>
          <t>S04</t>
        </is>
      </c>
      <c r="D2778" t="inlineStr">
        <is>
          <t>P203</t>
        </is>
      </c>
      <c r="E2778" t="n">
        <v>1</v>
      </c>
      <c r="F2778" t="n">
        <v>19.5</v>
      </c>
      <c r="G2778" t="n">
        <v>0.15</v>
      </c>
      <c r="H2778">
        <f>E2778*F2778*(1-G2778)</f>
        <v/>
      </c>
      <c r="I2778">
        <f>XLOOKUP(D2778,Products!$A$2:$A$15,Products!$B$2:$B$15,"Not found")</f>
        <v/>
      </c>
    </row>
    <row r="2779">
      <c r="A2779" t="n">
        <v>107098</v>
      </c>
      <c r="B2779" s="1" t="n">
        <v>45916</v>
      </c>
      <c r="C2779" t="inlineStr">
        <is>
          <t>S05</t>
        </is>
      </c>
      <c r="D2779" t="inlineStr">
        <is>
          <t>P303</t>
        </is>
      </c>
      <c r="E2779" t="n">
        <v>1</v>
      </c>
      <c r="F2779" t="n">
        <v>12</v>
      </c>
      <c r="G2779" t="n">
        <v>0</v>
      </c>
      <c r="H2779">
        <f>E2779*F2779*(1-G2779)</f>
        <v/>
      </c>
      <c r="I2779">
        <f>XLOOKUP(D2779,Products!$A$2:$A$15,Products!$B$2:$B$15,"Not found")</f>
        <v/>
      </c>
    </row>
    <row r="2780">
      <c r="A2780" t="n">
        <v>107099</v>
      </c>
      <c r="B2780" s="1" t="n">
        <v>45917</v>
      </c>
      <c r="C2780" t="inlineStr">
        <is>
          <t>S01</t>
        </is>
      </c>
      <c r="D2780" t="inlineStr">
        <is>
          <t>P303</t>
        </is>
      </c>
      <c r="E2780" t="n">
        <v>1</v>
      </c>
      <c r="F2780" t="n">
        <v>12</v>
      </c>
      <c r="G2780" t="n">
        <v>0.2</v>
      </c>
      <c r="H2780">
        <f>E2780*F2780*(1-G2780)</f>
        <v/>
      </c>
      <c r="I2780">
        <f>XLOOKUP(D2780,Products!$A$2:$A$15,Products!$B$2:$B$15,"Not found")</f>
        <v/>
      </c>
    </row>
    <row r="2781">
      <c r="A2781" t="n">
        <v>107100</v>
      </c>
      <c r="B2781" s="1" t="n">
        <v>45917</v>
      </c>
      <c r="C2781" t="inlineStr">
        <is>
          <t>S02</t>
        </is>
      </c>
      <c r="D2781" t="inlineStr">
        <is>
          <t>P203</t>
        </is>
      </c>
      <c r="E2781" t="n">
        <v>4</v>
      </c>
      <c r="F2781" t="n">
        <v>19.5</v>
      </c>
      <c r="G2781" t="n">
        <v>0.15</v>
      </c>
      <c r="H2781">
        <f>E2781*F2781*(1-G2781)</f>
        <v/>
      </c>
      <c r="I2781">
        <f>XLOOKUP(D2781,Products!$A$2:$A$15,Products!$B$2:$B$15,"Not found")</f>
        <v/>
      </c>
    </row>
    <row r="2782">
      <c r="A2782" t="n">
        <v>107101</v>
      </c>
      <c r="B2782" s="1" t="n">
        <v>45917</v>
      </c>
      <c r="C2782" t="inlineStr">
        <is>
          <t>S03</t>
        </is>
      </c>
      <c r="D2782" t="inlineStr">
        <is>
          <t>P202</t>
        </is>
      </c>
      <c r="E2782" t="n">
        <v>2</v>
      </c>
      <c r="F2782" t="n">
        <v>79</v>
      </c>
      <c r="G2782" t="n">
        <v>0.15</v>
      </c>
      <c r="H2782">
        <f>E2782*F2782*(1-G2782)</f>
        <v/>
      </c>
      <c r="I2782">
        <f>XLOOKUP(D2782,Products!$A$2:$A$15,Products!$B$2:$B$15,"Not found")</f>
        <v/>
      </c>
    </row>
    <row r="2783">
      <c r="A2783" t="n">
        <v>107102</v>
      </c>
      <c r="B2783" s="1" t="n">
        <v>45917</v>
      </c>
      <c r="C2783" t="inlineStr">
        <is>
          <t>S04</t>
        </is>
      </c>
      <c r="D2783" t="inlineStr">
        <is>
          <t>P102</t>
        </is>
      </c>
      <c r="E2783" t="n">
        <v>1</v>
      </c>
      <c r="F2783" t="n">
        <v>14.5</v>
      </c>
      <c r="G2783" t="n">
        <v>0</v>
      </c>
      <c r="H2783">
        <f>E2783*F2783*(1-G2783)</f>
        <v/>
      </c>
      <c r="I2783">
        <f>XLOOKUP(D2783,Products!$A$2:$A$15,Products!$B$2:$B$15,"Not found")</f>
        <v/>
      </c>
    </row>
    <row r="2784">
      <c r="A2784" t="n">
        <v>107103</v>
      </c>
      <c r="B2784" s="1" t="n">
        <v>45917</v>
      </c>
      <c r="C2784" t="inlineStr">
        <is>
          <t>S04</t>
        </is>
      </c>
      <c r="D2784" t="inlineStr">
        <is>
          <t>P104</t>
        </is>
      </c>
      <c r="E2784" t="n">
        <v>1</v>
      </c>
      <c r="F2784" t="n">
        <v>189</v>
      </c>
      <c r="G2784" t="n">
        <v>0.1</v>
      </c>
      <c r="H2784">
        <f>E2784*F2784*(1-G2784)</f>
        <v/>
      </c>
      <c r="I2784">
        <f>XLOOKUP(D2784,Products!$A$2:$A$15,Products!$B$2:$B$15,"Not found")</f>
        <v/>
      </c>
    </row>
    <row r="2785">
      <c r="A2785" t="n">
        <v>107104</v>
      </c>
      <c r="B2785" s="1" t="n">
        <v>45917</v>
      </c>
      <c r="C2785" t="inlineStr">
        <is>
          <t>S05</t>
        </is>
      </c>
      <c r="D2785" t="inlineStr">
        <is>
          <t>P102</t>
        </is>
      </c>
      <c r="E2785" t="n">
        <v>2</v>
      </c>
      <c r="F2785" t="n">
        <v>14.5</v>
      </c>
      <c r="G2785" t="n">
        <v>0</v>
      </c>
      <c r="H2785">
        <f>E2785*F2785*(1-G2785)</f>
        <v/>
      </c>
      <c r="I2785">
        <f>XLOOKUP(D2785,Products!$A$2:$A$15,Products!$B$2:$B$15,"Not found")</f>
        <v/>
      </c>
    </row>
    <row r="2786">
      <c r="A2786" t="n">
        <v>107105</v>
      </c>
      <c r="B2786" s="1" t="n">
        <v>45917</v>
      </c>
      <c r="C2786" t="inlineStr">
        <is>
          <t>S05</t>
        </is>
      </c>
      <c r="D2786" t="inlineStr">
        <is>
          <t>P102</t>
        </is>
      </c>
      <c r="E2786" t="n">
        <v>4</v>
      </c>
      <c r="F2786" t="n">
        <v>14.5</v>
      </c>
      <c r="G2786" t="n">
        <v>0.15</v>
      </c>
      <c r="H2786">
        <f>E2786*F2786*(1-G2786)</f>
        <v/>
      </c>
      <c r="I2786">
        <f>XLOOKUP(D2786,Products!$A$2:$A$15,Products!$B$2:$B$15,"Not found")</f>
        <v/>
      </c>
    </row>
    <row r="2787">
      <c r="A2787" t="n">
        <v>107106</v>
      </c>
      <c r="B2787" s="1" t="n">
        <v>45918</v>
      </c>
      <c r="C2787" t="inlineStr">
        <is>
          <t>S01</t>
        </is>
      </c>
      <c r="D2787" t="inlineStr">
        <is>
          <t>P403</t>
        </is>
      </c>
      <c r="E2787" t="n">
        <v>1</v>
      </c>
      <c r="F2787" t="n">
        <v>89</v>
      </c>
      <c r="G2787" t="n">
        <v>0</v>
      </c>
      <c r="H2787">
        <f>E2787*F2787*(1-G2787)</f>
        <v/>
      </c>
      <c r="I2787">
        <f>XLOOKUP(D2787,Products!$A$2:$A$15,Products!$B$2:$B$15,"Not found")</f>
        <v/>
      </c>
    </row>
    <row r="2788">
      <c r="A2788" t="n">
        <v>107107</v>
      </c>
      <c r="B2788" s="1" t="n">
        <v>45918</v>
      </c>
      <c r="C2788" t="inlineStr">
        <is>
          <t>S01</t>
        </is>
      </c>
      <c r="D2788" t="inlineStr">
        <is>
          <t>P103</t>
        </is>
      </c>
      <c r="E2788" t="n">
        <v>2</v>
      </c>
      <c r="F2788" t="n">
        <v>29</v>
      </c>
      <c r="G2788" t="n">
        <v>0.1</v>
      </c>
      <c r="H2788">
        <f>E2788*F2788*(1-G2788)</f>
        <v/>
      </c>
      <c r="I2788">
        <f>XLOOKUP(D2788,Products!$A$2:$A$15,Products!$B$2:$B$15,"Not found")</f>
        <v/>
      </c>
    </row>
    <row r="2789">
      <c r="A2789" t="n">
        <v>107108</v>
      </c>
      <c r="B2789" s="1" t="n">
        <v>45918</v>
      </c>
      <c r="C2789" t="inlineStr">
        <is>
          <t>S01</t>
        </is>
      </c>
      <c r="D2789" t="inlineStr">
        <is>
          <t>P403</t>
        </is>
      </c>
      <c r="E2789" t="n">
        <v>1</v>
      </c>
      <c r="F2789" t="n">
        <v>89</v>
      </c>
      <c r="G2789" t="n">
        <v>0</v>
      </c>
      <c r="H2789">
        <f>E2789*F2789*(1-G2789)</f>
        <v/>
      </c>
      <c r="I2789">
        <f>XLOOKUP(D2789,Products!$A$2:$A$15,Products!$B$2:$B$15,"Not found")</f>
        <v/>
      </c>
    </row>
    <row r="2790">
      <c r="A2790" t="n">
        <v>107109</v>
      </c>
      <c r="B2790" s="1" t="n">
        <v>45918</v>
      </c>
      <c r="C2790" t="inlineStr">
        <is>
          <t>S01</t>
        </is>
      </c>
      <c r="D2790" t="inlineStr">
        <is>
          <t>P101</t>
        </is>
      </c>
      <c r="E2790" t="n">
        <v>2</v>
      </c>
      <c r="F2790" t="n">
        <v>39</v>
      </c>
      <c r="G2790" t="n">
        <v>0.1</v>
      </c>
      <c r="H2790">
        <f>E2790*F2790*(1-G2790)</f>
        <v/>
      </c>
      <c r="I2790">
        <f>XLOOKUP(D2790,Products!$A$2:$A$15,Products!$B$2:$B$15,"Not found")</f>
        <v/>
      </c>
    </row>
    <row r="2791">
      <c r="A2791" t="n">
        <v>107110</v>
      </c>
      <c r="B2791" s="1" t="n">
        <v>45918</v>
      </c>
      <c r="C2791" t="inlineStr">
        <is>
          <t>S02</t>
        </is>
      </c>
      <c r="D2791" t="inlineStr">
        <is>
          <t>P301</t>
        </is>
      </c>
      <c r="E2791" t="n">
        <v>1</v>
      </c>
      <c r="F2791" t="n">
        <v>119</v>
      </c>
      <c r="G2791" t="n">
        <v>0.15</v>
      </c>
      <c r="H2791">
        <f>E2791*F2791*(1-G2791)</f>
        <v/>
      </c>
      <c r="I2791">
        <f>XLOOKUP(D2791,Products!$A$2:$A$15,Products!$B$2:$B$15,"Not found")</f>
        <v/>
      </c>
    </row>
    <row r="2792">
      <c r="A2792" t="n">
        <v>107111</v>
      </c>
      <c r="B2792" s="1" t="n">
        <v>45918</v>
      </c>
      <c r="C2792" t="inlineStr">
        <is>
          <t>S02</t>
        </is>
      </c>
      <c r="D2792" t="inlineStr">
        <is>
          <t>P101</t>
        </is>
      </c>
      <c r="E2792" t="n">
        <v>3</v>
      </c>
      <c r="F2792" t="n">
        <v>39</v>
      </c>
      <c r="G2792" t="n">
        <v>0.15</v>
      </c>
      <c r="H2792">
        <f>E2792*F2792*(1-G2792)</f>
        <v/>
      </c>
      <c r="I2792">
        <f>XLOOKUP(D2792,Products!$A$2:$A$15,Products!$B$2:$B$15,"Not found")</f>
        <v/>
      </c>
    </row>
    <row r="2793">
      <c r="A2793" t="n">
        <v>107112</v>
      </c>
      <c r="B2793" s="1" t="n">
        <v>45918</v>
      </c>
      <c r="C2793" t="inlineStr">
        <is>
          <t>S03</t>
        </is>
      </c>
      <c r="D2793" t="inlineStr">
        <is>
          <t>P102</t>
        </is>
      </c>
      <c r="E2793" t="n">
        <v>2</v>
      </c>
      <c r="F2793" t="n">
        <v>14.5</v>
      </c>
      <c r="G2793" t="n">
        <v>0</v>
      </c>
      <c r="H2793">
        <f>E2793*F2793*(1-G2793)</f>
        <v/>
      </c>
      <c r="I2793">
        <f>XLOOKUP(D2793,Products!$A$2:$A$15,Products!$B$2:$B$15,"Not found")</f>
        <v/>
      </c>
    </row>
    <row r="2794">
      <c r="A2794" t="n">
        <v>107113</v>
      </c>
      <c r="B2794" s="1" t="n">
        <v>45918</v>
      </c>
      <c r="C2794" t="inlineStr">
        <is>
          <t>S04</t>
        </is>
      </c>
      <c r="D2794" t="inlineStr">
        <is>
          <t>P303</t>
        </is>
      </c>
      <c r="E2794" t="n">
        <v>1</v>
      </c>
      <c r="F2794" t="n">
        <v>12</v>
      </c>
      <c r="G2794" t="n">
        <v>0.15</v>
      </c>
      <c r="H2794">
        <f>E2794*F2794*(1-G2794)</f>
        <v/>
      </c>
      <c r="I2794">
        <f>XLOOKUP(D2794,Products!$A$2:$A$15,Products!$B$2:$B$15,"Not found")</f>
        <v/>
      </c>
    </row>
    <row r="2795">
      <c r="A2795" t="n">
        <v>107114</v>
      </c>
      <c r="B2795" s="1" t="n">
        <v>45918</v>
      </c>
      <c r="C2795" t="inlineStr">
        <is>
          <t>S04</t>
        </is>
      </c>
      <c r="D2795" t="inlineStr">
        <is>
          <t>P104</t>
        </is>
      </c>
      <c r="E2795" t="n">
        <v>1</v>
      </c>
      <c r="F2795" t="n">
        <v>189</v>
      </c>
      <c r="G2795" t="n">
        <v>0.1</v>
      </c>
      <c r="H2795">
        <f>E2795*F2795*(1-G2795)</f>
        <v/>
      </c>
      <c r="I2795">
        <f>XLOOKUP(D2795,Products!$A$2:$A$15,Products!$B$2:$B$15,"Not found")</f>
        <v/>
      </c>
    </row>
    <row r="2796">
      <c r="A2796" t="n">
        <v>107115</v>
      </c>
      <c r="B2796" s="1" t="n">
        <v>45918</v>
      </c>
      <c r="C2796" t="inlineStr">
        <is>
          <t>S05</t>
        </is>
      </c>
      <c r="D2796" t="inlineStr">
        <is>
          <t>P303</t>
        </is>
      </c>
      <c r="E2796" t="n">
        <v>4</v>
      </c>
      <c r="F2796" t="n">
        <v>12</v>
      </c>
      <c r="G2796" t="n">
        <v>0.2</v>
      </c>
      <c r="H2796">
        <f>E2796*F2796*(1-G2796)</f>
        <v/>
      </c>
      <c r="I2796">
        <f>XLOOKUP(D2796,Products!$A$2:$A$15,Products!$B$2:$B$15,"Not found")</f>
        <v/>
      </c>
    </row>
    <row r="2797">
      <c r="A2797" t="n">
        <v>107116</v>
      </c>
      <c r="B2797" s="1" t="n">
        <v>45919</v>
      </c>
      <c r="C2797" t="inlineStr">
        <is>
          <t>S01</t>
        </is>
      </c>
      <c r="D2797" t="inlineStr">
        <is>
          <t>P403</t>
        </is>
      </c>
      <c r="E2797" t="n">
        <v>1</v>
      </c>
      <c r="F2797" t="n">
        <v>89</v>
      </c>
      <c r="G2797" t="n">
        <v>0</v>
      </c>
      <c r="H2797">
        <f>E2797*F2797*(1-G2797)</f>
        <v/>
      </c>
      <c r="I2797">
        <f>XLOOKUP(D2797,Products!$A$2:$A$15,Products!$B$2:$B$15,"Not found")</f>
        <v/>
      </c>
    </row>
    <row r="2798">
      <c r="A2798" t="n">
        <v>107117</v>
      </c>
      <c r="B2798" s="1" t="n">
        <v>45919</v>
      </c>
      <c r="C2798" t="inlineStr">
        <is>
          <t>S01</t>
        </is>
      </c>
      <c r="D2798" t="inlineStr">
        <is>
          <t>P203</t>
        </is>
      </c>
      <c r="E2798" t="n">
        <v>2</v>
      </c>
      <c r="F2798" t="n">
        <v>19.5</v>
      </c>
      <c r="G2798" t="n">
        <v>0</v>
      </c>
      <c r="H2798">
        <f>E2798*F2798*(1-G2798)</f>
        <v/>
      </c>
      <c r="I2798">
        <f>XLOOKUP(D2798,Products!$A$2:$A$15,Products!$B$2:$B$15,"Not found")</f>
        <v/>
      </c>
    </row>
    <row r="2799">
      <c r="A2799" t="n">
        <v>107118</v>
      </c>
      <c r="B2799" s="1" t="n">
        <v>45919</v>
      </c>
      <c r="C2799" t="inlineStr">
        <is>
          <t>S01</t>
        </is>
      </c>
      <c r="D2799" t="inlineStr">
        <is>
          <t>P301</t>
        </is>
      </c>
      <c r="E2799" t="n">
        <v>1</v>
      </c>
      <c r="F2799" t="n">
        <v>119</v>
      </c>
      <c r="G2799" t="n">
        <v>0</v>
      </c>
      <c r="H2799">
        <f>E2799*F2799*(1-G2799)</f>
        <v/>
      </c>
      <c r="I2799">
        <f>XLOOKUP(D2799,Products!$A$2:$A$15,Products!$B$2:$B$15,"Not found")</f>
        <v/>
      </c>
    </row>
    <row r="2800">
      <c r="A2800" t="n">
        <v>107119</v>
      </c>
      <c r="B2800" s="1" t="n">
        <v>45919</v>
      </c>
      <c r="C2800" t="inlineStr">
        <is>
          <t>S01</t>
        </is>
      </c>
      <c r="D2800" t="inlineStr">
        <is>
          <t>P301</t>
        </is>
      </c>
      <c r="E2800" t="n">
        <v>1</v>
      </c>
      <c r="F2800" t="n">
        <v>119</v>
      </c>
      <c r="G2800" t="n">
        <v>0</v>
      </c>
      <c r="H2800">
        <f>E2800*F2800*(1-G2800)</f>
        <v/>
      </c>
      <c r="I2800">
        <f>XLOOKUP(D2800,Products!$A$2:$A$15,Products!$B$2:$B$15,"Not found")</f>
        <v/>
      </c>
    </row>
    <row r="2801">
      <c r="A2801" t="n">
        <v>107120</v>
      </c>
      <c r="B2801" s="1" t="n">
        <v>45919</v>
      </c>
      <c r="C2801" t="inlineStr">
        <is>
          <t>S02</t>
        </is>
      </c>
      <c r="D2801" t="inlineStr">
        <is>
          <t>P102</t>
        </is>
      </c>
      <c r="E2801" t="n">
        <v>1</v>
      </c>
      <c r="F2801" t="n">
        <v>14.5</v>
      </c>
      <c r="G2801" t="n">
        <v>0.15</v>
      </c>
      <c r="H2801">
        <f>E2801*F2801*(1-G2801)</f>
        <v/>
      </c>
      <c r="I2801">
        <f>XLOOKUP(D2801,Products!$A$2:$A$15,Products!$B$2:$B$15,"Not found")</f>
        <v/>
      </c>
    </row>
    <row r="2802">
      <c r="A2802" t="n">
        <v>107121</v>
      </c>
      <c r="B2802" s="1" t="n">
        <v>45919</v>
      </c>
      <c r="C2802" t="inlineStr">
        <is>
          <t>S02</t>
        </is>
      </c>
      <c r="D2802" t="inlineStr">
        <is>
          <t>P302</t>
        </is>
      </c>
      <c r="E2802" t="n">
        <v>1</v>
      </c>
      <c r="F2802" t="n">
        <v>24</v>
      </c>
      <c r="G2802" t="n">
        <v>0</v>
      </c>
      <c r="H2802">
        <f>E2802*F2802*(1-G2802)</f>
        <v/>
      </c>
      <c r="I2802">
        <f>XLOOKUP(D2802,Products!$A$2:$A$15,Products!$B$2:$B$15,"Not found")</f>
        <v/>
      </c>
    </row>
    <row r="2803">
      <c r="A2803" t="n">
        <v>107122</v>
      </c>
      <c r="B2803" s="1" t="n">
        <v>45919</v>
      </c>
      <c r="C2803" t="inlineStr">
        <is>
          <t>S02</t>
        </is>
      </c>
      <c r="D2803" t="inlineStr">
        <is>
          <t>P403</t>
        </is>
      </c>
      <c r="E2803" t="n">
        <v>3</v>
      </c>
      <c r="F2803" t="n">
        <v>89</v>
      </c>
      <c r="G2803" t="n">
        <v>0</v>
      </c>
      <c r="H2803">
        <f>E2803*F2803*(1-G2803)</f>
        <v/>
      </c>
      <c r="I2803">
        <f>XLOOKUP(D2803,Products!$A$2:$A$15,Products!$B$2:$B$15,"Not found")</f>
        <v/>
      </c>
    </row>
    <row r="2804">
      <c r="A2804" t="n">
        <v>107123</v>
      </c>
      <c r="B2804" s="1" t="n">
        <v>45919</v>
      </c>
      <c r="C2804" t="inlineStr">
        <is>
          <t>S03</t>
        </is>
      </c>
      <c r="D2804" t="inlineStr">
        <is>
          <t>P102</t>
        </is>
      </c>
      <c r="E2804" t="n">
        <v>1</v>
      </c>
      <c r="F2804" t="n">
        <v>14.5</v>
      </c>
      <c r="G2804" t="n">
        <v>0</v>
      </c>
      <c r="H2804">
        <f>E2804*F2804*(1-G2804)</f>
        <v/>
      </c>
      <c r="I2804">
        <f>XLOOKUP(D2804,Products!$A$2:$A$15,Products!$B$2:$B$15,"Not found")</f>
        <v/>
      </c>
    </row>
    <row r="2805">
      <c r="A2805" t="n">
        <v>107124</v>
      </c>
      <c r="B2805" s="1" t="n">
        <v>45919</v>
      </c>
      <c r="C2805" t="inlineStr">
        <is>
          <t>S04</t>
        </is>
      </c>
      <c r="D2805" t="inlineStr">
        <is>
          <t>P303</t>
        </is>
      </c>
      <c r="E2805" t="n">
        <v>1</v>
      </c>
      <c r="F2805" t="n">
        <v>12</v>
      </c>
      <c r="G2805" t="n">
        <v>0</v>
      </c>
      <c r="H2805">
        <f>E2805*F2805*(1-G2805)</f>
        <v/>
      </c>
      <c r="I2805">
        <f>XLOOKUP(D2805,Products!$A$2:$A$15,Products!$B$2:$B$15,"Not found")</f>
        <v/>
      </c>
    </row>
    <row r="2806">
      <c r="A2806" t="n">
        <v>107125</v>
      </c>
      <c r="B2806" s="1" t="n">
        <v>45919</v>
      </c>
      <c r="C2806" t="inlineStr">
        <is>
          <t>S04</t>
        </is>
      </c>
      <c r="D2806" t="inlineStr">
        <is>
          <t>P401</t>
        </is>
      </c>
      <c r="E2806" t="n">
        <v>1</v>
      </c>
      <c r="F2806" t="n">
        <v>549</v>
      </c>
      <c r="G2806" t="n">
        <v>0</v>
      </c>
      <c r="H2806">
        <f>E2806*F2806*(1-G2806)</f>
        <v/>
      </c>
      <c r="I2806">
        <f>XLOOKUP(D2806,Products!$A$2:$A$15,Products!$B$2:$B$15,"Not found")</f>
        <v/>
      </c>
    </row>
    <row r="2807">
      <c r="A2807" t="n">
        <v>107126</v>
      </c>
      <c r="B2807" s="1" t="n">
        <v>45919</v>
      </c>
      <c r="C2807" t="inlineStr">
        <is>
          <t>S04</t>
        </is>
      </c>
      <c r="D2807" t="inlineStr">
        <is>
          <t>P302</t>
        </is>
      </c>
      <c r="E2807" t="n">
        <v>2</v>
      </c>
      <c r="F2807" t="n">
        <v>24</v>
      </c>
      <c r="G2807" t="n">
        <v>0</v>
      </c>
      <c r="H2807">
        <f>E2807*F2807*(1-G2807)</f>
        <v/>
      </c>
      <c r="I2807">
        <f>XLOOKUP(D2807,Products!$A$2:$A$15,Products!$B$2:$B$15,"Not found")</f>
        <v/>
      </c>
    </row>
    <row r="2808">
      <c r="A2808" t="n">
        <v>107127</v>
      </c>
      <c r="B2808" s="1" t="n">
        <v>45919</v>
      </c>
      <c r="C2808" t="inlineStr">
        <is>
          <t>S05</t>
        </is>
      </c>
      <c r="D2808" t="inlineStr">
        <is>
          <t>P102</t>
        </is>
      </c>
      <c r="E2808" t="n">
        <v>1</v>
      </c>
      <c r="F2808" t="n">
        <v>14.5</v>
      </c>
      <c r="G2808" t="n">
        <v>0.15</v>
      </c>
      <c r="H2808">
        <f>E2808*F2808*(1-G2808)</f>
        <v/>
      </c>
      <c r="I2808">
        <f>XLOOKUP(D2808,Products!$A$2:$A$15,Products!$B$2:$B$15,"Not found")</f>
        <v/>
      </c>
    </row>
    <row r="2809">
      <c r="A2809" t="n">
        <v>107128</v>
      </c>
      <c r="B2809" s="1" t="n">
        <v>45919</v>
      </c>
      <c r="C2809" t="inlineStr">
        <is>
          <t>S05</t>
        </is>
      </c>
      <c r="D2809" t="inlineStr">
        <is>
          <t>P103</t>
        </is>
      </c>
      <c r="E2809" t="n">
        <v>4</v>
      </c>
      <c r="F2809" t="n">
        <v>29</v>
      </c>
      <c r="G2809" t="n">
        <v>0</v>
      </c>
      <c r="H2809">
        <f>E2809*F2809*(1-G2809)</f>
        <v/>
      </c>
      <c r="I2809">
        <f>XLOOKUP(D2809,Products!$A$2:$A$15,Products!$B$2:$B$15,"Not found")</f>
        <v/>
      </c>
    </row>
    <row r="2810">
      <c r="A2810" t="n">
        <v>107129</v>
      </c>
      <c r="B2810" s="1" t="n">
        <v>45919</v>
      </c>
      <c r="C2810" t="inlineStr">
        <is>
          <t>S06</t>
        </is>
      </c>
      <c r="D2810" t="inlineStr">
        <is>
          <t>P101</t>
        </is>
      </c>
      <c r="E2810" t="n">
        <v>3</v>
      </c>
      <c r="F2810" t="n">
        <v>39</v>
      </c>
      <c r="G2810" t="n">
        <v>0.1</v>
      </c>
      <c r="H2810">
        <f>E2810*F2810*(1-G2810)</f>
        <v/>
      </c>
      <c r="I2810">
        <f>XLOOKUP(D2810,Products!$A$2:$A$15,Products!$B$2:$B$15,"Not found")</f>
        <v/>
      </c>
    </row>
    <row r="2811">
      <c r="A2811" t="n">
        <v>107130</v>
      </c>
      <c r="B2811" s="1" t="n">
        <v>45919</v>
      </c>
      <c r="C2811" t="inlineStr">
        <is>
          <t>S06</t>
        </is>
      </c>
      <c r="D2811" t="inlineStr">
        <is>
          <t>P101</t>
        </is>
      </c>
      <c r="E2811" t="n">
        <v>1</v>
      </c>
      <c r="F2811" t="n">
        <v>39</v>
      </c>
      <c r="G2811" t="n">
        <v>0.15</v>
      </c>
      <c r="H2811">
        <f>E2811*F2811*(1-G2811)</f>
        <v/>
      </c>
      <c r="I2811">
        <f>XLOOKUP(D2811,Products!$A$2:$A$15,Products!$B$2:$B$15,"Not found")</f>
        <v/>
      </c>
    </row>
    <row r="2812">
      <c r="A2812" t="n">
        <v>107131</v>
      </c>
      <c r="B2812" s="1" t="n">
        <v>45919</v>
      </c>
      <c r="C2812" t="inlineStr">
        <is>
          <t>S06</t>
        </is>
      </c>
      <c r="D2812" t="inlineStr">
        <is>
          <t>P401</t>
        </is>
      </c>
      <c r="E2812" t="n">
        <v>1</v>
      </c>
      <c r="F2812" t="n">
        <v>549</v>
      </c>
      <c r="G2812" t="n">
        <v>0</v>
      </c>
      <c r="H2812">
        <f>E2812*F2812*(1-G2812)</f>
        <v/>
      </c>
      <c r="I2812">
        <f>XLOOKUP(D2812,Products!$A$2:$A$15,Products!$B$2:$B$15,"Not found")</f>
        <v/>
      </c>
    </row>
    <row r="2813">
      <c r="A2813" t="n">
        <v>107132</v>
      </c>
      <c r="B2813" s="1" t="n">
        <v>45920</v>
      </c>
      <c r="C2813" t="inlineStr">
        <is>
          <t>S01</t>
        </is>
      </c>
      <c r="D2813" t="inlineStr">
        <is>
          <t>P203</t>
        </is>
      </c>
      <c r="E2813" t="n">
        <v>1</v>
      </c>
      <c r="F2813" t="n">
        <v>19.5</v>
      </c>
      <c r="G2813" t="n">
        <v>0.2</v>
      </c>
      <c r="H2813">
        <f>E2813*F2813*(1-G2813)</f>
        <v/>
      </c>
      <c r="I2813">
        <f>XLOOKUP(D2813,Products!$A$2:$A$15,Products!$B$2:$B$15,"Not found")</f>
        <v/>
      </c>
    </row>
    <row r="2814">
      <c r="A2814" t="n">
        <v>107133</v>
      </c>
      <c r="B2814" s="1" t="n">
        <v>45920</v>
      </c>
      <c r="C2814" t="inlineStr">
        <is>
          <t>S01</t>
        </is>
      </c>
      <c r="D2814" t="inlineStr">
        <is>
          <t>P201</t>
        </is>
      </c>
      <c r="E2814" t="n">
        <v>1</v>
      </c>
      <c r="F2814" t="n">
        <v>149</v>
      </c>
      <c r="G2814" t="n">
        <v>0.1</v>
      </c>
      <c r="H2814">
        <f>E2814*F2814*(1-G2814)</f>
        <v/>
      </c>
      <c r="I2814">
        <f>XLOOKUP(D2814,Products!$A$2:$A$15,Products!$B$2:$B$15,"Not found")</f>
        <v/>
      </c>
    </row>
    <row r="2815">
      <c r="A2815" t="n">
        <v>107134</v>
      </c>
      <c r="B2815" s="1" t="n">
        <v>45920</v>
      </c>
      <c r="C2815" t="inlineStr">
        <is>
          <t>S01</t>
        </is>
      </c>
      <c r="D2815" t="inlineStr">
        <is>
          <t>P101</t>
        </is>
      </c>
      <c r="E2815" t="n">
        <v>4</v>
      </c>
      <c r="F2815" t="n">
        <v>39</v>
      </c>
      <c r="G2815" t="n">
        <v>0</v>
      </c>
      <c r="H2815">
        <f>E2815*F2815*(1-G2815)</f>
        <v/>
      </c>
      <c r="I2815">
        <f>XLOOKUP(D2815,Products!$A$2:$A$15,Products!$B$2:$B$15,"Not found")</f>
        <v/>
      </c>
    </row>
    <row r="2816">
      <c r="A2816" t="n">
        <v>107135</v>
      </c>
      <c r="B2816" s="1" t="n">
        <v>45920</v>
      </c>
      <c r="C2816" t="inlineStr">
        <is>
          <t>S01</t>
        </is>
      </c>
      <c r="D2816" t="inlineStr">
        <is>
          <t>P102</t>
        </is>
      </c>
      <c r="E2816" t="n">
        <v>1</v>
      </c>
      <c r="F2816" t="n">
        <v>14.5</v>
      </c>
      <c r="G2816" t="n">
        <v>0</v>
      </c>
      <c r="H2816">
        <f>E2816*F2816*(1-G2816)</f>
        <v/>
      </c>
      <c r="I2816">
        <f>XLOOKUP(D2816,Products!$A$2:$A$15,Products!$B$2:$B$15,"Not found")</f>
        <v/>
      </c>
    </row>
    <row r="2817">
      <c r="A2817" t="n">
        <v>107136</v>
      </c>
      <c r="B2817" s="1" t="n">
        <v>45920</v>
      </c>
      <c r="C2817" t="inlineStr">
        <is>
          <t>S02</t>
        </is>
      </c>
      <c r="D2817" t="inlineStr">
        <is>
          <t>P102</t>
        </is>
      </c>
      <c r="E2817" t="n">
        <v>1</v>
      </c>
      <c r="F2817" t="n">
        <v>14.5</v>
      </c>
      <c r="G2817" t="n">
        <v>0</v>
      </c>
      <c r="H2817">
        <f>E2817*F2817*(1-G2817)</f>
        <v/>
      </c>
      <c r="I2817">
        <f>XLOOKUP(D2817,Products!$A$2:$A$15,Products!$B$2:$B$15,"Not found")</f>
        <v/>
      </c>
    </row>
    <row r="2818">
      <c r="A2818" t="n">
        <v>107137</v>
      </c>
      <c r="B2818" s="1" t="n">
        <v>45920</v>
      </c>
      <c r="C2818" t="inlineStr">
        <is>
          <t>S02</t>
        </is>
      </c>
      <c r="D2818" t="inlineStr">
        <is>
          <t>P102</t>
        </is>
      </c>
      <c r="E2818" t="n">
        <v>3</v>
      </c>
      <c r="F2818" t="n">
        <v>14.5</v>
      </c>
      <c r="G2818" t="n">
        <v>0</v>
      </c>
      <c r="H2818">
        <f>E2818*F2818*(1-G2818)</f>
        <v/>
      </c>
      <c r="I2818">
        <f>XLOOKUP(D2818,Products!$A$2:$A$15,Products!$B$2:$B$15,"Not found")</f>
        <v/>
      </c>
    </row>
    <row r="2819">
      <c r="A2819" t="n">
        <v>107138</v>
      </c>
      <c r="B2819" s="1" t="n">
        <v>45920</v>
      </c>
      <c r="C2819" t="inlineStr">
        <is>
          <t>S02</t>
        </is>
      </c>
      <c r="D2819" t="inlineStr">
        <is>
          <t>P101</t>
        </is>
      </c>
      <c r="E2819" t="n">
        <v>1</v>
      </c>
      <c r="F2819" t="n">
        <v>39</v>
      </c>
      <c r="G2819" t="n">
        <v>0.15</v>
      </c>
      <c r="H2819">
        <f>E2819*F2819*(1-G2819)</f>
        <v/>
      </c>
      <c r="I2819">
        <f>XLOOKUP(D2819,Products!$A$2:$A$15,Products!$B$2:$B$15,"Not found")</f>
        <v/>
      </c>
    </row>
    <row r="2820">
      <c r="A2820" t="n">
        <v>107139</v>
      </c>
      <c r="B2820" s="1" t="n">
        <v>45920</v>
      </c>
      <c r="C2820" t="inlineStr">
        <is>
          <t>S03</t>
        </is>
      </c>
      <c r="D2820" t="inlineStr">
        <is>
          <t>P103</t>
        </is>
      </c>
      <c r="E2820" t="n">
        <v>4</v>
      </c>
      <c r="F2820" t="n">
        <v>29</v>
      </c>
      <c r="G2820" t="n">
        <v>0</v>
      </c>
      <c r="H2820">
        <f>E2820*F2820*(1-G2820)</f>
        <v/>
      </c>
      <c r="I2820">
        <f>XLOOKUP(D2820,Products!$A$2:$A$15,Products!$B$2:$B$15,"Not found")</f>
        <v/>
      </c>
    </row>
    <row r="2821">
      <c r="A2821" t="n">
        <v>107140</v>
      </c>
      <c r="B2821" s="1" t="n">
        <v>45920</v>
      </c>
      <c r="C2821" t="inlineStr">
        <is>
          <t>S03</t>
        </is>
      </c>
      <c r="D2821" t="inlineStr">
        <is>
          <t>P301</t>
        </is>
      </c>
      <c r="E2821" t="n">
        <v>1</v>
      </c>
      <c r="F2821" t="n">
        <v>119</v>
      </c>
      <c r="G2821" t="n">
        <v>0</v>
      </c>
      <c r="H2821">
        <f>E2821*F2821*(1-G2821)</f>
        <v/>
      </c>
      <c r="I2821">
        <f>XLOOKUP(D2821,Products!$A$2:$A$15,Products!$B$2:$B$15,"Not found")</f>
        <v/>
      </c>
    </row>
    <row r="2822">
      <c r="A2822" t="n">
        <v>107141</v>
      </c>
      <c r="B2822" s="1" t="n">
        <v>45920</v>
      </c>
      <c r="C2822" t="inlineStr">
        <is>
          <t>S04</t>
        </is>
      </c>
      <c r="D2822" t="inlineStr">
        <is>
          <t>P102</t>
        </is>
      </c>
      <c r="E2822" t="n">
        <v>1</v>
      </c>
      <c r="F2822" t="n">
        <v>14.5</v>
      </c>
      <c r="G2822" t="n">
        <v>0</v>
      </c>
      <c r="H2822">
        <f>E2822*F2822*(1-G2822)</f>
        <v/>
      </c>
      <c r="I2822">
        <f>XLOOKUP(D2822,Products!$A$2:$A$15,Products!$B$2:$B$15,"Not found")</f>
        <v/>
      </c>
    </row>
    <row r="2823">
      <c r="A2823" t="n">
        <v>107142</v>
      </c>
      <c r="B2823" s="1" t="n">
        <v>45920</v>
      </c>
      <c r="C2823" t="inlineStr">
        <is>
          <t>S04</t>
        </is>
      </c>
      <c r="D2823" t="inlineStr">
        <is>
          <t>P201</t>
        </is>
      </c>
      <c r="E2823" t="n">
        <v>1</v>
      </c>
      <c r="F2823" t="n">
        <v>149</v>
      </c>
      <c r="G2823" t="n">
        <v>0.15</v>
      </c>
      <c r="H2823">
        <f>E2823*F2823*(1-G2823)</f>
        <v/>
      </c>
      <c r="I2823">
        <f>XLOOKUP(D2823,Products!$A$2:$A$15,Products!$B$2:$B$15,"Not found")</f>
        <v/>
      </c>
    </row>
    <row r="2824">
      <c r="A2824" t="n">
        <v>107143</v>
      </c>
      <c r="B2824" s="1" t="n">
        <v>45920</v>
      </c>
      <c r="C2824" t="inlineStr">
        <is>
          <t>S04</t>
        </is>
      </c>
      <c r="D2824" t="inlineStr">
        <is>
          <t>P403</t>
        </is>
      </c>
      <c r="E2824" t="n">
        <v>1</v>
      </c>
      <c r="F2824" t="n">
        <v>89</v>
      </c>
      <c r="G2824" t="n">
        <v>0.15</v>
      </c>
      <c r="H2824">
        <f>E2824*F2824*(1-G2824)</f>
        <v/>
      </c>
      <c r="I2824">
        <f>XLOOKUP(D2824,Products!$A$2:$A$15,Products!$B$2:$B$15,"Not found")</f>
        <v/>
      </c>
    </row>
    <row r="2825">
      <c r="A2825" t="n">
        <v>107144</v>
      </c>
      <c r="B2825" s="1" t="n">
        <v>45920</v>
      </c>
      <c r="C2825" t="inlineStr">
        <is>
          <t>S04</t>
        </is>
      </c>
      <c r="D2825" t="inlineStr">
        <is>
          <t>P101</t>
        </is>
      </c>
      <c r="E2825" t="n">
        <v>4</v>
      </c>
      <c r="F2825" t="n">
        <v>39</v>
      </c>
      <c r="G2825" t="n">
        <v>0</v>
      </c>
      <c r="H2825">
        <f>E2825*F2825*(1-G2825)</f>
        <v/>
      </c>
      <c r="I2825">
        <f>XLOOKUP(D2825,Products!$A$2:$A$15,Products!$B$2:$B$15,"Not found")</f>
        <v/>
      </c>
    </row>
    <row r="2826">
      <c r="A2826" t="n">
        <v>107145</v>
      </c>
      <c r="B2826" s="1" t="n">
        <v>45920</v>
      </c>
      <c r="C2826" t="inlineStr">
        <is>
          <t>S05</t>
        </is>
      </c>
      <c r="D2826" t="inlineStr">
        <is>
          <t>P303</t>
        </is>
      </c>
      <c r="E2826" t="n">
        <v>2</v>
      </c>
      <c r="F2826" t="n">
        <v>12</v>
      </c>
      <c r="G2826" t="n">
        <v>0.15</v>
      </c>
      <c r="H2826">
        <f>E2826*F2826*(1-G2826)</f>
        <v/>
      </c>
      <c r="I2826">
        <f>XLOOKUP(D2826,Products!$A$2:$A$15,Products!$B$2:$B$15,"Not found")</f>
        <v/>
      </c>
    </row>
    <row r="2827">
      <c r="A2827" t="n">
        <v>107146</v>
      </c>
      <c r="B2827" s="1" t="n">
        <v>45920</v>
      </c>
      <c r="C2827" t="inlineStr">
        <is>
          <t>S06</t>
        </is>
      </c>
      <c r="D2827" t="inlineStr">
        <is>
          <t>P103</t>
        </is>
      </c>
      <c r="E2827" t="n">
        <v>1</v>
      </c>
      <c r="F2827" t="n">
        <v>29</v>
      </c>
      <c r="G2827" t="n">
        <v>0.2</v>
      </c>
      <c r="H2827">
        <f>E2827*F2827*(1-G2827)</f>
        <v/>
      </c>
      <c r="I2827">
        <f>XLOOKUP(D2827,Products!$A$2:$A$15,Products!$B$2:$B$15,"Not found")</f>
        <v/>
      </c>
    </row>
    <row r="2828">
      <c r="A2828" t="n">
        <v>107147</v>
      </c>
      <c r="B2828" s="1" t="n">
        <v>45921</v>
      </c>
      <c r="C2828" t="inlineStr">
        <is>
          <t>S01</t>
        </is>
      </c>
      <c r="D2828" t="inlineStr">
        <is>
          <t>P102</t>
        </is>
      </c>
      <c r="E2828" t="n">
        <v>3</v>
      </c>
      <c r="F2828" t="n">
        <v>14.5</v>
      </c>
      <c r="G2828" t="n">
        <v>0</v>
      </c>
      <c r="H2828">
        <f>E2828*F2828*(1-G2828)</f>
        <v/>
      </c>
      <c r="I2828">
        <f>XLOOKUP(D2828,Products!$A$2:$A$15,Products!$B$2:$B$15,"Not found")</f>
        <v/>
      </c>
    </row>
    <row r="2829">
      <c r="A2829" t="n">
        <v>107148</v>
      </c>
      <c r="B2829" s="1" t="n">
        <v>45921</v>
      </c>
      <c r="C2829" t="inlineStr">
        <is>
          <t>S01</t>
        </is>
      </c>
      <c r="D2829" t="inlineStr">
        <is>
          <t>P203</t>
        </is>
      </c>
      <c r="E2829" t="n">
        <v>1</v>
      </c>
      <c r="F2829" t="n">
        <v>19.5</v>
      </c>
      <c r="G2829" t="n">
        <v>0.1</v>
      </c>
      <c r="H2829">
        <f>E2829*F2829*(1-G2829)</f>
        <v/>
      </c>
      <c r="I2829">
        <f>XLOOKUP(D2829,Products!$A$2:$A$15,Products!$B$2:$B$15,"Not found")</f>
        <v/>
      </c>
    </row>
    <row r="2830">
      <c r="A2830" t="n">
        <v>107149</v>
      </c>
      <c r="B2830" s="1" t="n">
        <v>45921</v>
      </c>
      <c r="C2830" t="inlineStr">
        <is>
          <t>S01</t>
        </is>
      </c>
      <c r="D2830" t="inlineStr">
        <is>
          <t>P203</t>
        </is>
      </c>
      <c r="E2830" t="n">
        <v>1</v>
      </c>
      <c r="F2830" t="n">
        <v>19.5</v>
      </c>
      <c r="G2830" t="n">
        <v>0.1</v>
      </c>
      <c r="H2830">
        <f>E2830*F2830*(1-G2830)</f>
        <v/>
      </c>
      <c r="I2830">
        <f>XLOOKUP(D2830,Products!$A$2:$A$15,Products!$B$2:$B$15,"Not found")</f>
        <v/>
      </c>
    </row>
    <row r="2831">
      <c r="A2831" t="n">
        <v>107150</v>
      </c>
      <c r="B2831" s="1" t="n">
        <v>45921</v>
      </c>
      <c r="C2831" t="inlineStr">
        <is>
          <t>S02</t>
        </is>
      </c>
      <c r="D2831" t="inlineStr">
        <is>
          <t>P203</t>
        </is>
      </c>
      <c r="E2831" t="n">
        <v>2</v>
      </c>
      <c r="F2831" t="n">
        <v>19.5</v>
      </c>
      <c r="G2831" t="n">
        <v>0.2</v>
      </c>
      <c r="H2831">
        <f>E2831*F2831*(1-G2831)</f>
        <v/>
      </c>
      <c r="I2831">
        <f>XLOOKUP(D2831,Products!$A$2:$A$15,Products!$B$2:$B$15,"Not found")</f>
        <v/>
      </c>
    </row>
    <row r="2832">
      <c r="A2832" t="n">
        <v>107151</v>
      </c>
      <c r="B2832" s="1" t="n">
        <v>45921</v>
      </c>
      <c r="C2832" t="inlineStr">
        <is>
          <t>S02</t>
        </is>
      </c>
      <c r="D2832" t="inlineStr">
        <is>
          <t>P104</t>
        </is>
      </c>
      <c r="E2832" t="n">
        <v>1</v>
      </c>
      <c r="F2832" t="n">
        <v>189</v>
      </c>
      <c r="G2832" t="n">
        <v>0</v>
      </c>
      <c r="H2832">
        <f>E2832*F2832*(1-G2832)</f>
        <v/>
      </c>
      <c r="I2832">
        <f>XLOOKUP(D2832,Products!$A$2:$A$15,Products!$B$2:$B$15,"Not found")</f>
        <v/>
      </c>
    </row>
    <row r="2833">
      <c r="A2833" t="n">
        <v>107152</v>
      </c>
      <c r="B2833" s="1" t="n">
        <v>45921</v>
      </c>
      <c r="C2833" t="inlineStr">
        <is>
          <t>S03</t>
        </is>
      </c>
      <c r="D2833" t="inlineStr">
        <is>
          <t>P103</t>
        </is>
      </c>
      <c r="E2833" t="n">
        <v>2</v>
      </c>
      <c r="F2833" t="n">
        <v>29</v>
      </c>
      <c r="G2833" t="n">
        <v>0.15</v>
      </c>
      <c r="H2833">
        <f>E2833*F2833*(1-G2833)</f>
        <v/>
      </c>
      <c r="I2833">
        <f>XLOOKUP(D2833,Products!$A$2:$A$15,Products!$B$2:$B$15,"Not found")</f>
        <v/>
      </c>
    </row>
    <row r="2834">
      <c r="A2834" t="n">
        <v>107153</v>
      </c>
      <c r="B2834" s="1" t="n">
        <v>45921</v>
      </c>
      <c r="C2834" t="inlineStr">
        <is>
          <t>S03</t>
        </is>
      </c>
      <c r="D2834" t="inlineStr">
        <is>
          <t>P101</t>
        </is>
      </c>
      <c r="E2834" t="n">
        <v>2</v>
      </c>
      <c r="F2834" t="n">
        <v>39</v>
      </c>
      <c r="G2834" t="n">
        <v>0</v>
      </c>
      <c r="H2834">
        <f>E2834*F2834*(1-G2834)</f>
        <v/>
      </c>
      <c r="I2834">
        <f>XLOOKUP(D2834,Products!$A$2:$A$15,Products!$B$2:$B$15,"Not found")</f>
        <v/>
      </c>
    </row>
    <row r="2835">
      <c r="A2835" t="n">
        <v>107154</v>
      </c>
      <c r="B2835" s="1" t="n">
        <v>45921</v>
      </c>
      <c r="C2835" t="inlineStr">
        <is>
          <t>S04</t>
        </is>
      </c>
      <c r="D2835" t="inlineStr">
        <is>
          <t>P102</t>
        </is>
      </c>
      <c r="E2835" t="n">
        <v>1</v>
      </c>
      <c r="F2835" t="n">
        <v>14.5</v>
      </c>
      <c r="G2835" t="n">
        <v>0</v>
      </c>
      <c r="H2835">
        <f>E2835*F2835*(1-G2835)</f>
        <v/>
      </c>
      <c r="I2835">
        <f>XLOOKUP(D2835,Products!$A$2:$A$15,Products!$B$2:$B$15,"Not found")</f>
        <v/>
      </c>
    </row>
    <row r="2836">
      <c r="A2836" t="n">
        <v>107155</v>
      </c>
      <c r="B2836" s="1" t="n">
        <v>45921</v>
      </c>
      <c r="C2836" t="inlineStr">
        <is>
          <t>S04</t>
        </is>
      </c>
      <c r="D2836" t="inlineStr">
        <is>
          <t>P102</t>
        </is>
      </c>
      <c r="E2836" t="n">
        <v>2</v>
      </c>
      <c r="F2836" t="n">
        <v>14.5</v>
      </c>
      <c r="G2836" t="n">
        <v>0</v>
      </c>
      <c r="H2836">
        <f>E2836*F2836*(1-G2836)</f>
        <v/>
      </c>
      <c r="I2836">
        <f>XLOOKUP(D2836,Products!$A$2:$A$15,Products!$B$2:$B$15,"Not found")</f>
        <v/>
      </c>
    </row>
    <row r="2837">
      <c r="A2837" t="n">
        <v>107156</v>
      </c>
      <c r="B2837" s="1" t="n">
        <v>45921</v>
      </c>
      <c r="C2837" t="inlineStr">
        <is>
          <t>S04</t>
        </is>
      </c>
      <c r="D2837" t="inlineStr">
        <is>
          <t>P101</t>
        </is>
      </c>
      <c r="E2837" t="n">
        <v>2</v>
      </c>
      <c r="F2837" t="n">
        <v>39</v>
      </c>
      <c r="G2837" t="n">
        <v>0.2</v>
      </c>
      <c r="H2837">
        <f>E2837*F2837*(1-G2837)</f>
        <v/>
      </c>
      <c r="I2837">
        <f>XLOOKUP(D2837,Products!$A$2:$A$15,Products!$B$2:$B$15,"Not found")</f>
        <v/>
      </c>
    </row>
    <row r="2838">
      <c r="A2838" t="n">
        <v>107157</v>
      </c>
      <c r="B2838" s="1" t="n">
        <v>45921</v>
      </c>
      <c r="C2838" t="inlineStr">
        <is>
          <t>S04</t>
        </is>
      </c>
      <c r="D2838" t="inlineStr">
        <is>
          <t>P201</t>
        </is>
      </c>
      <c r="E2838" t="n">
        <v>1</v>
      </c>
      <c r="F2838" t="n">
        <v>149</v>
      </c>
      <c r="G2838" t="n">
        <v>0</v>
      </c>
      <c r="H2838">
        <f>E2838*F2838*(1-G2838)</f>
        <v/>
      </c>
      <c r="I2838">
        <f>XLOOKUP(D2838,Products!$A$2:$A$15,Products!$B$2:$B$15,"Not found")</f>
        <v/>
      </c>
    </row>
    <row r="2839">
      <c r="A2839" t="n">
        <v>107158</v>
      </c>
      <c r="B2839" s="1" t="n">
        <v>45921</v>
      </c>
      <c r="C2839" t="inlineStr">
        <is>
          <t>S04</t>
        </is>
      </c>
      <c r="D2839" t="inlineStr">
        <is>
          <t>P202</t>
        </is>
      </c>
      <c r="E2839" t="n">
        <v>1</v>
      </c>
      <c r="F2839" t="n">
        <v>79</v>
      </c>
      <c r="G2839" t="n">
        <v>0.2</v>
      </c>
      <c r="H2839">
        <f>E2839*F2839*(1-G2839)</f>
        <v/>
      </c>
      <c r="I2839">
        <f>XLOOKUP(D2839,Products!$A$2:$A$15,Products!$B$2:$B$15,"Not found")</f>
        <v/>
      </c>
    </row>
    <row r="2840">
      <c r="A2840" t="n">
        <v>107159</v>
      </c>
      <c r="B2840" s="1" t="n">
        <v>45921</v>
      </c>
      <c r="C2840" t="inlineStr">
        <is>
          <t>S05</t>
        </is>
      </c>
      <c r="D2840" t="inlineStr">
        <is>
          <t>P204</t>
        </is>
      </c>
      <c r="E2840" t="n">
        <v>1</v>
      </c>
      <c r="F2840" t="n">
        <v>229</v>
      </c>
      <c r="G2840" t="n">
        <v>0.2</v>
      </c>
      <c r="H2840">
        <f>E2840*F2840*(1-G2840)</f>
        <v/>
      </c>
      <c r="I2840">
        <f>XLOOKUP(D2840,Products!$A$2:$A$15,Products!$B$2:$B$15,"Not found")</f>
        <v/>
      </c>
    </row>
    <row r="2841">
      <c r="A2841" t="n">
        <v>107160</v>
      </c>
      <c r="B2841" s="1" t="n">
        <v>45921</v>
      </c>
      <c r="C2841" t="inlineStr">
        <is>
          <t>S05</t>
        </is>
      </c>
      <c r="D2841" t="inlineStr">
        <is>
          <t>P102</t>
        </is>
      </c>
      <c r="E2841" t="n">
        <v>3</v>
      </c>
      <c r="F2841" t="n">
        <v>14.5</v>
      </c>
      <c r="G2841" t="n">
        <v>0</v>
      </c>
      <c r="H2841">
        <f>E2841*F2841*(1-G2841)</f>
        <v/>
      </c>
      <c r="I2841">
        <f>XLOOKUP(D2841,Products!$A$2:$A$15,Products!$B$2:$B$15,"Not found")</f>
        <v/>
      </c>
    </row>
    <row r="2842">
      <c r="A2842" t="n">
        <v>107161</v>
      </c>
      <c r="B2842" s="1" t="n">
        <v>45921</v>
      </c>
      <c r="C2842" t="inlineStr">
        <is>
          <t>S05</t>
        </is>
      </c>
      <c r="D2842" t="inlineStr">
        <is>
          <t>P303</t>
        </is>
      </c>
      <c r="E2842" t="n">
        <v>1</v>
      </c>
      <c r="F2842" t="n">
        <v>12</v>
      </c>
      <c r="G2842" t="n">
        <v>0</v>
      </c>
      <c r="H2842">
        <f>E2842*F2842*(1-G2842)</f>
        <v/>
      </c>
      <c r="I2842">
        <f>XLOOKUP(D2842,Products!$A$2:$A$15,Products!$B$2:$B$15,"Not found")</f>
        <v/>
      </c>
    </row>
    <row r="2843">
      <c r="A2843" t="n">
        <v>107162</v>
      </c>
      <c r="B2843" s="1" t="n">
        <v>45921</v>
      </c>
      <c r="C2843" t="inlineStr">
        <is>
          <t>S05</t>
        </is>
      </c>
      <c r="D2843" t="inlineStr">
        <is>
          <t>P202</t>
        </is>
      </c>
      <c r="E2843" t="n">
        <v>4</v>
      </c>
      <c r="F2843" t="n">
        <v>79</v>
      </c>
      <c r="G2843" t="n">
        <v>0.2</v>
      </c>
      <c r="H2843">
        <f>E2843*F2843*(1-G2843)</f>
        <v/>
      </c>
      <c r="I2843">
        <f>XLOOKUP(D2843,Products!$A$2:$A$15,Products!$B$2:$B$15,"Not found")</f>
        <v/>
      </c>
    </row>
    <row r="2844">
      <c r="A2844" t="n">
        <v>107163</v>
      </c>
      <c r="B2844" s="1" t="n">
        <v>45922</v>
      </c>
      <c r="C2844" t="inlineStr">
        <is>
          <t>S01</t>
        </is>
      </c>
      <c r="D2844" t="inlineStr">
        <is>
          <t>P201</t>
        </is>
      </c>
      <c r="E2844" t="n">
        <v>1</v>
      </c>
      <c r="F2844" t="n">
        <v>149</v>
      </c>
      <c r="G2844" t="n">
        <v>0</v>
      </c>
      <c r="H2844">
        <f>E2844*F2844*(1-G2844)</f>
        <v/>
      </c>
      <c r="I2844">
        <f>XLOOKUP(D2844,Products!$A$2:$A$15,Products!$B$2:$B$15,"Not found")</f>
        <v/>
      </c>
    </row>
    <row r="2845">
      <c r="A2845" t="n">
        <v>107164</v>
      </c>
      <c r="B2845" s="1" t="n">
        <v>45922</v>
      </c>
      <c r="C2845" t="inlineStr">
        <is>
          <t>S02</t>
        </is>
      </c>
      <c r="D2845" t="inlineStr">
        <is>
          <t>P302</t>
        </is>
      </c>
      <c r="E2845" t="n">
        <v>2</v>
      </c>
      <c r="F2845" t="n">
        <v>24</v>
      </c>
      <c r="G2845" t="n">
        <v>0</v>
      </c>
      <c r="H2845">
        <f>E2845*F2845*(1-G2845)</f>
        <v/>
      </c>
      <c r="I2845">
        <f>XLOOKUP(D2845,Products!$A$2:$A$15,Products!$B$2:$B$15,"Not found")</f>
        <v/>
      </c>
    </row>
    <row r="2846">
      <c r="A2846" t="n">
        <v>107165</v>
      </c>
      <c r="B2846" s="1" t="n">
        <v>45922</v>
      </c>
      <c r="C2846" t="inlineStr">
        <is>
          <t>S02</t>
        </is>
      </c>
      <c r="D2846" t="inlineStr">
        <is>
          <t>P104</t>
        </is>
      </c>
      <c r="E2846" t="n">
        <v>1</v>
      </c>
      <c r="F2846" t="n">
        <v>189</v>
      </c>
      <c r="G2846" t="n">
        <v>0</v>
      </c>
      <c r="H2846">
        <f>E2846*F2846*(1-G2846)</f>
        <v/>
      </c>
      <c r="I2846">
        <f>XLOOKUP(D2846,Products!$A$2:$A$15,Products!$B$2:$B$15,"Not found")</f>
        <v/>
      </c>
    </row>
    <row r="2847">
      <c r="A2847" t="n">
        <v>107166</v>
      </c>
      <c r="B2847" s="1" t="n">
        <v>45922</v>
      </c>
      <c r="C2847" t="inlineStr">
        <is>
          <t>S03</t>
        </is>
      </c>
      <c r="D2847" t="inlineStr">
        <is>
          <t>P402</t>
        </is>
      </c>
      <c r="E2847" t="n">
        <v>1</v>
      </c>
      <c r="F2847" t="n">
        <v>699</v>
      </c>
      <c r="G2847" t="n">
        <v>0</v>
      </c>
      <c r="H2847">
        <f>E2847*F2847*(1-G2847)</f>
        <v/>
      </c>
      <c r="I2847">
        <f>XLOOKUP(D2847,Products!$A$2:$A$15,Products!$B$2:$B$15,"Not found")</f>
        <v/>
      </c>
    </row>
    <row r="2848">
      <c r="A2848" t="n">
        <v>107167</v>
      </c>
      <c r="B2848" s="1" t="n">
        <v>45922</v>
      </c>
      <c r="C2848" t="inlineStr">
        <is>
          <t>S04</t>
        </is>
      </c>
      <c r="D2848" t="inlineStr">
        <is>
          <t>P402</t>
        </is>
      </c>
      <c r="E2848" t="n">
        <v>1</v>
      </c>
      <c r="F2848" t="n">
        <v>699</v>
      </c>
      <c r="G2848" t="n">
        <v>0</v>
      </c>
      <c r="H2848">
        <f>E2848*F2848*(1-G2848)</f>
        <v/>
      </c>
      <c r="I2848">
        <f>XLOOKUP(D2848,Products!$A$2:$A$15,Products!$B$2:$B$15,"Not found")</f>
        <v/>
      </c>
    </row>
    <row r="2849">
      <c r="A2849" t="n">
        <v>107168</v>
      </c>
      <c r="B2849" s="1" t="n">
        <v>45922</v>
      </c>
      <c r="C2849" t="inlineStr">
        <is>
          <t>S05</t>
        </is>
      </c>
      <c r="D2849" t="inlineStr">
        <is>
          <t>P203</t>
        </is>
      </c>
      <c r="E2849" t="n">
        <v>1</v>
      </c>
      <c r="F2849" t="n">
        <v>19.5</v>
      </c>
      <c r="G2849" t="n">
        <v>0</v>
      </c>
      <c r="H2849">
        <f>E2849*F2849*(1-G2849)</f>
        <v/>
      </c>
      <c r="I2849">
        <f>XLOOKUP(D2849,Products!$A$2:$A$15,Products!$B$2:$B$15,"Not found")</f>
        <v/>
      </c>
    </row>
    <row r="2850">
      <c r="A2850" t="n">
        <v>107169</v>
      </c>
      <c r="B2850" s="1" t="n">
        <v>45922</v>
      </c>
      <c r="C2850" t="inlineStr">
        <is>
          <t>S06</t>
        </is>
      </c>
      <c r="D2850" t="inlineStr">
        <is>
          <t>P101</t>
        </is>
      </c>
      <c r="E2850" t="n">
        <v>1</v>
      </c>
      <c r="F2850" t="n">
        <v>39</v>
      </c>
      <c r="G2850" t="n">
        <v>0</v>
      </c>
      <c r="H2850">
        <f>E2850*F2850*(1-G2850)</f>
        <v/>
      </c>
      <c r="I2850">
        <f>XLOOKUP(D2850,Products!$A$2:$A$15,Products!$B$2:$B$15,"Not found")</f>
        <v/>
      </c>
    </row>
    <row r="2851">
      <c r="A2851" t="n">
        <v>107170</v>
      </c>
      <c r="B2851" s="1" t="n">
        <v>45923</v>
      </c>
      <c r="C2851" t="inlineStr">
        <is>
          <t>S01</t>
        </is>
      </c>
      <c r="D2851" t="inlineStr">
        <is>
          <t>P303</t>
        </is>
      </c>
      <c r="E2851" t="n">
        <v>2</v>
      </c>
      <c r="F2851" t="n">
        <v>12</v>
      </c>
      <c r="G2851" t="n">
        <v>0</v>
      </c>
      <c r="H2851">
        <f>E2851*F2851*(1-G2851)</f>
        <v/>
      </c>
      <c r="I2851">
        <f>XLOOKUP(D2851,Products!$A$2:$A$15,Products!$B$2:$B$15,"Not found")</f>
        <v/>
      </c>
    </row>
    <row r="2852">
      <c r="A2852" t="n">
        <v>107171</v>
      </c>
      <c r="B2852" s="1" t="n">
        <v>45923</v>
      </c>
      <c r="C2852" t="inlineStr">
        <is>
          <t>S02</t>
        </is>
      </c>
      <c r="D2852" t="inlineStr">
        <is>
          <t>P101</t>
        </is>
      </c>
      <c r="E2852" t="n">
        <v>2</v>
      </c>
      <c r="F2852" t="n">
        <v>39</v>
      </c>
      <c r="G2852" t="n">
        <v>0</v>
      </c>
      <c r="H2852">
        <f>E2852*F2852*(1-G2852)</f>
        <v/>
      </c>
      <c r="I2852">
        <f>XLOOKUP(D2852,Products!$A$2:$A$15,Products!$B$2:$B$15,"Not found")</f>
        <v/>
      </c>
    </row>
    <row r="2853">
      <c r="A2853" t="n">
        <v>107172</v>
      </c>
      <c r="B2853" s="1" t="n">
        <v>45923</v>
      </c>
      <c r="C2853" t="inlineStr">
        <is>
          <t>S02</t>
        </is>
      </c>
      <c r="D2853" t="inlineStr">
        <is>
          <t>P403</t>
        </is>
      </c>
      <c r="E2853" t="n">
        <v>1</v>
      </c>
      <c r="F2853" t="n">
        <v>89</v>
      </c>
      <c r="G2853" t="n">
        <v>0.15</v>
      </c>
      <c r="H2853">
        <f>E2853*F2853*(1-G2853)</f>
        <v/>
      </c>
      <c r="I2853">
        <f>XLOOKUP(D2853,Products!$A$2:$A$15,Products!$B$2:$B$15,"Not found")</f>
        <v/>
      </c>
    </row>
    <row r="2854">
      <c r="A2854" t="n">
        <v>107173</v>
      </c>
      <c r="B2854" s="1" t="n">
        <v>45923</v>
      </c>
      <c r="C2854" t="inlineStr">
        <is>
          <t>S03</t>
        </is>
      </c>
      <c r="D2854" t="inlineStr">
        <is>
          <t>P203</t>
        </is>
      </c>
      <c r="E2854" t="n">
        <v>1</v>
      </c>
      <c r="F2854" t="n">
        <v>19.5</v>
      </c>
      <c r="G2854" t="n">
        <v>0</v>
      </c>
      <c r="H2854">
        <f>E2854*F2854*(1-G2854)</f>
        <v/>
      </c>
      <c r="I2854">
        <f>XLOOKUP(D2854,Products!$A$2:$A$15,Products!$B$2:$B$15,"Not found")</f>
        <v/>
      </c>
    </row>
    <row r="2855">
      <c r="A2855" t="n">
        <v>107174</v>
      </c>
      <c r="B2855" s="1" t="n">
        <v>45923</v>
      </c>
      <c r="C2855" t="inlineStr">
        <is>
          <t>S03</t>
        </is>
      </c>
      <c r="D2855" t="inlineStr">
        <is>
          <t>P403</t>
        </is>
      </c>
      <c r="E2855" t="n">
        <v>2</v>
      </c>
      <c r="F2855" t="n">
        <v>89</v>
      </c>
      <c r="G2855" t="n">
        <v>0.15</v>
      </c>
      <c r="H2855">
        <f>E2855*F2855*(1-G2855)</f>
        <v/>
      </c>
      <c r="I2855">
        <f>XLOOKUP(D2855,Products!$A$2:$A$15,Products!$B$2:$B$15,"Not found")</f>
        <v/>
      </c>
    </row>
    <row r="2856">
      <c r="A2856" t="n">
        <v>107175</v>
      </c>
      <c r="B2856" s="1" t="n">
        <v>45923</v>
      </c>
      <c r="C2856" t="inlineStr">
        <is>
          <t>S04</t>
        </is>
      </c>
      <c r="D2856" t="inlineStr">
        <is>
          <t>P102</t>
        </is>
      </c>
      <c r="E2856" t="n">
        <v>2</v>
      </c>
      <c r="F2856" t="n">
        <v>14.5</v>
      </c>
      <c r="G2856" t="n">
        <v>0.2</v>
      </c>
      <c r="H2856">
        <f>E2856*F2856*(1-G2856)</f>
        <v/>
      </c>
      <c r="I2856">
        <f>XLOOKUP(D2856,Products!$A$2:$A$15,Products!$B$2:$B$15,"Not found")</f>
        <v/>
      </c>
    </row>
    <row r="2857">
      <c r="A2857" t="n">
        <v>107176</v>
      </c>
      <c r="B2857" s="1" t="n">
        <v>45923</v>
      </c>
      <c r="C2857" t="inlineStr">
        <is>
          <t>S05</t>
        </is>
      </c>
      <c r="D2857" t="inlineStr">
        <is>
          <t>P103</t>
        </is>
      </c>
      <c r="E2857" t="n">
        <v>1</v>
      </c>
      <c r="F2857" t="n">
        <v>29</v>
      </c>
      <c r="G2857" t="n">
        <v>0.15</v>
      </c>
      <c r="H2857">
        <f>E2857*F2857*(1-G2857)</f>
        <v/>
      </c>
      <c r="I2857">
        <f>XLOOKUP(D2857,Products!$A$2:$A$15,Products!$B$2:$B$15,"Not found")</f>
        <v/>
      </c>
    </row>
    <row r="2858">
      <c r="A2858" t="n">
        <v>107177</v>
      </c>
      <c r="B2858" s="1" t="n">
        <v>45923</v>
      </c>
      <c r="C2858" t="inlineStr">
        <is>
          <t>S06</t>
        </is>
      </c>
      <c r="D2858" t="inlineStr">
        <is>
          <t>P104</t>
        </is>
      </c>
      <c r="E2858" t="n">
        <v>1</v>
      </c>
      <c r="F2858" t="n">
        <v>189</v>
      </c>
      <c r="G2858" t="n">
        <v>0</v>
      </c>
      <c r="H2858">
        <f>E2858*F2858*(1-G2858)</f>
        <v/>
      </c>
      <c r="I2858">
        <f>XLOOKUP(D2858,Products!$A$2:$A$15,Products!$B$2:$B$15,"Not found")</f>
        <v/>
      </c>
    </row>
    <row r="2859">
      <c r="A2859" t="n">
        <v>107178</v>
      </c>
      <c r="B2859" s="1" t="n">
        <v>45924</v>
      </c>
      <c r="C2859" t="inlineStr">
        <is>
          <t>S01</t>
        </is>
      </c>
      <c r="D2859" t="inlineStr">
        <is>
          <t>P303</t>
        </is>
      </c>
      <c r="E2859" t="n">
        <v>2</v>
      </c>
      <c r="F2859" t="n">
        <v>12</v>
      </c>
      <c r="G2859" t="n">
        <v>0.1</v>
      </c>
      <c r="H2859">
        <f>E2859*F2859*(1-G2859)</f>
        <v/>
      </c>
      <c r="I2859">
        <f>XLOOKUP(D2859,Products!$A$2:$A$15,Products!$B$2:$B$15,"Not found")</f>
        <v/>
      </c>
    </row>
    <row r="2860">
      <c r="A2860" t="n">
        <v>107179</v>
      </c>
      <c r="B2860" s="1" t="n">
        <v>45924</v>
      </c>
      <c r="C2860" t="inlineStr">
        <is>
          <t>S01</t>
        </is>
      </c>
      <c r="D2860" t="inlineStr">
        <is>
          <t>P201</t>
        </is>
      </c>
      <c r="E2860" t="n">
        <v>1</v>
      </c>
      <c r="F2860" t="n">
        <v>149</v>
      </c>
      <c r="G2860" t="n">
        <v>0.15</v>
      </c>
      <c r="H2860">
        <f>E2860*F2860*(1-G2860)</f>
        <v/>
      </c>
      <c r="I2860">
        <f>XLOOKUP(D2860,Products!$A$2:$A$15,Products!$B$2:$B$15,"Not found")</f>
        <v/>
      </c>
    </row>
    <row r="2861">
      <c r="A2861" t="n">
        <v>107180</v>
      </c>
      <c r="B2861" s="1" t="n">
        <v>45924</v>
      </c>
      <c r="C2861" t="inlineStr">
        <is>
          <t>S01</t>
        </is>
      </c>
      <c r="D2861" t="inlineStr">
        <is>
          <t>P203</t>
        </is>
      </c>
      <c r="E2861" t="n">
        <v>2</v>
      </c>
      <c r="F2861" t="n">
        <v>19.5</v>
      </c>
      <c r="G2861" t="n">
        <v>0</v>
      </c>
      <c r="H2861">
        <f>E2861*F2861*(1-G2861)</f>
        <v/>
      </c>
      <c r="I2861">
        <f>XLOOKUP(D2861,Products!$A$2:$A$15,Products!$B$2:$B$15,"Not found")</f>
        <v/>
      </c>
    </row>
    <row r="2862">
      <c r="A2862" t="n">
        <v>107181</v>
      </c>
      <c r="B2862" s="1" t="n">
        <v>45924</v>
      </c>
      <c r="C2862" t="inlineStr">
        <is>
          <t>S01</t>
        </is>
      </c>
      <c r="D2862" t="inlineStr">
        <is>
          <t>P203</t>
        </is>
      </c>
      <c r="E2862" t="n">
        <v>1</v>
      </c>
      <c r="F2862" t="n">
        <v>19.5</v>
      </c>
      <c r="G2862" t="n">
        <v>0</v>
      </c>
      <c r="H2862">
        <f>E2862*F2862*(1-G2862)</f>
        <v/>
      </c>
      <c r="I2862">
        <f>XLOOKUP(D2862,Products!$A$2:$A$15,Products!$B$2:$B$15,"Not found")</f>
        <v/>
      </c>
    </row>
    <row r="2863">
      <c r="A2863" t="n">
        <v>107182</v>
      </c>
      <c r="B2863" s="1" t="n">
        <v>45924</v>
      </c>
      <c r="C2863" t="inlineStr">
        <is>
          <t>S02</t>
        </is>
      </c>
      <c r="D2863" t="inlineStr">
        <is>
          <t>P103</t>
        </is>
      </c>
      <c r="E2863" t="n">
        <v>1</v>
      </c>
      <c r="F2863" t="n">
        <v>29</v>
      </c>
      <c r="G2863" t="n">
        <v>0</v>
      </c>
      <c r="H2863">
        <f>E2863*F2863*(1-G2863)</f>
        <v/>
      </c>
      <c r="I2863">
        <f>XLOOKUP(D2863,Products!$A$2:$A$15,Products!$B$2:$B$15,"Not found")</f>
        <v/>
      </c>
    </row>
    <row r="2864">
      <c r="A2864" t="n">
        <v>107183</v>
      </c>
      <c r="B2864" s="1" t="n">
        <v>45924</v>
      </c>
      <c r="C2864" t="inlineStr">
        <is>
          <t>S02</t>
        </is>
      </c>
      <c r="D2864" t="inlineStr">
        <is>
          <t>P103</t>
        </is>
      </c>
      <c r="E2864" t="n">
        <v>2</v>
      </c>
      <c r="F2864" t="n">
        <v>29</v>
      </c>
      <c r="G2864" t="n">
        <v>0</v>
      </c>
      <c r="H2864">
        <f>E2864*F2864*(1-G2864)</f>
        <v/>
      </c>
      <c r="I2864">
        <f>XLOOKUP(D2864,Products!$A$2:$A$15,Products!$B$2:$B$15,"Not found")</f>
        <v/>
      </c>
    </row>
    <row r="2865">
      <c r="A2865" t="n">
        <v>107184</v>
      </c>
      <c r="B2865" s="1" t="n">
        <v>45924</v>
      </c>
      <c r="C2865" t="inlineStr">
        <is>
          <t>S02</t>
        </is>
      </c>
      <c r="D2865" t="inlineStr">
        <is>
          <t>P203</t>
        </is>
      </c>
      <c r="E2865" t="n">
        <v>2</v>
      </c>
      <c r="F2865" t="n">
        <v>19.5</v>
      </c>
      <c r="G2865" t="n">
        <v>0.15</v>
      </c>
      <c r="H2865">
        <f>E2865*F2865*(1-G2865)</f>
        <v/>
      </c>
      <c r="I2865">
        <f>XLOOKUP(D2865,Products!$A$2:$A$15,Products!$B$2:$B$15,"Not found")</f>
        <v/>
      </c>
    </row>
    <row r="2866">
      <c r="A2866" t="n">
        <v>107185</v>
      </c>
      <c r="B2866" s="1" t="n">
        <v>45924</v>
      </c>
      <c r="C2866" t="inlineStr">
        <is>
          <t>S04</t>
        </is>
      </c>
      <c r="D2866" t="inlineStr">
        <is>
          <t>P102</t>
        </is>
      </c>
      <c r="E2866" t="n">
        <v>3</v>
      </c>
      <c r="F2866" t="n">
        <v>14.5</v>
      </c>
      <c r="G2866" t="n">
        <v>0.15</v>
      </c>
      <c r="H2866">
        <f>E2866*F2866*(1-G2866)</f>
        <v/>
      </c>
      <c r="I2866">
        <f>XLOOKUP(D2866,Products!$A$2:$A$15,Products!$B$2:$B$15,"Not found")</f>
        <v/>
      </c>
    </row>
    <row r="2867">
      <c r="A2867" t="n">
        <v>107186</v>
      </c>
      <c r="B2867" s="1" t="n">
        <v>45924</v>
      </c>
      <c r="C2867" t="inlineStr">
        <is>
          <t>S04</t>
        </is>
      </c>
      <c r="D2867" t="inlineStr">
        <is>
          <t>P103</t>
        </is>
      </c>
      <c r="E2867" t="n">
        <v>4</v>
      </c>
      <c r="F2867" t="n">
        <v>29</v>
      </c>
      <c r="G2867" t="n">
        <v>0.2</v>
      </c>
      <c r="H2867">
        <f>E2867*F2867*(1-G2867)</f>
        <v/>
      </c>
      <c r="I2867">
        <f>XLOOKUP(D2867,Products!$A$2:$A$15,Products!$B$2:$B$15,"Not found")</f>
        <v/>
      </c>
    </row>
    <row r="2868">
      <c r="A2868" t="n">
        <v>107187</v>
      </c>
      <c r="B2868" s="1" t="n">
        <v>45924</v>
      </c>
      <c r="C2868" t="inlineStr">
        <is>
          <t>S05</t>
        </is>
      </c>
      <c r="D2868" t="inlineStr">
        <is>
          <t>P102</t>
        </is>
      </c>
      <c r="E2868" t="n">
        <v>2</v>
      </c>
      <c r="F2868" t="n">
        <v>14.5</v>
      </c>
      <c r="G2868" t="n">
        <v>0</v>
      </c>
      <c r="H2868">
        <f>E2868*F2868*(1-G2868)</f>
        <v/>
      </c>
      <c r="I2868">
        <f>XLOOKUP(D2868,Products!$A$2:$A$15,Products!$B$2:$B$15,"Not found")</f>
        <v/>
      </c>
    </row>
    <row r="2869">
      <c r="A2869" t="n">
        <v>107188</v>
      </c>
      <c r="B2869" s="1" t="n">
        <v>45924</v>
      </c>
      <c r="C2869" t="inlineStr">
        <is>
          <t>S06</t>
        </is>
      </c>
      <c r="D2869" t="inlineStr">
        <is>
          <t>P202</t>
        </is>
      </c>
      <c r="E2869" t="n">
        <v>1</v>
      </c>
      <c r="F2869" t="n">
        <v>79</v>
      </c>
      <c r="G2869" t="n">
        <v>0.2</v>
      </c>
      <c r="H2869">
        <f>E2869*F2869*(1-G2869)</f>
        <v/>
      </c>
      <c r="I2869">
        <f>XLOOKUP(D2869,Products!$A$2:$A$15,Products!$B$2:$B$15,"Not found")</f>
        <v/>
      </c>
    </row>
    <row r="2870">
      <c r="A2870" t="n">
        <v>107189</v>
      </c>
      <c r="B2870" s="1" t="n">
        <v>45925</v>
      </c>
      <c r="C2870" t="inlineStr">
        <is>
          <t>S01</t>
        </is>
      </c>
      <c r="D2870" t="inlineStr">
        <is>
          <t>P303</t>
        </is>
      </c>
      <c r="E2870" t="n">
        <v>3</v>
      </c>
      <c r="F2870" t="n">
        <v>12</v>
      </c>
      <c r="G2870" t="n">
        <v>0.1</v>
      </c>
      <c r="H2870">
        <f>E2870*F2870*(1-G2870)</f>
        <v/>
      </c>
      <c r="I2870">
        <f>XLOOKUP(D2870,Products!$A$2:$A$15,Products!$B$2:$B$15,"Not found")</f>
        <v/>
      </c>
    </row>
    <row r="2871">
      <c r="A2871" t="n">
        <v>107190</v>
      </c>
      <c r="B2871" s="1" t="n">
        <v>45925</v>
      </c>
      <c r="C2871" t="inlineStr">
        <is>
          <t>S01</t>
        </is>
      </c>
      <c r="D2871" t="inlineStr">
        <is>
          <t>P203</t>
        </is>
      </c>
      <c r="E2871" t="n">
        <v>2</v>
      </c>
      <c r="F2871" t="n">
        <v>19.5</v>
      </c>
      <c r="G2871" t="n">
        <v>0.1</v>
      </c>
      <c r="H2871">
        <f>E2871*F2871*(1-G2871)</f>
        <v/>
      </c>
      <c r="I2871">
        <f>XLOOKUP(D2871,Products!$A$2:$A$15,Products!$B$2:$B$15,"Not found")</f>
        <v/>
      </c>
    </row>
    <row r="2872">
      <c r="A2872" t="n">
        <v>107191</v>
      </c>
      <c r="B2872" s="1" t="n">
        <v>45925</v>
      </c>
      <c r="C2872" t="inlineStr">
        <is>
          <t>S02</t>
        </is>
      </c>
      <c r="D2872" t="inlineStr">
        <is>
          <t>P301</t>
        </is>
      </c>
      <c r="E2872" t="n">
        <v>1</v>
      </c>
      <c r="F2872" t="n">
        <v>119</v>
      </c>
      <c r="G2872" t="n">
        <v>0</v>
      </c>
      <c r="H2872">
        <f>E2872*F2872*(1-G2872)</f>
        <v/>
      </c>
      <c r="I2872">
        <f>XLOOKUP(D2872,Products!$A$2:$A$15,Products!$B$2:$B$15,"Not found")</f>
        <v/>
      </c>
    </row>
    <row r="2873">
      <c r="A2873" t="n">
        <v>107192</v>
      </c>
      <c r="B2873" s="1" t="n">
        <v>45925</v>
      </c>
      <c r="C2873" t="inlineStr">
        <is>
          <t>S02</t>
        </is>
      </c>
      <c r="D2873" t="inlineStr">
        <is>
          <t>P101</t>
        </is>
      </c>
      <c r="E2873" t="n">
        <v>1</v>
      </c>
      <c r="F2873" t="n">
        <v>39</v>
      </c>
      <c r="G2873" t="n">
        <v>0.1</v>
      </c>
      <c r="H2873">
        <f>E2873*F2873*(1-G2873)</f>
        <v/>
      </c>
      <c r="I2873">
        <f>XLOOKUP(D2873,Products!$A$2:$A$15,Products!$B$2:$B$15,"Not found")</f>
        <v/>
      </c>
    </row>
    <row r="2874">
      <c r="A2874" t="n">
        <v>107193</v>
      </c>
      <c r="B2874" s="1" t="n">
        <v>45925</v>
      </c>
      <c r="C2874" t="inlineStr">
        <is>
          <t>S02</t>
        </is>
      </c>
      <c r="D2874" t="inlineStr">
        <is>
          <t>P101</t>
        </is>
      </c>
      <c r="E2874" t="n">
        <v>2</v>
      </c>
      <c r="F2874" t="n">
        <v>39</v>
      </c>
      <c r="G2874" t="n">
        <v>0.2</v>
      </c>
      <c r="H2874">
        <f>E2874*F2874*(1-G2874)</f>
        <v/>
      </c>
      <c r="I2874">
        <f>XLOOKUP(D2874,Products!$A$2:$A$15,Products!$B$2:$B$15,"Not found")</f>
        <v/>
      </c>
    </row>
    <row r="2875">
      <c r="A2875" t="n">
        <v>107194</v>
      </c>
      <c r="B2875" s="1" t="n">
        <v>45925</v>
      </c>
      <c r="C2875" t="inlineStr">
        <is>
          <t>S03</t>
        </is>
      </c>
      <c r="D2875" t="inlineStr">
        <is>
          <t>P103</t>
        </is>
      </c>
      <c r="E2875" t="n">
        <v>2</v>
      </c>
      <c r="F2875" t="n">
        <v>29</v>
      </c>
      <c r="G2875" t="n">
        <v>0.1</v>
      </c>
      <c r="H2875">
        <f>E2875*F2875*(1-G2875)</f>
        <v/>
      </c>
      <c r="I2875">
        <f>XLOOKUP(D2875,Products!$A$2:$A$15,Products!$B$2:$B$15,"Not found")</f>
        <v/>
      </c>
    </row>
    <row r="2876">
      <c r="A2876" t="n">
        <v>107195</v>
      </c>
      <c r="B2876" s="1" t="n">
        <v>45925</v>
      </c>
      <c r="C2876" t="inlineStr">
        <is>
          <t>S03</t>
        </is>
      </c>
      <c r="D2876" t="inlineStr">
        <is>
          <t>P203</t>
        </is>
      </c>
      <c r="E2876" t="n">
        <v>1</v>
      </c>
      <c r="F2876" t="n">
        <v>19.5</v>
      </c>
      <c r="G2876" t="n">
        <v>0</v>
      </c>
      <c r="H2876">
        <f>E2876*F2876*(1-G2876)</f>
        <v/>
      </c>
      <c r="I2876">
        <f>XLOOKUP(D2876,Products!$A$2:$A$15,Products!$B$2:$B$15,"Not found")</f>
        <v/>
      </c>
    </row>
    <row r="2877">
      <c r="A2877" t="n">
        <v>107196</v>
      </c>
      <c r="B2877" s="1" t="n">
        <v>45925</v>
      </c>
      <c r="C2877" t="inlineStr">
        <is>
          <t>S04</t>
        </is>
      </c>
      <c r="D2877" t="inlineStr">
        <is>
          <t>P103</t>
        </is>
      </c>
      <c r="E2877" t="n">
        <v>1</v>
      </c>
      <c r="F2877" t="n">
        <v>29</v>
      </c>
      <c r="G2877" t="n">
        <v>0.2</v>
      </c>
      <c r="H2877">
        <f>E2877*F2877*(1-G2877)</f>
        <v/>
      </c>
      <c r="I2877">
        <f>XLOOKUP(D2877,Products!$A$2:$A$15,Products!$B$2:$B$15,"Not found")</f>
        <v/>
      </c>
    </row>
    <row r="2878">
      <c r="A2878" t="n">
        <v>107197</v>
      </c>
      <c r="B2878" s="1" t="n">
        <v>45925</v>
      </c>
      <c r="C2878" t="inlineStr">
        <is>
          <t>S04</t>
        </is>
      </c>
      <c r="D2878" t="inlineStr">
        <is>
          <t>P401</t>
        </is>
      </c>
      <c r="E2878" t="n">
        <v>1</v>
      </c>
      <c r="F2878" t="n">
        <v>549</v>
      </c>
      <c r="G2878" t="n">
        <v>0</v>
      </c>
      <c r="H2878">
        <f>E2878*F2878*(1-G2878)</f>
        <v/>
      </c>
      <c r="I2878">
        <f>XLOOKUP(D2878,Products!$A$2:$A$15,Products!$B$2:$B$15,"Not found")</f>
        <v/>
      </c>
    </row>
    <row r="2879">
      <c r="A2879" t="n">
        <v>107198</v>
      </c>
      <c r="B2879" s="1" t="n">
        <v>45925</v>
      </c>
      <c r="C2879" t="inlineStr">
        <is>
          <t>S04</t>
        </is>
      </c>
      <c r="D2879" t="inlineStr">
        <is>
          <t>P101</t>
        </is>
      </c>
      <c r="E2879" t="n">
        <v>2</v>
      </c>
      <c r="F2879" t="n">
        <v>39</v>
      </c>
      <c r="G2879" t="n">
        <v>0.15</v>
      </c>
      <c r="H2879">
        <f>E2879*F2879*(1-G2879)</f>
        <v/>
      </c>
      <c r="I2879">
        <f>XLOOKUP(D2879,Products!$A$2:$A$15,Products!$B$2:$B$15,"Not found")</f>
        <v/>
      </c>
    </row>
    <row r="2880">
      <c r="A2880" t="n">
        <v>107199</v>
      </c>
      <c r="B2880" s="1" t="n">
        <v>45925</v>
      </c>
      <c r="C2880" t="inlineStr">
        <is>
          <t>S05</t>
        </is>
      </c>
      <c r="D2880" t="inlineStr">
        <is>
          <t>P302</t>
        </is>
      </c>
      <c r="E2880" t="n">
        <v>1</v>
      </c>
      <c r="F2880" t="n">
        <v>24</v>
      </c>
      <c r="G2880" t="n">
        <v>0</v>
      </c>
      <c r="H2880">
        <f>E2880*F2880*(1-G2880)</f>
        <v/>
      </c>
      <c r="I2880">
        <f>XLOOKUP(D2880,Products!$A$2:$A$15,Products!$B$2:$B$15,"Not found")</f>
        <v/>
      </c>
    </row>
    <row r="2881">
      <c r="A2881" t="n">
        <v>107200</v>
      </c>
      <c r="B2881" s="1" t="n">
        <v>45925</v>
      </c>
      <c r="C2881" t="inlineStr">
        <is>
          <t>S05</t>
        </is>
      </c>
      <c r="D2881" t="inlineStr">
        <is>
          <t>P102</t>
        </is>
      </c>
      <c r="E2881" t="n">
        <v>2</v>
      </c>
      <c r="F2881" t="n">
        <v>14.5</v>
      </c>
      <c r="G2881" t="n">
        <v>0.1</v>
      </c>
      <c r="H2881">
        <f>E2881*F2881*(1-G2881)</f>
        <v/>
      </c>
      <c r="I2881">
        <f>XLOOKUP(D2881,Products!$A$2:$A$15,Products!$B$2:$B$15,"Not found")</f>
        <v/>
      </c>
    </row>
    <row r="2882">
      <c r="A2882" t="n">
        <v>107201</v>
      </c>
      <c r="B2882" s="1" t="n">
        <v>45925</v>
      </c>
      <c r="C2882" t="inlineStr">
        <is>
          <t>S06</t>
        </is>
      </c>
      <c r="D2882" t="inlineStr">
        <is>
          <t>P102</t>
        </is>
      </c>
      <c r="E2882" t="n">
        <v>2</v>
      </c>
      <c r="F2882" t="n">
        <v>14.5</v>
      </c>
      <c r="G2882" t="n">
        <v>0</v>
      </c>
      <c r="H2882">
        <f>E2882*F2882*(1-G2882)</f>
        <v/>
      </c>
      <c r="I2882">
        <f>XLOOKUP(D2882,Products!$A$2:$A$15,Products!$B$2:$B$15,"Not found")</f>
        <v/>
      </c>
    </row>
    <row r="2883">
      <c r="A2883" t="n">
        <v>107202</v>
      </c>
      <c r="B2883" s="1" t="n">
        <v>45925</v>
      </c>
      <c r="C2883" t="inlineStr">
        <is>
          <t>S06</t>
        </is>
      </c>
      <c r="D2883" t="inlineStr">
        <is>
          <t>P102</t>
        </is>
      </c>
      <c r="E2883" t="n">
        <v>1</v>
      </c>
      <c r="F2883" t="n">
        <v>14.5</v>
      </c>
      <c r="G2883" t="n">
        <v>0</v>
      </c>
      <c r="H2883">
        <f>E2883*F2883*(1-G2883)</f>
        <v/>
      </c>
      <c r="I2883">
        <f>XLOOKUP(D2883,Products!$A$2:$A$15,Products!$B$2:$B$15,"Not found")</f>
        <v/>
      </c>
    </row>
    <row r="2884">
      <c r="A2884" t="n">
        <v>107203</v>
      </c>
      <c r="B2884" s="1" t="n">
        <v>45926</v>
      </c>
      <c r="C2884" t="inlineStr">
        <is>
          <t>S01</t>
        </is>
      </c>
      <c r="D2884" t="inlineStr">
        <is>
          <t>P104</t>
        </is>
      </c>
      <c r="E2884" t="n">
        <v>1</v>
      </c>
      <c r="F2884" t="n">
        <v>189</v>
      </c>
      <c r="G2884" t="n">
        <v>0</v>
      </c>
      <c r="H2884">
        <f>E2884*F2884*(1-G2884)</f>
        <v/>
      </c>
      <c r="I2884">
        <f>XLOOKUP(D2884,Products!$A$2:$A$15,Products!$B$2:$B$15,"Not found")</f>
        <v/>
      </c>
    </row>
    <row r="2885">
      <c r="A2885" t="n">
        <v>107204</v>
      </c>
      <c r="B2885" s="1" t="n">
        <v>45926</v>
      </c>
      <c r="C2885" t="inlineStr">
        <is>
          <t>S01</t>
        </is>
      </c>
      <c r="D2885" t="inlineStr">
        <is>
          <t>P203</t>
        </is>
      </c>
      <c r="E2885" t="n">
        <v>3</v>
      </c>
      <c r="F2885" t="n">
        <v>19.5</v>
      </c>
      <c r="G2885" t="n">
        <v>0</v>
      </c>
      <c r="H2885">
        <f>E2885*F2885*(1-G2885)</f>
        <v/>
      </c>
      <c r="I2885">
        <f>XLOOKUP(D2885,Products!$A$2:$A$15,Products!$B$2:$B$15,"Not found")</f>
        <v/>
      </c>
    </row>
    <row r="2886">
      <c r="A2886" t="n">
        <v>107205</v>
      </c>
      <c r="B2886" s="1" t="n">
        <v>45926</v>
      </c>
      <c r="C2886" t="inlineStr">
        <is>
          <t>S01</t>
        </is>
      </c>
      <c r="D2886" t="inlineStr">
        <is>
          <t>P203</t>
        </is>
      </c>
      <c r="E2886" t="n">
        <v>2</v>
      </c>
      <c r="F2886" t="n">
        <v>19.5</v>
      </c>
      <c r="G2886" t="n">
        <v>0.15</v>
      </c>
      <c r="H2886">
        <f>E2886*F2886*(1-G2886)</f>
        <v/>
      </c>
      <c r="I2886">
        <f>XLOOKUP(D2886,Products!$A$2:$A$15,Products!$B$2:$B$15,"Not found")</f>
        <v/>
      </c>
    </row>
    <row r="2887">
      <c r="A2887" t="n">
        <v>107206</v>
      </c>
      <c r="B2887" s="1" t="n">
        <v>45926</v>
      </c>
      <c r="C2887" t="inlineStr">
        <is>
          <t>S02</t>
        </is>
      </c>
      <c r="D2887" t="inlineStr">
        <is>
          <t>P301</t>
        </is>
      </c>
      <c r="E2887" t="n">
        <v>1</v>
      </c>
      <c r="F2887" t="n">
        <v>119</v>
      </c>
      <c r="G2887" t="n">
        <v>0.2</v>
      </c>
      <c r="H2887">
        <f>E2887*F2887*(1-G2887)</f>
        <v/>
      </c>
      <c r="I2887">
        <f>XLOOKUP(D2887,Products!$A$2:$A$15,Products!$B$2:$B$15,"Not found")</f>
        <v/>
      </c>
    </row>
    <row r="2888">
      <c r="A2888" t="n">
        <v>107207</v>
      </c>
      <c r="B2888" s="1" t="n">
        <v>45926</v>
      </c>
      <c r="C2888" t="inlineStr">
        <is>
          <t>S02</t>
        </is>
      </c>
      <c r="D2888" t="inlineStr">
        <is>
          <t>P104</t>
        </is>
      </c>
      <c r="E2888" t="n">
        <v>1</v>
      </c>
      <c r="F2888" t="n">
        <v>189</v>
      </c>
      <c r="G2888" t="n">
        <v>0</v>
      </c>
      <c r="H2888">
        <f>E2888*F2888*(1-G2888)</f>
        <v/>
      </c>
      <c r="I2888">
        <f>XLOOKUP(D2888,Products!$A$2:$A$15,Products!$B$2:$B$15,"Not found")</f>
        <v/>
      </c>
    </row>
    <row r="2889">
      <c r="A2889" t="n">
        <v>107208</v>
      </c>
      <c r="B2889" s="1" t="n">
        <v>45926</v>
      </c>
      <c r="C2889" t="inlineStr">
        <is>
          <t>S03</t>
        </is>
      </c>
      <c r="D2889" t="inlineStr">
        <is>
          <t>P203</t>
        </is>
      </c>
      <c r="E2889" t="n">
        <v>1</v>
      </c>
      <c r="F2889" t="n">
        <v>19.5</v>
      </c>
      <c r="G2889" t="n">
        <v>0.15</v>
      </c>
      <c r="H2889">
        <f>E2889*F2889*(1-G2889)</f>
        <v/>
      </c>
      <c r="I2889">
        <f>XLOOKUP(D2889,Products!$A$2:$A$15,Products!$B$2:$B$15,"Not found")</f>
        <v/>
      </c>
    </row>
    <row r="2890">
      <c r="A2890" t="n">
        <v>107209</v>
      </c>
      <c r="B2890" s="1" t="n">
        <v>45926</v>
      </c>
      <c r="C2890" t="inlineStr">
        <is>
          <t>S03</t>
        </is>
      </c>
      <c r="D2890" t="inlineStr">
        <is>
          <t>P203</t>
        </is>
      </c>
      <c r="E2890" t="n">
        <v>4</v>
      </c>
      <c r="F2890" t="n">
        <v>19.5</v>
      </c>
      <c r="G2890" t="n">
        <v>0.1</v>
      </c>
      <c r="H2890">
        <f>E2890*F2890*(1-G2890)</f>
        <v/>
      </c>
      <c r="I2890">
        <f>XLOOKUP(D2890,Products!$A$2:$A$15,Products!$B$2:$B$15,"Not found")</f>
        <v/>
      </c>
    </row>
    <row r="2891">
      <c r="A2891" t="n">
        <v>107210</v>
      </c>
      <c r="B2891" s="1" t="n">
        <v>45926</v>
      </c>
      <c r="C2891" t="inlineStr">
        <is>
          <t>S03</t>
        </is>
      </c>
      <c r="D2891" t="inlineStr">
        <is>
          <t>P103</t>
        </is>
      </c>
      <c r="E2891" t="n">
        <v>1</v>
      </c>
      <c r="F2891" t="n">
        <v>29</v>
      </c>
      <c r="G2891" t="n">
        <v>0</v>
      </c>
      <c r="H2891">
        <f>E2891*F2891*(1-G2891)</f>
        <v/>
      </c>
      <c r="I2891">
        <f>XLOOKUP(D2891,Products!$A$2:$A$15,Products!$B$2:$B$15,"Not found")</f>
        <v/>
      </c>
    </row>
    <row r="2892">
      <c r="A2892" t="n">
        <v>107211</v>
      </c>
      <c r="B2892" s="1" t="n">
        <v>45926</v>
      </c>
      <c r="C2892" t="inlineStr">
        <is>
          <t>S03</t>
        </is>
      </c>
      <c r="D2892" t="inlineStr">
        <is>
          <t>P204</t>
        </is>
      </c>
      <c r="E2892" t="n">
        <v>1</v>
      </c>
      <c r="F2892" t="n">
        <v>229</v>
      </c>
      <c r="G2892" t="n">
        <v>0.2</v>
      </c>
      <c r="H2892">
        <f>E2892*F2892*(1-G2892)</f>
        <v/>
      </c>
      <c r="I2892">
        <f>XLOOKUP(D2892,Products!$A$2:$A$15,Products!$B$2:$B$15,"Not found")</f>
        <v/>
      </c>
    </row>
    <row r="2893">
      <c r="A2893" t="n">
        <v>107212</v>
      </c>
      <c r="B2893" s="1" t="n">
        <v>45926</v>
      </c>
      <c r="C2893" t="inlineStr">
        <is>
          <t>S03</t>
        </is>
      </c>
      <c r="D2893" t="inlineStr">
        <is>
          <t>P203</t>
        </is>
      </c>
      <c r="E2893" t="n">
        <v>1</v>
      </c>
      <c r="F2893" t="n">
        <v>19.5</v>
      </c>
      <c r="G2893" t="n">
        <v>0.15</v>
      </c>
      <c r="H2893">
        <f>E2893*F2893*(1-G2893)</f>
        <v/>
      </c>
      <c r="I2893">
        <f>XLOOKUP(D2893,Products!$A$2:$A$15,Products!$B$2:$B$15,"Not found")</f>
        <v/>
      </c>
    </row>
    <row r="2894">
      <c r="A2894" t="n">
        <v>107213</v>
      </c>
      <c r="B2894" s="1" t="n">
        <v>45926</v>
      </c>
      <c r="C2894" t="inlineStr">
        <is>
          <t>S04</t>
        </is>
      </c>
      <c r="D2894" t="inlineStr">
        <is>
          <t>P403</t>
        </is>
      </c>
      <c r="E2894" t="n">
        <v>3</v>
      </c>
      <c r="F2894" t="n">
        <v>89</v>
      </c>
      <c r="G2894" t="n">
        <v>0</v>
      </c>
      <c r="H2894">
        <f>E2894*F2894*(1-G2894)</f>
        <v/>
      </c>
      <c r="I2894">
        <f>XLOOKUP(D2894,Products!$A$2:$A$15,Products!$B$2:$B$15,"Not found")</f>
        <v/>
      </c>
    </row>
    <row r="2895">
      <c r="A2895" t="n">
        <v>107214</v>
      </c>
      <c r="B2895" s="1" t="n">
        <v>45926</v>
      </c>
      <c r="C2895" t="inlineStr">
        <is>
          <t>S05</t>
        </is>
      </c>
      <c r="D2895" t="inlineStr">
        <is>
          <t>P401</t>
        </is>
      </c>
      <c r="E2895" t="n">
        <v>1</v>
      </c>
      <c r="F2895" t="n">
        <v>549</v>
      </c>
      <c r="G2895" t="n">
        <v>0</v>
      </c>
      <c r="H2895">
        <f>E2895*F2895*(1-G2895)</f>
        <v/>
      </c>
      <c r="I2895">
        <f>XLOOKUP(D2895,Products!$A$2:$A$15,Products!$B$2:$B$15,"Not found")</f>
        <v/>
      </c>
    </row>
    <row r="2896">
      <c r="A2896" t="n">
        <v>107215</v>
      </c>
      <c r="B2896" s="1" t="n">
        <v>45926</v>
      </c>
      <c r="C2896" t="inlineStr">
        <is>
          <t>S05</t>
        </is>
      </c>
      <c r="D2896" t="inlineStr">
        <is>
          <t>P204</t>
        </is>
      </c>
      <c r="E2896" t="n">
        <v>1</v>
      </c>
      <c r="F2896" t="n">
        <v>229</v>
      </c>
      <c r="G2896" t="n">
        <v>0</v>
      </c>
      <c r="H2896">
        <f>E2896*F2896*(1-G2896)</f>
        <v/>
      </c>
      <c r="I2896">
        <f>XLOOKUP(D2896,Products!$A$2:$A$15,Products!$B$2:$B$15,"Not found")</f>
        <v/>
      </c>
    </row>
    <row r="2897">
      <c r="A2897" t="n">
        <v>107216</v>
      </c>
      <c r="B2897" s="1" t="n">
        <v>45926</v>
      </c>
      <c r="C2897" t="inlineStr">
        <is>
          <t>S05</t>
        </is>
      </c>
      <c r="D2897" t="inlineStr">
        <is>
          <t>P102</t>
        </is>
      </c>
      <c r="E2897" t="n">
        <v>1</v>
      </c>
      <c r="F2897" t="n">
        <v>14.5</v>
      </c>
      <c r="G2897" t="n">
        <v>0</v>
      </c>
      <c r="H2897">
        <f>E2897*F2897*(1-G2897)</f>
        <v/>
      </c>
      <c r="I2897">
        <f>XLOOKUP(D2897,Products!$A$2:$A$15,Products!$B$2:$B$15,"Not found")</f>
        <v/>
      </c>
    </row>
    <row r="2898">
      <c r="A2898" t="n">
        <v>107217</v>
      </c>
      <c r="B2898" s="1" t="n">
        <v>45926</v>
      </c>
      <c r="C2898" t="inlineStr">
        <is>
          <t>S05</t>
        </is>
      </c>
      <c r="D2898" t="inlineStr">
        <is>
          <t>P102</t>
        </is>
      </c>
      <c r="E2898" t="n">
        <v>3</v>
      </c>
      <c r="F2898" t="n">
        <v>14.5</v>
      </c>
      <c r="G2898" t="n">
        <v>0.1</v>
      </c>
      <c r="H2898">
        <f>E2898*F2898*(1-G2898)</f>
        <v/>
      </c>
      <c r="I2898">
        <f>XLOOKUP(D2898,Products!$A$2:$A$15,Products!$B$2:$B$15,"Not found")</f>
        <v/>
      </c>
    </row>
    <row r="2899">
      <c r="A2899" t="n">
        <v>107218</v>
      </c>
      <c r="B2899" s="1" t="n">
        <v>45926</v>
      </c>
      <c r="C2899" t="inlineStr">
        <is>
          <t>S05</t>
        </is>
      </c>
      <c r="D2899" t="inlineStr">
        <is>
          <t>P104</t>
        </is>
      </c>
      <c r="E2899" t="n">
        <v>1</v>
      </c>
      <c r="F2899" t="n">
        <v>189</v>
      </c>
      <c r="G2899" t="n">
        <v>0.1</v>
      </c>
      <c r="H2899">
        <f>E2899*F2899*(1-G2899)</f>
        <v/>
      </c>
      <c r="I2899">
        <f>XLOOKUP(D2899,Products!$A$2:$A$15,Products!$B$2:$B$15,"Not found")</f>
        <v/>
      </c>
    </row>
    <row r="2900">
      <c r="A2900" t="n">
        <v>107219</v>
      </c>
      <c r="B2900" s="1" t="n">
        <v>45926</v>
      </c>
      <c r="C2900" t="inlineStr">
        <is>
          <t>S06</t>
        </is>
      </c>
      <c r="D2900" t="inlineStr">
        <is>
          <t>P302</t>
        </is>
      </c>
      <c r="E2900" t="n">
        <v>2</v>
      </c>
      <c r="F2900" t="n">
        <v>24</v>
      </c>
      <c r="G2900" t="n">
        <v>0</v>
      </c>
      <c r="H2900">
        <f>E2900*F2900*(1-G2900)</f>
        <v/>
      </c>
      <c r="I2900">
        <f>XLOOKUP(D2900,Products!$A$2:$A$15,Products!$B$2:$B$15,"Not found")</f>
        <v/>
      </c>
    </row>
    <row r="2901">
      <c r="A2901" t="n">
        <v>107220</v>
      </c>
      <c r="B2901" s="1" t="n">
        <v>45927</v>
      </c>
      <c r="C2901" t="inlineStr">
        <is>
          <t>S01</t>
        </is>
      </c>
      <c r="D2901" t="inlineStr">
        <is>
          <t>P203</t>
        </is>
      </c>
      <c r="E2901" t="n">
        <v>3</v>
      </c>
      <c r="F2901" t="n">
        <v>19.5</v>
      </c>
      <c r="G2901" t="n">
        <v>0</v>
      </c>
      <c r="H2901">
        <f>E2901*F2901*(1-G2901)</f>
        <v/>
      </c>
      <c r="I2901">
        <f>XLOOKUP(D2901,Products!$A$2:$A$15,Products!$B$2:$B$15,"Not found")</f>
        <v/>
      </c>
    </row>
    <row r="2902">
      <c r="A2902" t="n">
        <v>107221</v>
      </c>
      <c r="B2902" s="1" t="n">
        <v>45927</v>
      </c>
      <c r="C2902" t="inlineStr">
        <is>
          <t>S01</t>
        </is>
      </c>
      <c r="D2902" t="inlineStr">
        <is>
          <t>P101</t>
        </is>
      </c>
      <c r="E2902" t="n">
        <v>2</v>
      </c>
      <c r="F2902" t="n">
        <v>39</v>
      </c>
      <c r="G2902" t="n">
        <v>0.2</v>
      </c>
      <c r="H2902">
        <f>E2902*F2902*(1-G2902)</f>
        <v/>
      </c>
      <c r="I2902">
        <f>XLOOKUP(D2902,Products!$A$2:$A$15,Products!$B$2:$B$15,"Not found")</f>
        <v/>
      </c>
    </row>
    <row r="2903">
      <c r="A2903" t="n">
        <v>107222</v>
      </c>
      <c r="B2903" s="1" t="n">
        <v>45927</v>
      </c>
      <c r="C2903" t="inlineStr">
        <is>
          <t>S02</t>
        </is>
      </c>
      <c r="D2903" t="inlineStr">
        <is>
          <t>P104</t>
        </is>
      </c>
      <c r="E2903" t="n">
        <v>1</v>
      </c>
      <c r="F2903" t="n">
        <v>189</v>
      </c>
      <c r="G2903" t="n">
        <v>0</v>
      </c>
      <c r="H2903">
        <f>E2903*F2903*(1-G2903)</f>
        <v/>
      </c>
      <c r="I2903">
        <f>XLOOKUP(D2903,Products!$A$2:$A$15,Products!$B$2:$B$15,"Not found")</f>
        <v/>
      </c>
    </row>
    <row r="2904">
      <c r="A2904" t="n">
        <v>107223</v>
      </c>
      <c r="B2904" s="1" t="n">
        <v>45927</v>
      </c>
      <c r="C2904" t="inlineStr">
        <is>
          <t>S02</t>
        </is>
      </c>
      <c r="D2904" t="inlineStr">
        <is>
          <t>P102</t>
        </is>
      </c>
      <c r="E2904" t="n">
        <v>1</v>
      </c>
      <c r="F2904" t="n">
        <v>14.5</v>
      </c>
      <c r="G2904" t="n">
        <v>0.2</v>
      </c>
      <c r="H2904">
        <f>E2904*F2904*(1-G2904)</f>
        <v/>
      </c>
      <c r="I2904">
        <f>XLOOKUP(D2904,Products!$A$2:$A$15,Products!$B$2:$B$15,"Not found")</f>
        <v/>
      </c>
    </row>
    <row r="2905">
      <c r="A2905" t="n">
        <v>107224</v>
      </c>
      <c r="B2905" s="1" t="n">
        <v>45927</v>
      </c>
      <c r="C2905" t="inlineStr">
        <is>
          <t>S03</t>
        </is>
      </c>
      <c r="D2905" t="inlineStr">
        <is>
          <t>P102</t>
        </is>
      </c>
      <c r="E2905" t="n">
        <v>1</v>
      </c>
      <c r="F2905" t="n">
        <v>14.5</v>
      </c>
      <c r="G2905" t="n">
        <v>0</v>
      </c>
      <c r="H2905">
        <f>E2905*F2905*(1-G2905)</f>
        <v/>
      </c>
      <c r="I2905">
        <f>XLOOKUP(D2905,Products!$A$2:$A$15,Products!$B$2:$B$15,"Not found")</f>
        <v/>
      </c>
    </row>
    <row r="2906">
      <c r="A2906" t="n">
        <v>107225</v>
      </c>
      <c r="B2906" s="1" t="n">
        <v>45927</v>
      </c>
      <c r="C2906" t="inlineStr">
        <is>
          <t>S04</t>
        </is>
      </c>
      <c r="D2906" t="inlineStr">
        <is>
          <t>P101</t>
        </is>
      </c>
      <c r="E2906" t="n">
        <v>1</v>
      </c>
      <c r="F2906" t="n">
        <v>39</v>
      </c>
      <c r="G2906" t="n">
        <v>0.2</v>
      </c>
      <c r="H2906">
        <f>E2906*F2906*(1-G2906)</f>
        <v/>
      </c>
      <c r="I2906">
        <f>XLOOKUP(D2906,Products!$A$2:$A$15,Products!$B$2:$B$15,"Not found")</f>
        <v/>
      </c>
    </row>
    <row r="2907">
      <c r="A2907" t="n">
        <v>107226</v>
      </c>
      <c r="B2907" s="1" t="n">
        <v>45927</v>
      </c>
      <c r="C2907" t="inlineStr">
        <is>
          <t>S04</t>
        </is>
      </c>
      <c r="D2907" t="inlineStr">
        <is>
          <t>P302</t>
        </is>
      </c>
      <c r="E2907" t="n">
        <v>2</v>
      </c>
      <c r="F2907" t="n">
        <v>24</v>
      </c>
      <c r="G2907" t="n">
        <v>0</v>
      </c>
      <c r="H2907">
        <f>E2907*F2907*(1-G2907)</f>
        <v/>
      </c>
      <c r="I2907">
        <f>XLOOKUP(D2907,Products!$A$2:$A$15,Products!$B$2:$B$15,"Not found")</f>
        <v/>
      </c>
    </row>
    <row r="2908">
      <c r="A2908" t="n">
        <v>107227</v>
      </c>
      <c r="B2908" s="1" t="n">
        <v>45927</v>
      </c>
      <c r="C2908" t="inlineStr">
        <is>
          <t>S05</t>
        </is>
      </c>
      <c r="D2908" t="inlineStr">
        <is>
          <t>P301</t>
        </is>
      </c>
      <c r="E2908" t="n">
        <v>1</v>
      </c>
      <c r="F2908" t="n">
        <v>119</v>
      </c>
      <c r="G2908" t="n">
        <v>0.2</v>
      </c>
      <c r="H2908">
        <f>E2908*F2908*(1-G2908)</f>
        <v/>
      </c>
      <c r="I2908">
        <f>XLOOKUP(D2908,Products!$A$2:$A$15,Products!$B$2:$B$15,"Not found")</f>
        <v/>
      </c>
    </row>
    <row r="2909">
      <c r="A2909" t="n">
        <v>107228</v>
      </c>
      <c r="B2909" s="1" t="n">
        <v>45927</v>
      </c>
      <c r="C2909" t="inlineStr">
        <is>
          <t>S05</t>
        </is>
      </c>
      <c r="D2909" t="inlineStr">
        <is>
          <t>P303</t>
        </is>
      </c>
      <c r="E2909" t="n">
        <v>2</v>
      </c>
      <c r="F2909" t="n">
        <v>12</v>
      </c>
      <c r="G2909" t="n">
        <v>0</v>
      </c>
      <c r="H2909">
        <f>E2909*F2909*(1-G2909)</f>
        <v/>
      </c>
      <c r="I2909">
        <f>XLOOKUP(D2909,Products!$A$2:$A$15,Products!$B$2:$B$15,"Not found")</f>
        <v/>
      </c>
    </row>
    <row r="2910">
      <c r="A2910" t="n">
        <v>107229</v>
      </c>
      <c r="B2910" s="1" t="n">
        <v>45927</v>
      </c>
      <c r="C2910" t="inlineStr">
        <is>
          <t>S06</t>
        </is>
      </c>
      <c r="D2910" t="inlineStr">
        <is>
          <t>P203</t>
        </is>
      </c>
      <c r="E2910" t="n">
        <v>3</v>
      </c>
      <c r="F2910" t="n">
        <v>19.5</v>
      </c>
      <c r="G2910" t="n">
        <v>0.1</v>
      </c>
      <c r="H2910">
        <f>E2910*F2910*(1-G2910)</f>
        <v/>
      </c>
      <c r="I2910">
        <f>XLOOKUP(D2910,Products!$A$2:$A$15,Products!$B$2:$B$15,"Not found")</f>
        <v/>
      </c>
    </row>
    <row r="2911">
      <c r="A2911" t="n">
        <v>107230</v>
      </c>
      <c r="B2911" s="1" t="n">
        <v>45928</v>
      </c>
      <c r="C2911" t="inlineStr">
        <is>
          <t>S01</t>
        </is>
      </c>
      <c r="D2911" t="inlineStr">
        <is>
          <t>P202</t>
        </is>
      </c>
      <c r="E2911" t="n">
        <v>4</v>
      </c>
      <c r="F2911" t="n">
        <v>79</v>
      </c>
      <c r="G2911" t="n">
        <v>0</v>
      </c>
      <c r="H2911">
        <f>E2911*F2911*(1-G2911)</f>
        <v/>
      </c>
      <c r="I2911">
        <f>XLOOKUP(D2911,Products!$A$2:$A$15,Products!$B$2:$B$15,"Not found")</f>
        <v/>
      </c>
    </row>
    <row r="2912">
      <c r="A2912" t="n">
        <v>107231</v>
      </c>
      <c r="B2912" s="1" t="n">
        <v>45928</v>
      </c>
      <c r="C2912" t="inlineStr">
        <is>
          <t>S01</t>
        </is>
      </c>
      <c r="D2912" t="inlineStr">
        <is>
          <t>P302</t>
        </is>
      </c>
      <c r="E2912" t="n">
        <v>2</v>
      </c>
      <c r="F2912" t="n">
        <v>24</v>
      </c>
      <c r="G2912" t="n">
        <v>0</v>
      </c>
      <c r="H2912">
        <f>E2912*F2912*(1-G2912)</f>
        <v/>
      </c>
      <c r="I2912">
        <f>XLOOKUP(D2912,Products!$A$2:$A$15,Products!$B$2:$B$15,"Not found")</f>
        <v/>
      </c>
    </row>
    <row r="2913">
      <c r="A2913" t="n">
        <v>107232</v>
      </c>
      <c r="B2913" s="1" t="n">
        <v>45928</v>
      </c>
      <c r="C2913" t="inlineStr">
        <is>
          <t>S01</t>
        </is>
      </c>
      <c r="D2913" t="inlineStr">
        <is>
          <t>P102</t>
        </is>
      </c>
      <c r="E2913" t="n">
        <v>3</v>
      </c>
      <c r="F2913" t="n">
        <v>14.5</v>
      </c>
      <c r="G2913" t="n">
        <v>0.2</v>
      </c>
      <c r="H2913">
        <f>E2913*F2913*(1-G2913)</f>
        <v/>
      </c>
      <c r="I2913">
        <f>XLOOKUP(D2913,Products!$A$2:$A$15,Products!$B$2:$B$15,"Not found")</f>
        <v/>
      </c>
    </row>
    <row r="2914">
      <c r="A2914" t="n">
        <v>107233</v>
      </c>
      <c r="B2914" s="1" t="n">
        <v>45928</v>
      </c>
      <c r="C2914" t="inlineStr">
        <is>
          <t>S01</t>
        </is>
      </c>
      <c r="D2914" t="inlineStr">
        <is>
          <t>P101</t>
        </is>
      </c>
      <c r="E2914" t="n">
        <v>2</v>
      </c>
      <c r="F2914" t="n">
        <v>39</v>
      </c>
      <c r="G2914" t="n">
        <v>0</v>
      </c>
      <c r="H2914">
        <f>E2914*F2914*(1-G2914)</f>
        <v/>
      </c>
      <c r="I2914">
        <f>XLOOKUP(D2914,Products!$A$2:$A$15,Products!$B$2:$B$15,"Not found")</f>
        <v/>
      </c>
    </row>
    <row r="2915">
      <c r="A2915" t="n">
        <v>107234</v>
      </c>
      <c r="B2915" s="1" t="n">
        <v>45928</v>
      </c>
      <c r="C2915" t="inlineStr">
        <is>
          <t>S02</t>
        </is>
      </c>
      <c r="D2915" t="inlineStr">
        <is>
          <t>P301</t>
        </is>
      </c>
      <c r="E2915" t="n">
        <v>1</v>
      </c>
      <c r="F2915" t="n">
        <v>119</v>
      </c>
      <c r="G2915" t="n">
        <v>0</v>
      </c>
      <c r="H2915">
        <f>E2915*F2915*(1-G2915)</f>
        <v/>
      </c>
      <c r="I2915">
        <f>XLOOKUP(D2915,Products!$A$2:$A$15,Products!$B$2:$B$15,"Not found")</f>
        <v/>
      </c>
    </row>
    <row r="2916">
      <c r="A2916" t="n">
        <v>107235</v>
      </c>
      <c r="B2916" s="1" t="n">
        <v>45928</v>
      </c>
      <c r="C2916" t="inlineStr">
        <is>
          <t>S02</t>
        </is>
      </c>
      <c r="D2916" t="inlineStr">
        <is>
          <t>P103</t>
        </is>
      </c>
      <c r="E2916" t="n">
        <v>3</v>
      </c>
      <c r="F2916" t="n">
        <v>29</v>
      </c>
      <c r="G2916" t="n">
        <v>0</v>
      </c>
      <c r="H2916">
        <f>E2916*F2916*(1-G2916)</f>
        <v/>
      </c>
      <c r="I2916">
        <f>XLOOKUP(D2916,Products!$A$2:$A$15,Products!$B$2:$B$15,"Not found")</f>
        <v/>
      </c>
    </row>
    <row r="2917">
      <c r="A2917" t="n">
        <v>107236</v>
      </c>
      <c r="B2917" s="1" t="n">
        <v>45928</v>
      </c>
      <c r="C2917" t="inlineStr">
        <is>
          <t>S03</t>
        </is>
      </c>
      <c r="D2917" t="inlineStr">
        <is>
          <t>P103</t>
        </is>
      </c>
      <c r="E2917" t="n">
        <v>1</v>
      </c>
      <c r="F2917" t="n">
        <v>29</v>
      </c>
      <c r="G2917" t="n">
        <v>0.15</v>
      </c>
      <c r="H2917">
        <f>E2917*F2917*(1-G2917)</f>
        <v/>
      </c>
      <c r="I2917">
        <f>XLOOKUP(D2917,Products!$A$2:$A$15,Products!$B$2:$B$15,"Not found")</f>
        <v/>
      </c>
    </row>
    <row r="2918">
      <c r="A2918" t="n">
        <v>107237</v>
      </c>
      <c r="B2918" s="1" t="n">
        <v>45928</v>
      </c>
      <c r="C2918" t="inlineStr">
        <is>
          <t>S03</t>
        </is>
      </c>
      <c r="D2918" t="inlineStr">
        <is>
          <t>P303</t>
        </is>
      </c>
      <c r="E2918" t="n">
        <v>1</v>
      </c>
      <c r="F2918" t="n">
        <v>12</v>
      </c>
      <c r="G2918" t="n">
        <v>0</v>
      </c>
      <c r="H2918">
        <f>E2918*F2918*(1-G2918)</f>
        <v/>
      </c>
      <c r="I2918">
        <f>XLOOKUP(D2918,Products!$A$2:$A$15,Products!$B$2:$B$15,"Not found")</f>
        <v/>
      </c>
    </row>
    <row r="2919">
      <c r="A2919" t="n">
        <v>107238</v>
      </c>
      <c r="B2919" s="1" t="n">
        <v>45928</v>
      </c>
      <c r="C2919" t="inlineStr">
        <is>
          <t>S04</t>
        </is>
      </c>
      <c r="D2919" t="inlineStr">
        <is>
          <t>P204</t>
        </is>
      </c>
      <c r="E2919" t="n">
        <v>1</v>
      </c>
      <c r="F2919" t="n">
        <v>229</v>
      </c>
      <c r="G2919" t="n">
        <v>0.2</v>
      </c>
      <c r="H2919">
        <f>E2919*F2919*(1-G2919)</f>
        <v/>
      </c>
      <c r="I2919">
        <f>XLOOKUP(D2919,Products!$A$2:$A$15,Products!$B$2:$B$15,"Not found")</f>
        <v/>
      </c>
    </row>
    <row r="2920">
      <c r="A2920" t="n">
        <v>107239</v>
      </c>
      <c r="B2920" s="1" t="n">
        <v>45928</v>
      </c>
      <c r="C2920" t="inlineStr">
        <is>
          <t>S04</t>
        </is>
      </c>
      <c r="D2920" t="inlineStr">
        <is>
          <t>P103</t>
        </is>
      </c>
      <c r="E2920" t="n">
        <v>4</v>
      </c>
      <c r="F2920" t="n">
        <v>29</v>
      </c>
      <c r="G2920" t="n">
        <v>0</v>
      </c>
      <c r="H2920">
        <f>E2920*F2920*(1-G2920)</f>
        <v/>
      </c>
      <c r="I2920">
        <f>XLOOKUP(D2920,Products!$A$2:$A$15,Products!$B$2:$B$15,"Not found")</f>
        <v/>
      </c>
    </row>
    <row r="2921">
      <c r="A2921" t="n">
        <v>107240</v>
      </c>
      <c r="B2921" s="1" t="n">
        <v>45928</v>
      </c>
      <c r="C2921" t="inlineStr">
        <is>
          <t>S04</t>
        </is>
      </c>
      <c r="D2921" t="inlineStr">
        <is>
          <t>P203</t>
        </is>
      </c>
      <c r="E2921" t="n">
        <v>1</v>
      </c>
      <c r="F2921" t="n">
        <v>19.5</v>
      </c>
      <c r="G2921" t="n">
        <v>0</v>
      </c>
      <c r="H2921">
        <f>E2921*F2921*(1-G2921)</f>
        <v/>
      </c>
      <c r="I2921">
        <f>XLOOKUP(D2921,Products!$A$2:$A$15,Products!$B$2:$B$15,"Not found")</f>
        <v/>
      </c>
    </row>
    <row r="2922">
      <c r="A2922" t="n">
        <v>107241</v>
      </c>
      <c r="B2922" s="1" t="n">
        <v>45928</v>
      </c>
      <c r="C2922" t="inlineStr">
        <is>
          <t>S04</t>
        </is>
      </c>
      <c r="D2922" t="inlineStr">
        <is>
          <t>P203</t>
        </is>
      </c>
      <c r="E2922" t="n">
        <v>2</v>
      </c>
      <c r="F2922" t="n">
        <v>19.5</v>
      </c>
      <c r="G2922" t="n">
        <v>0</v>
      </c>
      <c r="H2922">
        <f>E2922*F2922*(1-G2922)</f>
        <v/>
      </c>
      <c r="I2922">
        <f>XLOOKUP(D2922,Products!$A$2:$A$15,Products!$B$2:$B$15,"Not found")</f>
        <v/>
      </c>
    </row>
    <row r="2923">
      <c r="A2923" t="n">
        <v>107242</v>
      </c>
      <c r="B2923" s="1" t="n">
        <v>45928</v>
      </c>
      <c r="C2923" t="inlineStr">
        <is>
          <t>S04</t>
        </is>
      </c>
      <c r="D2923" t="inlineStr">
        <is>
          <t>P201</t>
        </is>
      </c>
      <c r="E2923" t="n">
        <v>1</v>
      </c>
      <c r="F2923" t="n">
        <v>149</v>
      </c>
      <c r="G2923" t="n">
        <v>0.15</v>
      </c>
      <c r="H2923">
        <f>E2923*F2923*(1-G2923)</f>
        <v/>
      </c>
      <c r="I2923">
        <f>XLOOKUP(D2923,Products!$A$2:$A$15,Products!$B$2:$B$15,"Not found")</f>
        <v/>
      </c>
    </row>
    <row r="2924">
      <c r="A2924" t="n">
        <v>107243</v>
      </c>
      <c r="B2924" s="1" t="n">
        <v>45928</v>
      </c>
      <c r="C2924" t="inlineStr">
        <is>
          <t>S05</t>
        </is>
      </c>
      <c r="D2924" t="inlineStr">
        <is>
          <t>P103</t>
        </is>
      </c>
      <c r="E2924" t="n">
        <v>3</v>
      </c>
      <c r="F2924" t="n">
        <v>29</v>
      </c>
      <c r="G2924" t="n">
        <v>0</v>
      </c>
      <c r="H2924">
        <f>E2924*F2924*(1-G2924)</f>
        <v/>
      </c>
      <c r="I2924">
        <f>XLOOKUP(D2924,Products!$A$2:$A$15,Products!$B$2:$B$15,"Not found")</f>
        <v/>
      </c>
    </row>
    <row r="2925">
      <c r="A2925" t="n">
        <v>107244</v>
      </c>
      <c r="B2925" s="1" t="n">
        <v>45928</v>
      </c>
      <c r="C2925" t="inlineStr">
        <is>
          <t>S05</t>
        </is>
      </c>
      <c r="D2925" t="inlineStr">
        <is>
          <t>P103</t>
        </is>
      </c>
      <c r="E2925" t="n">
        <v>2</v>
      </c>
      <c r="F2925" t="n">
        <v>29</v>
      </c>
      <c r="G2925" t="n">
        <v>0</v>
      </c>
      <c r="H2925">
        <f>E2925*F2925*(1-G2925)</f>
        <v/>
      </c>
      <c r="I2925">
        <f>XLOOKUP(D2925,Products!$A$2:$A$15,Products!$B$2:$B$15,"Not found")</f>
        <v/>
      </c>
    </row>
    <row r="2926">
      <c r="A2926" t="n">
        <v>107245</v>
      </c>
      <c r="B2926" s="1" t="n">
        <v>45929</v>
      </c>
      <c r="C2926" t="inlineStr">
        <is>
          <t>S01</t>
        </is>
      </c>
      <c r="D2926" t="inlineStr">
        <is>
          <t>P101</t>
        </is>
      </c>
      <c r="E2926" t="n">
        <v>3</v>
      </c>
      <c r="F2926" t="n">
        <v>39</v>
      </c>
      <c r="G2926" t="n">
        <v>0</v>
      </c>
      <c r="H2926">
        <f>E2926*F2926*(1-G2926)</f>
        <v/>
      </c>
      <c r="I2926">
        <f>XLOOKUP(D2926,Products!$A$2:$A$15,Products!$B$2:$B$15,"Not found")</f>
        <v/>
      </c>
    </row>
    <row r="2927">
      <c r="A2927" t="n">
        <v>107246</v>
      </c>
      <c r="B2927" s="1" t="n">
        <v>45929</v>
      </c>
      <c r="C2927" t="inlineStr">
        <is>
          <t>S01</t>
        </is>
      </c>
      <c r="D2927" t="inlineStr">
        <is>
          <t>P202</t>
        </is>
      </c>
      <c r="E2927" t="n">
        <v>1</v>
      </c>
      <c r="F2927" t="n">
        <v>79</v>
      </c>
      <c r="G2927" t="n">
        <v>0</v>
      </c>
      <c r="H2927">
        <f>E2927*F2927*(1-G2927)</f>
        <v/>
      </c>
      <c r="I2927">
        <f>XLOOKUP(D2927,Products!$A$2:$A$15,Products!$B$2:$B$15,"Not found")</f>
        <v/>
      </c>
    </row>
    <row r="2928">
      <c r="A2928" t="n">
        <v>107247</v>
      </c>
      <c r="B2928" s="1" t="n">
        <v>45929</v>
      </c>
      <c r="C2928" t="inlineStr">
        <is>
          <t>S01</t>
        </is>
      </c>
      <c r="D2928" t="inlineStr">
        <is>
          <t>P102</t>
        </is>
      </c>
      <c r="E2928" t="n">
        <v>2</v>
      </c>
      <c r="F2928" t="n">
        <v>14.5</v>
      </c>
      <c r="G2928" t="n">
        <v>0</v>
      </c>
      <c r="H2928">
        <f>E2928*F2928*(1-G2928)</f>
        <v/>
      </c>
      <c r="I2928">
        <f>XLOOKUP(D2928,Products!$A$2:$A$15,Products!$B$2:$B$15,"Not found")</f>
        <v/>
      </c>
    </row>
    <row r="2929">
      <c r="A2929" t="n">
        <v>107248</v>
      </c>
      <c r="B2929" s="1" t="n">
        <v>45929</v>
      </c>
      <c r="C2929" t="inlineStr">
        <is>
          <t>S01</t>
        </is>
      </c>
      <c r="D2929" t="inlineStr">
        <is>
          <t>P303</t>
        </is>
      </c>
      <c r="E2929" t="n">
        <v>3</v>
      </c>
      <c r="F2929" t="n">
        <v>12</v>
      </c>
      <c r="G2929" t="n">
        <v>0.1</v>
      </c>
      <c r="H2929">
        <f>E2929*F2929*(1-G2929)</f>
        <v/>
      </c>
      <c r="I2929">
        <f>XLOOKUP(D2929,Products!$A$2:$A$15,Products!$B$2:$B$15,"Not found")</f>
        <v/>
      </c>
    </row>
    <row r="2930">
      <c r="A2930" t="n">
        <v>107249</v>
      </c>
      <c r="B2930" s="1" t="n">
        <v>45929</v>
      </c>
      <c r="C2930" t="inlineStr">
        <is>
          <t>S01</t>
        </is>
      </c>
      <c r="D2930" t="inlineStr">
        <is>
          <t>P302</t>
        </is>
      </c>
      <c r="E2930" t="n">
        <v>3</v>
      </c>
      <c r="F2930" t="n">
        <v>24</v>
      </c>
      <c r="G2930" t="n">
        <v>0</v>
      </c>
      <c r="H2930">
        <f>E2930*F2930*(1-G2930)</f>
        <v/>
      </c>
      <c r="I2930">
        <f>XLOOKUP(D2930,Products!$A$2:$A$15,Products!$B$2:$B$15,"Not found")</f>
        <v/>
      </c>
    </row>
    <row r="2931">
      <c r="A2931" t="n">
        <v>107250</v>
      </c>
      <c r="B2931" s="1" t="n">
        <v>45929</v>
      </c>
      <c r="C2931" t="inlineStr">
        <is>
          <t>S02</t>
        </is>
      </c>
      <c r="D2931" t="inlineStr">
        <is>
          <t>P102</t>
        </is>
      </c>
      <c r="E2931" t="n">
        <v>1</v>
      </c>
      <c r="F2931" t="n">
        <v>14.5</v>
      </c>
      <c r="G2931" t="n">
        <v>0</v>
      </c>
      <c r="H2931">
        <f>E2931*F2931*(1-G2931)</f>
        <v/>
      </c>
      <c r="I2931">
        <f>XLOOKUP(D2931,Products!$A$2:$A$15,Products!$B$2:$B$15,"Not found")</f>
        <v/>
      </c>
    </row>
    <row r="2932">
      <c r="A2932" t="n">
        <v>107251</v>
      </c>
      <c r="B2932" s="1" t="n">
        <v>45929</v>
      </c>
      <c r="C2932" t="inlineStr">
        <is>
          <t>S02</t>
        </is>
      </c>
      <c r="D2932" t="inlineStr">
        <is>
          <t>P303</t>
        </is>
      </c>
      <c r="E2932" t="n">
        <v>2</v>
      </c>
      <c r="F2932" t="n">
        <v>12</v>
      </c>
      <c r="G2932" t="n">
        <v>0</v>
      </c>
      <c r="H2932">
        <f>E2932*F2932*(1-G2932)</f>
        <v/>
      </c>
      <c r="I2932">
        <f>XLOOKUP(D2932,Products!$A$2:$A$15,Products!$B$2:$B$15,"Not found")</f>
        <v/>
      </c>
    </row>
    <row r="2933">
      <c r="A2933" t="n">
        <v>107252</v>
      </c>
      <c r="B2933" s="1" t="n">
        <v>45929</v>
      </c>
      <c r="C2933" t="inlineStr">
        <is>
          <t>S02</t>
        </is>
      </c>
      <c r="D2933" t="inlineStr">
        <is>
          <t>P201</t>
        </is>
      </c>
      <c r="E2933" t="n">
        <v>1</v>
      </c>
      <c r="F2933" t="n">
        <v>149</v>
      </c>
      <c r="G2933" t="n">
        <v>0.2</v>
      </c>
      <c r="H2933">
        <f>E2933*F2933*(1-G2933)</f>
        <v/>
      </c>
      <c r="I2933">
        <f>XLOOKUP(D2933,Products!$A$2:$A$15,Products!$B$2:$B$15,"Not found")</f>
        <v/>
      </c>
    </row>
    <row r="2934">
      <c r="A2934" t="n">
        <v>107253</v>
      </c>
      <c r="B2934" s="1" t="n">
        <v>45929</v>
      </c>
      <c r="C2934" t="inlineStr">
        <is>
          <t>S02</t>
        </is>
      </c>
      <c r="D2934" t="inlineStr">
        <is>
          <t>P103</t>
        </is>
      </c>
      <c r="E2934" t="n">
        <v>1</v>
      </c>
      <c r="F2934" t="n">
        <v>29</v>
      </c>
      <c r="G2934" t="n">
        <v>0.2</v>
      </c>
      <c r="H2934">
        <f>E2934*F2934*(1-G2934)</f>
        <v/>
      </c>
      <c r="I2934">
        <f>XLOOKUP(D2934,Products!$A$2:$A$15,Products!$B$2:$B$15,"Not found")</f>
        <v/>
      </c>
    </row>
    <row r="2935">
      <c r="A2935" t="n">
        <v>107254</v>
      </c>
      <c r="B2935" s="1" t="n">
        <v>45929</v>
      </c>
      <c r="C2935" t="inlineStr">
        <is>
          <t>S02</t>
        </is>
      </c>
      <c r="D2935" t="inlineStr">
        <is>
          <t>P102</t>
        </is>
      </c>
      <c r="E2935" t="n">
        <v>3</v>
      </c>
      <c r="F2935" t="n">
        <v>14.5</v>
      </c>
      <c r="G2935" t="n">
        <v>0.1</v>
      </c>
      <c r="H2935">
        <f>E2935*F2935*(1-G2935)</f>
        <v/>
      </c>
      <c r="I2935">
        <f>XLOOKUP(D2935,Products!$A$2:$A$15,Products!$B$2:$B$15,"Not found")</f>
        <v/>
      </c>
    </row>
    <row r="2936">
      <c r="A2936" t="n">
        <v>107255</v>
      </c>
      <c r="B2936" s="1" t="n">
        <v>45929</v>
      </c>
      <c r="C2936" t="inlineStr">
        <is>
          <t>S03</t>
        </is>
      </c>
      <c r="D2936" t="inlineStr">
        <is>
          <t>P101</t>
        </is>
      </c>
      <c r="E2936" t="n">
        <v>1</v>
      </c>
      <c r="F2936" t="n">
        <v>39</v>
      </c>
      <c r="G2936" t="n">
        <v>0.15</v>
      </c>
      <c r="H2936">
        <f>E2936*F2936*(1-G2936)</f>
        <v/>
      </c>
      <c r="I2936">
        <f>XLOOKUP(D2936,Products!$A$2:$A$15,Products!$B$2:$B$15,"Not found")</f>
        <v/>
      </c>
    </row>
    <row r="2937">
      <c r="A2937" t="n">
        <v>107256</v>
      </c>
      <c r="B2937" s="1" t="n">
        <v>45929</v>
      </c>
      <c r="C2937" t="inlineStr">
        <is>
          <t>S04</t>
        </is>
      </c>
      <c r="D2937" t="inlineStr">
        <is>
          <t>P103</t>
        </is>
      </c>
      <c r="E2937" t="n">
        <v>1</v>
      </c>
      <c r="F2937" t="n">
        <v>29</v>
      </c>
      <c r="G2937" t="n">
        <v>0</v>
      </c>
      <c r="H2937">
        <f>E2937*F2937*(1-G2937)</f>
        <v/>
      </c>
      <c r="I2937">
        <f>XLOOKUP(D2937,Products!$A$2:$A$15,Products!$B$2:$B$15,"Not found")</f>
        <v/>
      </c>
    </row>
    <row r="2938">
      <c r="A2938" t="n">
        <v>107257</v>
      </c>
      <c r="B2938" s="1" t="n">
        <v>45929</v>
      </c>
      <c r="C2938" t="inlineStr">
        <is>
          <t>S04</t>
        </is>
      </c>
      <c r="D2938" t="inlineStr">
        <is>
          <t>P301</t>
        </is>
      </c>
      <c r="E2938" t="n">
        <v>1</v>
      </c>
      <c r="F2938" t="n">
        <v>119</v>
      </c>
      <c r="G2938" t="n">
        <v>0</v>
      </c>
      <c r="H2938">
        <f>E2938*F2938*(1-G2938)</f>
        <v/>
      </c>
      <c r="I2938">
        <f>XLOOKUP(D2938,Products!$A$2:$A$15,Products!$B$2:$B$15,"Not found")</f>
        <v/>
      </c>
    </row>
    <row r="2939">
      <c r="A2939" t="n">
        <v>107258</v>
      </c>
      <c r="B2939" s="1" t="n">
        <v>45929</v>
      </c>
      <c r="C2939" t="inlineStr">
        <is>
          <t>S05</t>
        </is>
      </c>
      <c r="D2939" t="inlineStr">
        <is>
          <t>P103</t>
        </is>
      </c>
      <c r="E2939" t="n">
        <v>2</v>
      </c>
      <c r="F2939" t="n">
        <v>29</v>
      </c>
      <c r="G2939" t="n">
        <v>0</v>
      </c>
      <c r="H2939">
        <f>E2939*F2939*(1-G2939)</f>
        <v/>
      </c>
      <c r="I2939">
        <f>XLOOKUP(D2939,Products!$A$2:$A$15,Products!$B$2:$B$15,"Not found")</f>
        <v/>
      </c>
    </row>
    <row r="2940">
      <c r="A2940" t="n">
        <v>107259</v>
      </c>
      <c r="B2940" s="1" t="n">
        <v>45929</v>
      </c>
      <c r="C2940" t="inlineStr">
        <is>
          <t>S06</t>
        </is>
      </c>
      <c r="D2940" t="inlineStr">
        <is>
          <t>P102</t>
        </is>
      </c>
      <c r="E2940" t="n">
        <v>2</v>
      </c>
      <c r="F2940" t="n">
        <v>14.5</v>
      </c>
      <c r="G2940" t="n">
        <v>0.1</v>
      </c>
      <c r="H2940">
        <f>E2940*F2940*(1-G2940)</f>
        <v/>
      </c>
      <c r="I2940">
        <f>XLOOKUP(D2940,Products!$A$2:$A$15,Products!$B$2:$B$15,"Not found")</f>
        <v/>
      </c>
    </row>
    <row r="2941">
      <c r="A2941" t="n">
        <v>107260</v>
      </c>
      <c r="B2941" s="1" t="n">
        <v>45930</v>
      </c>
      <c r="C2941" t="inlineStr">
        <is>
          <t>S01</t>
        </is>
      </c>
      <c r="D2941" t="inlineStr">
        <is>
          <t>P204</t>
        </is>
      </c>
      <c r="E2941" t="n">
        <v>1</v>
      </c>
      <c r="F2941" t="n">
        <v>229</v>
      </c>
      <c r="G2941" t="n">
        <v>0.1</v>
      </c>
      <c r="H2941">
        <f>E2941*F2941*(1-G2941)</f>
        <v/>
      </c>
      <c r="I2941">
        <f>XLOOKUP(D2941,Products!$A$2:$A$15,Products!$B$2:$B$15,"Not found")</f>
        <v/>
      </c>
    </row>
    <row r="2942">
      <c r="A2942" t="n">
        <v>107261</v>
      </c>
      <c r="B2942" s="1" t="n">
        <v>45930</v>
      </c>
      <c r="C2942" t="inlineStr">
        <is>
          <t>S01</t>
        </is>
      </c>
      <c r="D2942" t="inlineStr">
        <is>
          <t>P201</t>
        </is>
      </c>
      <c r="E2942" t="n">
        <v>1</v>
      </c>
      <c r="F2942" t="n">
        <v>149</v>
      </c>
      <c r="G2942" t="n">
        <v>0</v>
      </c>
      <c r="H2942">
        <f>E2942*F2942*(1-G2942)</f>
        <v/>
      </c>
      <c r="I2942">
        <f>XLOOKUP(D2942,Products!$A$2:$A$15,Products!$B$2:$B$15,"Not found")</f>
        <v/>
      </c>
    </row>
    <row r="2943">
      <c r="A2943" t="n">
        <v>107262</v>
      </c>
      <c r="B2943" s="1" t="n">
        <v>45930</v>
      </c>
      <c r="C2943" t="inlineStr">
        <is>
          <t>S01</t>
        </is>
      </c>
      <c r="D2943" t="inlineStr">
        <is>
          <t>P303</t>
        </is>
      </c>
      <c r="E2943" t="n">
        <v>1</v>
      </c>
      <c r="F2943" t="n">
        <v>12</v>
      </c>
      <c r="G2943" t="n">
        <v>0</v>
      </c>
      <c r="H2943">
        <f>E2943*F2943*(1-G2943)</f>
        <v/>
      </c>
      <c r="I2943">
        <f>XLOOKUP(D2943,Products!$A$2:$A$15,Products!$B$2:$B$15,"Not found")</f>
        <v/>
      </c>
    </row>
    <row r="2944">
      <c r="A2944" t="n">
        <v>107263</v>
      </c>
      <c r="B2944" s="1" t="n">
        <v>45930</v>
      </c>
      <c r="C2944" t="inlineStr">
        <is>
          <t>S01</t>
        </is>
      </c>
      <c r="D2944" t="inlineStr">
        <is>
          <t>P303</t>
        </is>
      </c>
      <c r="E2944" t="n">
        <v>1</v>
      </c>
      <c r="F2944" t="n">
        <v>12</v>
      </c>
      <c r="G2944" t="n">
        <v>0</v>
      </c>
      <c r="H2944">
        <f>E2944*F2944*(1-G2944)</f>
        <v/>
      </c>
      <c r="I2944">
        <f>XLOOKUP(D2944,Products!$A$2:$A$15,Products!$B$2:$B$15,"Not found")</f>
        <v/>
      </c>
    </row>
    <row r="2945">
      <c r="A2945" t="n">
        <v>107264</v>
      </c>
      <c r="B2945" s="1" t="n">
        <v>45930</v>
      </c>
      <c r="C2945" t="inlineStr">
        <is>
          <t>S03</t>
        </is>
      </c>
      <c r="D2945" t="inlineStr">
        <is>
          <t>P104</t>
        </is>
      </c>
      <c r="E2945" t="n">
        <v>1</v>
      </c>
      <c r="F2945" t="n">
        <v>189</v>
      </c>
      <c r="G2945" t="n">
        <v>0</v>
      </c>
      <c r="H2945">
        <f>E2945*F2945*(1-G2945)</f>
        <v/>
      </c>
      <c r="I2945">
        <f>XLOOKUP(D2945,Products!$A$2:$A$15,Products!$B$2:$B$15,"Not found")</f>
        <v/>
      </c>
    </row>
    <row r="2946">
      <c r="A2946" t="n">
        <v>107265</v>
      </c>
      <c r="B2946" s="1" t="n">
        <v>45930</v>
      </c>
      <c r="C2946" t="inlineStr">
        <is>
          <t>S03</t>
        </is>
      </c>
      <c r="D2946" t="inlineStr">
        <is>
          <t>P302</t>
        </is>
      </c>
      <c r="E2946" t="n">
        <v>2</v>
      </c>
      <c r="F2946" t="n">
        <v>24</v>
      </c>
      <c r="G2946" t="n">
        <v>0</v>
      </c>
      <c r="H2946">
        <f>E2946*F2946*(1-G2946)</f>
        <v/>
      </c>
      <c r="I2946">
        <f>XLOOKUP(D2946,Products!$A$2:$A$15,Products!$B$2:$B$15,"Not found")</f>
        <v/>
      </c>
    </row>
    <row r="2947">
      <c r="A2947" t="n">
        <v>107266</v>
      </c>
      <c r="B2947" s="1" t="n">
        <v>45930</v>
      </c>
      <c r="C2947" t="inlineStr">
        <is>
          <t>S04</t>
        </is>
      </c>
      <c r="D2947" t="inlineStr">
        <is>
          <t>P201</t>
        </is>
      </c>
      <c r="E2947" t="n">
        <v>1</v>
      </c>
      <c r="F2947" t="n">
        <v>149</v>
      </c>
      <c r="G2947" t="n">
        <v>0.15</v>
      </c>
      <c r="H2947">
        <f>E2947*F2947*(1-G2947)</f>
        <v/>
      </c>
      <c r="I2947">
        <f>XLOOKUP(D2947,Products!$A$2:$A$15,Products!$B$2:$B$15,"Not found")</f>
        <v/>
      </c>
    </row>
    <row r="2948">
      <c r="A2948" t="n">
        <v>107267</v>
      </c>
      <c r="B2948" s="1" t="n">
        <v>45930</v>
      </c>
      <c r="C2948" t="inlineStr">
        <is>
          <t>S06</t>
        </is>
      </c>
      <c r="D2948" t="inlineStr">
        <is>
          <t>P203</t>
        </is>
      </c>
      <c r="E2948" t="n">
        <v>1</v>
      </c>
      <c r="F2948" t="n">
        <v>19.5</v>
      </c>
      <c r="G2948" t="n">
        <v>0</v>
      </c>
      <c r="H2948">
        <f>E2948*F2948*(1-G2948)</f>
        <v/>
      </c>
      <c r="I2948">
        <f>XLOOKUP(D2948,Products!$A$2:$A$15,Products!$B$2:$B$15,"Not found")</f>
        <v/>
      </c>
    </row>
    <row r="2949">
      <c r="A2949" t="n">
        <v>107268</v>
      </c>
      <c r="B2949" s="1" t="n">
        <v>45931</v>
      </c>
      <c r="C2949" t="inlineStr">
        <is>
          <t>S01</t>
        </is>
      </c>
      <c r="D2949" t="inlineStr">
        <is>
          <t>P202</t>
        </is>
      </c>
      <c r="E2949" t="n">
        <v>2</v>
      </c>
      <c r="F2949" t="n">
        <v>79</v>
      </c>
      <c r="G2949" t="n">
        <v>0.15</v>
      </c>
      <c r="H2949">
        <f>E2949*F2949*(1-G2949)</f>
        <v/>
      </c>
      <c r="I2949">
        <f>XLOOKUP(D2949,Products!$A$2:$A$15,Products!$B$2:$B$15,"Not found")</f>
        <v/>
      </c>
    </row>
    <row r="2950">
      <c r="A2950" t="n">
        <v>107269</v>
      </c>
      <c r="B2950" s="1" t="n">
        <v>45931</v>
      </c>
      <c r="C2950" t="inlineStr">
        <is>
          <t>S01</t>
        </is>
      </c>
      <c r="D2950" t="inlineStr">
        <is>
          <t>P102</t>
        </is>
      </c>
      <c r="E2950" t="n">
        <v>2</v>
      </c>
      <c r="F2950" t="n">
        <v>14.5</v>
      </c>
      <c r="G2950" t="n">
        <v>0</v>
      </c>
      <c r="H2950">
        <f>E2950*F2950*(1-G2950)</f>
        <v/>
      </c>
      <c r="I2950">
        <f>XLOOKUP(D2950,Products!$A$2:$A$15,Products!$B$2:$B$15,"Not found")</f>
        <v/>
      </c>
    </row>
    <row r="2951">
      <c r="A2951" t="n">
        <v>107270</v>
      </c>
      <c r="B2951" s="1" t="n">
        <v>45931</v>
      </c>
      <c r="C2951" t="inlineStr">
        <is>
          <t>S01</t>
        </is>
      </c>
      <c r="D2951" t="inlineStr">
        <is>
          <t>P102</t>
        </is>
      </c>
      <c r="E2951" t="n">
        <v>4</v>
      </c>
      <c r="F2951" t="n">
        <v>14.5</v>
      </c>
      <c r="G2951" t="n">
        <v>0</v>
      </c>
      <c r="H2951">
        <f>E2951*F2951*(1-G2951)</f>
        <v/>
      </c>
      <c r="I2951">
        <f>XLOOKUP(D2951,Products!$A$2:$A$15,Products!$B$2:$B$15,"Not found")</f>
        <v/>
      </c>
    </row>
    <row r="2952">
      <c r="A2952" t="n">
        <v>107271</v>
      </c>
      <c r="B2952" s="1" t="n">
        <v>45931</v>
      </c>
      <c r="C2952" t="inlineStr">
        <is>
          <t>S02</t>
        </is>
      </c>
      <c r="D2952" t="inlineStr">
        <is>
          <t>P203</t>
        </is>
      </c>
      <c r="E2952" t="n">
        <v>1</v>
      </c>
      <c r="F2952" t="n">
        <v>19.5</v>
      </c>
      <c r="G2952" t="n">
        <v>0.2</v>
      </c>
      <c r="H2952">
        <f>E2952*F2952*(1-G2952)</f>
        <v/>
      </c>
      <c r="I2952">
        <f>XLOOKUP(D2952,Products!$A$2:$A$15,Products!$B$2:$B$15,"Not found")</f>
        <v/>
      </c>
    </row>
    <row r="2953">
      <c r="A2953" t="n">
        <v>107272</v>
      </c>
      <c r="B2953" s="1" t="n">
        <v>45931</v>
      </c>
      <c r="C2953" t="inlineStr">
        <is>
          <t>S02</t>
        </is>
      </c>
      <c r="D2953" t="inlineStr">
        <is>
          <t>P103</t>
        </is>
      </c>
      <c r="E2953" t="n">
        <v>1</v>
      </c>
      <c r="F2953" t="n">
        <v>29</v>
      </c>
      <c r="G2953" t="n">
        <v>0</v>
      </c>
      <c r="H2953">
        <f>E2953*F2953*(1-G2953)</f>
        <v/>
      </c>
      <c r="I2953">
        <f>XLOOKUP(D2953,Products!$A$2:$A$15,Products!$B$2:$B$15,"Not found")</f>
        <v/>
      </c>
    </row>
    <row r="2954">
      <c r="A2954" t="n">
        <v>107273</v>
      </c>
      <c r="B2954" s="1" t="n">
        <v>45931</v>
      </c>
      <c r="C2954" t="inlineStr">
        <is>
          <t>S02</t>
        </is>
      </c>
      <c r="D2954" t="inlineStr">
        <is>
          <t>P101</t>
        </is>
      </c>
      <c r="E2954" t="n">
        <v>1</v>
      </c>
      <c r="F2954" t="n">
        <v>39</v>
      </c>
      <c r="G2954" t="n">
        <v>0</v>
      </c>
      <c r="H2954">
        <f>E2954*F2954*(1-G2954)</f>
        <v/>
      </c>
      <c r="I2954">
        <f>XLOOKUP(D2954,Products!$A$2:$A$15,Products!$B$2:$B$15,"Not found")</f>
        <v/>
      </c>
    </row>
    <row r="2955">
      <c r="A2955" t="n">
        <v>107274</v>
      </c>
      <c r="B2955" s="1" t="n">
        <v>45931</v>
      </c>
      <c r="C2955" t="inlineStr">
        <is>
          <t>S03</t>
        </is>
      </c>
      <c r="D2955" t="inlineStr">
        <is>
          <t>P101</t>
        </is>
      </c>
      <c r="E2955" t="n">
        <v>1</v>
      </c>
      <c r="F2955" t="n">
        <v>39</v>
      </c>
      <c r="G2955" t="n">
        <v>0.1</v>
      </c>
      <c r="H2955">
        <f>E2955*F2955*(1-G2955)</f>
        <v/>
      </c>
      <c r="I2955">
        <f>XLOOKUP(D2955,Products!$A$2:$A$15,Products!$B$2:$B$15,"Not found")</f>
        <v/>
      </c>
    </row>
    <row r="2956">
      <c r="A2956" t="n">
        <v>107275</v>
      </c>
      <c r="B2956" s="1" t="n">
        <v>45931</v>
      </c>
      <c r="C2956" t="inlineStr">
        <is>
          <t>S03</t>
        </is>
      </c>
      <c r="D2956" t="inlineStr">
        <is>
          <t>P102</t>
        </is>
      </c>
      <c r="E2956" t="n">
        <v>2</v>
      </c>
      <c r="F2956" t="n">
        <v>14.5</v>
      </c>
      <c r="G2956" t="n">
        <v>0.2</v>
      </c>
      <c r="H2956">
        <f>E2956*F2956*(1-G2956)</f>
        <v/>
      </c>
      <c r="I2956">
        <f>XLOOKUP(D2956,Products!$A$2:$A$15,Products!$B$2:$B$15,"Not found")</f>
        <v/>
      </c>
    </row>
    <row r="2957">
      <c r="A2957" t="n">
        <v>107276</v>
      </c>
      <c r="B2957" s="1" t="n">
        <v>45931</v>
      </c>
      <c r="C2957" t="inlineStr">
        <is>
          <t>S04</t>
        </is>
      </c>
      <c r="D2957" t="inlineStr">
        <is>
          <t>P203</t>
        </is>
      </c>
      <c r="E2957" t="n">
        <v>4</v>
      </c>
      <c r="F2957" t="n">
        <v>19.5</v>
      </c>
      <c r="G2957" t="n">
        <v>0</v>
      </c>
      <c r="H2957">
        <f>E2957*F2957*(1-G2957)</f>
        <v/>
      </c>
      <c r="I2957">
        <f>XLOOKUP(D2957,Products!$A$2:$A$15,Products!$B$2:$B$15,"Not found")</f>
        <v/>
      </c>
    </row>
    <row r="2958">
      <c r="A2958" t="n">
        <v>107277</v>
      </c>
      <c r="B2958" s="1" t="n">
        <v>45931</v>
      </c>
      <c r="C2958" t="inlineStr">
        <is>
          <t>S04</t>
        </is>
      </c>
      <c r="D2958" t="inlineStr">
        <is>
          <t>P302</t>
        </is>
      </c>
      <c r="E2958" t="n">
        <v>4</v>
      </c>
      <c r="F2958" t="n">
        <v>24</v>
      </c>
      <c r="G2958" t="n">
        <v>0</v>
      </c>
      <c r="H2958">
        <f>E2958*F2958*(1-G2958)</f>
        <v/>
      </c>
      <c r="I2958">
        <f>XLOOKUP(D2958,Products!$A$2:$A$15,Products!$B$2:$B$15,"Not found")</f>
        <v/>
      </c>
    </row>
    <row r="2959">
      <c r="A2959" t="n">
        <v>107278</v>
      </c>
      <c r="B2959" s="1" t="n">
        <v>45931</v>
      </c>
      <c r="C2959" t="inlineStr">
        <is>
          <t>S04</t>
        </is>
      </c>
      <c r="D2959" t="inlineStr">
        <is>
          <t>P101</t>
        </is>
      </c>
      <c r="E2959" t="n">
        <v>3</v>
      </c>
      <c r="F2959" t="n">
        <v>39</v>
      </c>
      <c r="G2959" t="n">
        <v>0</v>
      </c>
      <c r="H2959">
        <f>E2959*F2959*(1-G2959)</f>
        <v/>
      </c>
      <c r="I2959">
        <f>XLOOKUP(D2959,Products!$A$2:$A$15,Products!$B$2:$B$15,"Not found")</f>
        <v/>
      </c>
    </row>
    <row r="2960">
      <c r="A2960" t="n">
        <v>107279</v>
      </c>
      <c r="B2960" s="1" t="n">
        <v>45931</v>
      </c>
      <c r="C2960" t="inlineStr">
        <is>
          <t>S05</t>
        </is>
      </c>
      <c r="D2960" t="inlineStr">
        <is>
          <t>P301</t>
        </is>
      </c>
      <c r="E2960" t="n">
        <v>1</v>
      </c>
      <c r="F2960" t="n">
        <v>119</v>
      </c>
      <c r="G2960" t="n">
        <v>0</v>
      </c>
      <c r="H2960">
        <f>E2960*F2960*(1-G2960)</f>
        <v/>
      </c>
      <c r="I2960">
        <f>XLOOKUP(D2960,Products!$A$2:$A$15,Products!$B$2:$B$15,"Not found")</f>
        <v/>
      </c>
    </row>
    <row r="2961">
      <c r="A2961" t="n">
        <v>107280</v>
      </c>
      <c r="B2961" s="1" t="n">
        <v>45931</v>
      </c>
      <c r="C2961" t="inlineStr">
        <is>
          <t>S05</t>
        </is>
      </c>
      <c r="D2961" t="inlineStr">
        <is>
          <t>P102</t>
        </is>
      </c>
      <c r="E2961" t="n">
        <v>2</v>
      </c>
      <c r="F2961" t="n">
        <v>14.5</v>
      </c>
      <c r="G2961" t="n">
        <v>0</v>
      </c>
      <c r="H2961">
        <f>E2961*F2961*(1-G2961)</f>
        <v/>
      </c>
      <c r="I2961">
        <f>XLOOKUP(D2961,Products!$A$2:$A$15,Products!$B$2:$B$15,"Not found")</f>
        <v/>
      </c>
    </row>
    <row r="2962">
      <c r="A2962" t="n">
        <v>107281</v>
      </c>
      <c r="B2962" s="1" t="n">
        <v>45932</v>
      </c>
      <c r="C2962" t="inlineStr">
        <is>
          <t>S01</t>
        </is>
      </c>
      <c r="D2962" t="inlineStr">
        <is>
          <t>P302</t>
        </is>
      </c>
      <c r="E2962" t="n">
        <v>4</v>
      </c>
      <c r="F2962" t="n">
        <v>24</v>
      </c>
      <c r="G2962" t="n">
        <v>0.15</v>
      </c>
      <c r="H2962">
        <f>E2962*F2962*(1-G2962)</f>
        <v/>
      </c>
      <c r="I2962">
        <f>XLOOKUP(D2962,Products!$A$2:$A$15,Products!$B$2:$B$15,"Not found")</f>
        <v/>
      </c>
    </row>
    <row r="2963">
      <c r="A2963" t="n">
        <v>107282</v>
      </c>
      <c r="B2963" s="1" t="n">
        <v>45932</v>
      </c>
      <c r="C2963" t="inlineStr">
        <is>
          <t>S01</t>
        </is>
      </c>
      <c r="D2963" t="inlineStr">
        <is>
          <t>P301</t>
        </is>
      </c>
      <c r="E2963" t="n">
        <v>1</v>
      </c>
      <c r="F2963" t="n">
        <v>119</v>
      </c>
      <c r="G2963" t="n">
        <v>0</v>
      </c>
      <c r="H2963">
        <f>E2963*F2963*(1-G2963)</f>
        <v/>
      </c>
      <c r="I2963">
        <f>XLOOKUP(D2963,Products!$A$2:$A$15,Products!$B$2:$B$15,"Not found")</f>
        <v/>
      </c>
    </row>
    <row r="2964">
      <c r="A2964" t="n">
        <v>107283</v>
      </c>
      <c r="B2964" s="1" t="n">
        <v>45932</v>
      </c>
      <c r="C2964" t="inlineStr">
        <is>
          <t>S02</t>
        </is>
      </c>
      <c r="D2964" t="inlineStr">
        <is>
          <t>P102</t>
        </is>
      </c>
      <c r="E2964" t="n">
        <v>2</v>
      </c>
      <c r="F2964" t="n">
        <v>14.5</v>
      </c>
      <c r="G2964" t="n">
        <v>0</v>
      </c>
      <c r="H2964">
        <f>E2964*F2964*(1-G2964)</f>
        <v/>
      </c>
      <c r="I2964">
        <f>XLOOKUP(D2964,Products!$A$2:$A$15,Products!$B$2:$B$15,"Not found")</f>
        <v/>
      </c>
    </row>
    <row r="2965">
      <c r="A2965" t="n">
        <v>107284</v>
      </c>
      <c r="B2965" s="1" t="n">
        <v>45932</v>
      </c>
      <c r="C2965" t="inlineStr">
        <is>
          <t>S02</t>
        </is>
      </c>
      <c r="D2965" t="inlineStr">
        <is>
          <t>P101</t>
        </is>
      </c>
      <c r="E2965" t="n">
        <v>2</v>
      </c>
      <c r="F2965" t="n">
        <v>39</v>
      </c>
      <c r="G2965" t="n">
        <v>0.1</v>
      </c>
      <c r="H2965">
        <f>E2965*F2965*(1-G2965)</f>
        <v/>
      </c>
      <c r="I2965">
        <f>XLOOKUP(D2965,Products!$A$2:$A$15,Products!$B$2:$B$15,"Not found")</f>
        <v/>
      </c>
    </row>
    <row r="2966">
      <c r="A2966" t="n">
        <v>107285</v>
      </c>
      <c r="B2966" s="1" t="n">
        <v>45932</v>
      </c>
      <c r="C2966" t="inlineStr">
        <is>
          <t>S02</t>
        </is>
      </c>
      <c r="D2966" t="inlineStr">
        <is>
          <t>P202</t>
        </is>
      </c>
      <c r="E2966" t="n">
        <v>2</v>
      </c>
      <c r="F2966" t="n">
        <v>79</v>
      </c>
      <c r="G2966" t="n">
        <v>0</v>
      </c>
      <c r="H2966">
        <f>E2966*F2966*(1-G2966)</f>
        <v/>
      </c>
      <c r="I2966">
        <f>XLOOKUP(D2966,Products!$A$2:$A$15,Products!$B$2:$B$15,"Not found")</f>
        <v/>
      </c>
    </row>
    <row r="2967">
      <c r="A2967" t="n">
        <v>107286</v>
      </c>
      <c r="B2967" s="1" t="n">
        <v>45932</v>
      </c>
      <c r="C2967" t="inlineStr">
        <is>
          <t>S02</t>
        </is>
      </c>
      <c r="D2967" t="inlineStr">
        <is>
          <t>P103</t>
        </is>
      </c>
      <c r="E2967" t="n">
        <v>1</v>
      </c>
      <c r="F2967" t="n">
        <v>29</v>
      </c>
      <c r="G2967" t="n">
        <v>0.1</v>
      </c>
      <c r="H2967">
        <f>E2967*F2967*(1-G2967)</f>
        <v/>
      </c>
      <c r="I2967">
        <f>XLOOKUP(D2967,Products!$A$2:$A$15,Products!$B$2:$B$15,"Not found")</f>
        <v/>
      </c>
    </row>
    <row r="2968">
      <c r="A2968" t="n">
        <v>107287</v>
      </c>
      <c r="B2968" s="1" t="n">
        <v>45932</v>
      </c>
      <c r="C2968" t="inlineStr">
        <is>
          <t>S03</t>
        </is>
      </c>
      <c r="D2968" t="inlineStr">
        <is>
          <t>P302</t>
        </is>
      </c>
      <c r="E2968" t="n">
        <v>3</v>
      </c>
      <c r="F2968" t="n">
        <v>24</v>
      </c>
      <c r="G2968" t="n">
        <v>0.2</v>
      </c>
      <c r="H2968">
        <f>E2968*F2968*(1-G2968)</f>
        <v/>
      </c>
      <c r="I2968">
        <f>XLOOKUP(D2968,Products!$A$2:$A$15,Products!$B$2:$B$15,"Not found")</f>
        <v/>
      </c>
    </row>
    <row r="2969">
      <c r="A2969" t="n">
        <v>107288</v>
      </c>
      <c r="B2969" s="1" t="n">
        <v>45932</v>
      </c>
      <c r="C2969" t="inlineStr">
        <is>
          <t>S03</t>
        </is>
      </c>
      <c r="D2969" t="inlineStr">
        <is>
          <t>P301</t>
        </is>
      </c>
      <c r="E2969" t="n">
        <v>1</v>
      </c>
      <c r="F2969" t="n">
        <v>119</v>
      </c>
      <c r="G2969" t="n">
        <v>0</v>
      </c>
      <c r="H2969">
        <f>E2969*F2969*(1-G2969)</f>
        <v/>
      </c>
      <c r="I2969">
        <f>XLOOKUP(D2969,Products!$A$2:$A$15,Products!$B$2:$B$15,"Not found")</f>
        <v/>
      </c>
    </row>
    <row r="2970">
      <c r="A2970" t="n">
        <v>107289</v>
      </c>
      <c r="B2970" s="1" t="n">
        <v>45932</v>
      </c>
      <c r="C2970" t="inlineStr">
        <is>
          <t>S04</t>
        </is>
      </c>
      <c r="D2970" t="inlineStr">
        <is>
          <t>P103</t>
        </is>
      </c>
      <c r="E2970" t="n">
        <v>2</v>
      </c>
      <c r="F2970" t="n">
        <v>29</v>
      </c>
      <c r="G2970" t="n">
        <v>0.15</v>
      </c>
      <c r="H2970">
        <f>E2970*F2970*(1-G2970)</f>
        <v/>
      </c>
      <c r="I2970">
        <f>XLOOKUP(D2970,Products!$A$2:$A$15,Products!$B$2:$B$15,"Not found")</f>
        <v/>
      </c>
    </row>
    <row r="2971">
      <c r="A2971" t="n">
        <v>107290</v>
      </c>
      <c r="B2971" s="1" t="n">
        <v>45932</v>
      </c>
      <c r="C2971" t="inlineStr">
        <is>
          <t>S04</t>
        </is>
      </c>
      <c r="D2971" t="inlineStr">
        <is>
          <t>P102</t>
        </is>
      </c>
      <c r="E2971" t="n">
        <v>4</v>
      </c>
      <c r="F2971" t="n">
        <v>14.5</v>
      </c>
      <c r="G2971" t="n">
        <v>0</v>
      </c>
      <c r="H2971">
        <f>E2971*F2971*(1-G2971)</f>
        <v/>
      </c>
      <c r="I2971">
        <f>XLOOKUP(D2971,Products!$A$2:$A$15,Products!$B$2:$B$15,"Not found")</f>
        <v/>
      </c>
    </row>
    <row r="2972">
      <c r="A2972" t="n">
        <v>107291</v>
      </c>
      <c r="B2972" s="1" t="n">
        <v>45932</v>
      </c>
      <c r="C2972" t="inlineStr">
        <is>
          <t>S04</t>
        </is>
      </c>
      <c r="D2972" t="inlineStr">
        <is>
          <t>P101</t>
        </is>
      </c>
      <c r="E2972" t="n">
        <v>1</v>
      </c>
      <c r="F2972" t="n">
        <v>39</v>
      </c>
      <c r="G2972" t="n">
        <v>0.2</v>
      </c>
      <c r="H2972">
        <f>E2972*F2972*(1-G2972)</f>
        <v/>
      </c>
      <c r="I2972">
        <f>XLOOKUP(D2972,Products!$A$2:$A$15,Products!$B$2:$B$15,"Not found")</f>
        <v/>
      </c>
    </row>
    <row r="2973">
      <c r="A2973" t="n">
        <v>107292</v>
      </c>
      <c r="B2973" s="1" t="n">
        <v>45932</v>
      </c>
      <c r="C2973" t="inlineStr">
        <is>
          <t>S05</t>
        </is>
      </c>
      <c r="D2973" t="inlineStr">
        <is>
          <t>P203</t>
        </is>
      </c>
      <c r="E2973" t="n">
        <v>1</v>
      </c>
      <c r="F2973" t="n">
        <v>19.5</v>
      </c>
      <c r="G2973" t="n">
        <v>0.15</v>
      </c>
      <c r="H2973">
        <f>E2973*F2973*(1-G2973)</f>
        <v/>
      </c>
      <c r="I2973">
        <f>XLOOKUP(D2973,Products!$A$2:$A$15,Products!$B$2:$B$15,"Not found")</f>
        <v/>
      </c>
    </row>
    <row r="2974">
      <c r="A2974" t="n">
        <v>107293</v>
      </c>
      <c r="B2974" s="1" t="n">
        <v>45932</v>
      </c>
      <c r="C2974" t="inlineStr">
        <is>
          <t>S05</t>
        </is>
      </c>
      <c r="D2974" t="inlineStr">
        <is>
          <t>P201</t>
        </is>
      </c>
      <c r="E2974" t="n">
        <v>1</v>
      </c>
      <c r="F2974" t="n">
        <v>149</v>
      </c>
      <c r="G2974" t="n">
        <v>0.2</v>
      </c>
      <c r="H2974">
        <f>E2974*F2974*(1-G2974)</f>
        <v/>
      </c>
      <c r="I2974">
        <f>XLOOKUP(D2974,Products!$A$2:$A$15,Products!$B$2:$B$15,"Not found")</f>
        <v/>
      </c>
    </row>
    <row r="2975">
      <c r="A2975" t="n">
        <v>107294</v>
      </c>
      <c r="B2975" s="1" t="n">
        <v>45932</v>
      </c>
      <c r="C2975" t="inlineStr">
        <is>
          <t>S06</t>
        </is>
      </c>
      <c r="D2975" t="inlineStr">
        <is>
          <t>P301</t>
        </is>
      </c>
      <c r="E2975" t="n">
        <v>1</v>
      </c>
      <c r="F2975" t="n">
        <v>119</v>
      </c>
      <c r="G2975" t="n">
        <v>0.2</v>
      </c>
      <c r="H2975">
        <f>E2975*F2975*(1-G2975)</f>
        <v/>
      </c>
      <c r="I2975">
        <f>XLOOKUP(D2975,Products!$A$2:$A$15,Products!$B$2:$B$15,"Not found")</f>
        <v/>
      </c>
    </row>
    <row r="2976">
      <c r="A2976" t="n">
        <v>107295</v>
      </c>
      <c r="B2976" s="1" t="n">
        <v>45933</v>
      </c>
      <c r="C2976" t="inlineStr">
        <is>
          <t>S01</t>
        </is>
      </c>
      <c r="D2976" t="inlineStr">
        <is>
          <t>P102</t>
        </is>
      </c>
      <c r="E2976" t="n">
        <v>4</v>
      </c>
      <c r="F2976" t="n">
        <v>14.5</v>
      </c>
      <c r="G2976" t="n">
        <v>0.1</v>
      </c>
      <c r="H2976">
        <f>E2976*F2976*(1-G2976)</f>
        <v/>
      </c>
      <c r="I2976">
        <f>XLOOKUP(D2976,Products!$A$2:$A$15,Products!$B$2:$B$15,"Not found")</f>
        <v/>
      </c>
    </row>
    <row r="2977">
      <c r="A2977" t="n">
        <v>107296</v>
      </c>
      <c r="B2977" s="1" t="n">
        <v>45933</v>
      </c>
      <c r="C2977" t="inlineStr">
        <is>
          <t>S01</t>
        </is>
      </c>
      <c r="D2977" t="inlineStr">
        <is>
          <t>P204</t>
        </is>
      </c>
      <c r="E2977" t="n">
        <v>1</v>
      </c>
      <c r="F2977" t="n">
        <v>229</v>
      </c>
      <c r="G2977" t="n">
        <v>0</v>
      </c>
      <c r="H2977">
        <f>E2977*F2977*(1-G2977)</f>
        <v/>
      </c>
      <c r="I2977">
        <f>XLOOKUP(D2977,Products!$A$2:$A$15,Products!$B$2:$B$15,"Not found")</f>
        <v/>
      </c>
    </row>
    <row r="2978">
      <c r="A2978" t="n">
        <v>107297</v>
      </c>
      <c r="B2978" s="1" t="n">
        <v>45933</v>
      </c>
      <c r="C2978" t="inlineStr">
        <is>
          <t>S02</t>
        </is>
      </c>
      <c r="D2978" t="inlineStr">
        <is>
          <t>P302</t>
        </is>
      </c>
      <c r="E2978" t="n">
        <v>1</v>
      </c>
      <c r="F2978" t="n">
        <v>24</v>
      </c>
      <c r="G2978" t="n">
        <v>0.1</v>
      </c>
      <c r="H2978">
        <f>E2978*F2978*(1-G2978)</f>
        <v/>
      </c>
      <c r="I2978">
        <f>XLOOKUP(D2978,Products!$A$2:$A$15,Products!$B$2:$B$15,"Not found")</f>
        <v/>
      </c>
    </row>
    <row r="2979">
      <c r="A2979" t="n">
        <v>107298</v>
      </c>
      <c r="B2979" s="1" t="n">
        <v>45933</v>
      </c>
      <c r="C2979" t="inlineStr">
        <is>
          <t>S02</t>
        </is>
      </c>
      <c r="D2979" t="inlineStr">
        <is>
          <t>P201</t>
        </is>
      </c>
      <c r="E2979" t="n">
        <v>1</v>
      </c>
      <c r="F2979" t="n">
        <v>149</v>
      </c>
      <c r="G2979" t="n">
        <v>0</v>
      </c>
      <c r="H2979">
        <f>E2979*F2979*(1-G2979)</f>
        <v/>
      </c>
      <c r="I2979">
        <f>XLOOKUP(D2979,Products!$A$2:$A$15,Products!$B$2:$B$15,"Not found")</f>
        <v/>
      </c>
    </row>
    <row r="2980">
      <c r="A2980" t="n">
        <v>107299</v>
      </c>
      <c r="B2980" s="1" t="n">
        <v>45933</v>
      </c>
      <c r="C2980" t="inlineStr">
        <is>
          <t>S02</t>
        </is>
      </c>
      <c r="D2980" t="inlineStr">
        <is>
          <t>P303</t>
        </is>
      </c>
      <c r="E2980" t="n">
        <v>3</v>
      </c>
      <c r="F2980" t="n">
        <v>12</v>
      </c>
      <c r="G2980" t="n">
        <v>0</v>
      </c>
      <c r="H2980">
        <f>E2980*F2980*(1-G2980)</f>
        <v/>
      </c>
      <c r="I2980">
        <f>XLOOKUP(D2980,Products!$A$2:$A$15,Products!$B$2:$B$15,"Not found")</f>
        <v/>
      </c>
    </row>
    <row r="2981">
      <c r="A2981" t="n">
        <v>107300</v>
      </c>
      <c r="B2981" s="1" t="n">
        <v>45933</v>
      </c>
      <c r="C2981" t="inlineStr">
        <is>
          <t>S03</t>
        </is>
      </c>
      <c r="D2981" t="inlineStr">
        <is>
          <t>P303</t>
        </is>
      </c>
      <c r="E2981" t="n">
        <v>3</v>
      </c>
      <c r="F2981" t="n">
        <v>12</v>
      </c>
      <c r="G2981" t="n">
        <v>0</v>
      </c>
      <c r="H2981">
        <f>E2981*F2981*(1-G2981)</f>
        <v/>
      </c>
      <c r="I2981">
        <f>XLOOKUP(D2981,Products!$A$2:$A$15,Products!$B$2:$B$15,"Not found")</f>
        <v/>
      </c>
    </row>
    <row r="2982">
      <c r="A2982" t="n">
        <v>107301</v>
      </c>
      <c r="B2982" s="1" t="n">
        <v>45933</v>
      </c>
      <c r="C2982" t="inlineStr">
        <is>
          <t>S04</t>
        </is>
      </c>
      <c r="D2982" t="inlineStr">
        <is>
          <t>P302</t>
        </is>
      </c>
      <c r="E2982" t="n">
        <v>1</v>
      </c>
      <c r="F2982" t="n">
        <v>24</v>
      </c>
      <c r="G2982" t="n">
        <v>0</v>
      </c>
      <c r="H2982">
        <f>E2982*F2982*(1-G2982)</f>
        <v/>
      </c>
      <c r="I2982">
        <f>XLOOKUP(D2982,Products!$A$2:$A$15,Products!$B$2:$B$15,"Not found")</f>
        <v/>
      </c>
    </row>
    <row r="2983">
      <c r="A2983" t="n">
        <v>107302</v>
      </c>
      <c r="B2983" s="1" t="n">
        <v>45933</v>
      </c>
      <c r="C2983" t="inlineStr">
        <is>
          <t>S04</t>
        </is>
      </c>
      <c r="D2983" t="inlineStr">
        <is>
          <t>P201</t>
        </is>
      </c>
      <c r="E2983" t="n">
        <v>1</v>
      </c>
      <c r="F2983" t="n">
        <v>149</v>
      </c>
      <c r="G2983" t="n">
        <v>0</v>
      </c>
      <c r="H2983">
        <f>E2983*F2983*(1-G2983)</f>
        <v/>
      </c>
      <c r="I2983">
        <f>XLOOKUP(D2983,Products!$A$2:$A$15,Products!$B$2:$B$15,"Not found")</f>
        <v/>
      </c>
    </row>
    <row r="2984">
      <c r="A2984" t="n">
        <v>107303</v>
      </c>
      <c r="B2984" s="1" t="n">
        <v>45933</v>
      </c>
      <c r="C2984" t="inlineStr">
        <is>
          <t>S04</t>
        </is>
      </c>
      <c r="D2984" t="inlineStr">
        <is>
          <t>P201</t>
        </is>
      </c>
      <c r="E2984" t="n">
        <v>1</v>
      </c>
      <c r="F2984" t="n">
        <v>149</v>
      </c>
      <c r="G2984" t="n">
        <v>0</v>
      </c>
      <c r="H2984">
        <f>E2984*F2984*(1-G2984)</f>
        <v/>
      </c>
      <c r="I2984">
        <f>XLOOKUP(D2984,Products!$A$2:$A$15,Products!$B$2:$B$15,"Not found")</f>
        <v/>
      </c>
    </row>
    <row r="2985">
      <c r="A2985" t="n">
        <v>107304</v>
      </c>
      <c r="B2985" s="1" t="n">
        <v>45933</v>
      </c>
      <c r="C2985" t="inlineStr">
        <is>
          <t>S04</t>
        </is>
      </c>
      <c r="D2985" t="inlineStr">
        <is>
          <t>P104</t>
        </is>
      </c>
      <c r="E2985" t="n">
        <v>1</v>
      </c>
      <c r="F2985" t="n">
        <v>189</v>
      </c>
      <c r="G2985" t="n">
        <v>0.2</v>
      </c>
      <c r="H2985">
        <f>E2985*F2985*(1-G2985)</f>
        <v/>
      </c>
      <c r="I2985">
        <f>XLOOKUP(D2985,Products!$A$2:$A$15,Products!$B$2:$B$15,"Not found")</f>
        <v/>
      </c>
    </row>
    <row r="2986">
      <c r="A2986" t="n">
        <v>107305</v>
      </c>
      <c r="B2986" s="1" t="n">
        <v>45933</v>
      </c>
      <c r="C2986" t="inlineStr">
        <is>
          <t>S04</t>
        </is>
      </c>
      <c r="D2986" t="inlineStr">
        <is>
          <t>P202</t>
        </is>
      </c>
      <c r="E2986" t="n">
        <v>4</v>
      </c>
      <c r="F2986" t="n">
        <v>79</v>
      </c>
      <c r="G2986" t="n">
        <v>0.15</v>
      </c>
      <c r="H2986">
        <f>E2986*F2986*(1-G2986)</f>
        <v/>
      </c>
      <c r="I2986">
        <f>XLOOKUP(D2986,Products!$A$2:$A$15,Products!$B$2:$B$15,"Not found")</f>
        <v/>
      </c>
    </row>
    <row r="2987">
      <c r="A2987" t="n">
        <v>107306</v>
      </c>
      <c r="B2987" s="1" t="n">
        <v>45933</v>
      </c>
      <c r="C2987" t="inlineStr">
        <is>
          <t>S04</t>
        </is>
      </c>
      <c r="D2987" t="inlineStr">
        <is>
          <t>P301</t>
        </is>
      </c>
      <c r="E2987" t="n">
        <v>1</v>
      </c>
      <c r="F2987" t="n">
        <v>119</v>
      </c>
      <c r="G2987" t="n">
        <v>0</v>
      </c>
      <c r="H2987">
        <f>E2987*F2987*(1-G2987)</f>
        <v/>
      </c>
      <c r="I2987">
        <f>XLOOKUP(D2987,Products!$A$2:$A$15,Products!$B$2:$B$15,"Not found")</f>
        <v/>
      </c>
    </row>
    <row r="2988">
      <c r="A2988" t="n">
        <v>107307</v>
      </c>
      <c r="B2988" s="1" t="n">
        <v>45933</v>
      </c>
      <c r="C2988" t="inlineStr">
        <is>
          <t>S04</t>
        </is>
      </c>
      <c r="D2988" t="inlineStr">
        <is>
          <t>P302</t>
        </is>
      </c>
      <c r="E2988" t="n">
        <v>1</v>
      </c>
      <c r="F2988" t="n">
        <v>24</v>
      </c>
      <c r="G2988" t="n">
        <v>0.1</v>
      </c>
      <c r="H2988">
        <f>E2988*F2988*(1-G2988)</f>
        <v/>
      </c>
      <c r="I2988">
        <f>XLOOKUP(D2988,Products!$A$2:$A$15,Products!$B$2:$B$15,"Not found")</f>
        <v/>
      </c>
    </row>
    <row r="2989">
      <c r="A2989" t="n">
        <v>107308</v>
      </c>
      <c r="B2989" s="1" t="n">
        <v>45933</v>
      </c>
      <c r="C2989" t="inlineStr">
        <is>
          <t>S06</t>
        </is>
      </c>
      <c r="D2989" t="inlineStr">
        <is>
          <t>P102</t>
        </is>
      </c>
      <c r="E2989" t="n">
        <v>4</v>
      </c>
      <c r="F2989" t="n">
        <v>14.5</v>
      </c>
      <c r="G2989" t="n">
        <v>0</v>
      </c>
      <c r="H2989">
        <f>E2989*F2989*(1-G2989)</f>
        <v/>
      </c>
      <c r="I2989">
        <f>XLOOKUP(D2989,Products!$A$2:$A$15,Products!$B$2:$B$15,"Not found")</f>
        <v/>
      </c>
    </row>
    <row r="2990">
      <c r="A2990" t="n">
        <v>107309</v>
      </c>
      <c r="B2990" s="1" t="n">
        <v>45934</v>
      </c>
      <c r="C2990" t="inlineStr">
        <is>
          <t>S01</t>
        </is>
      </c>
      <c r="D2990" t="inlineStr">
        <is>
          <t>P203</t>
        </is>
      </c>
      <c r="E2990" t="n">
        <v>3</v>
      </c>
      <c r="F2990" t="n">
        <v>19.5</v>
      </c>
      <c r="G2990" t="n">
        <v>0</v>
      </c>
      <c r="H2990">
        <f>E2990*F2990*(1-G2990)</f>
        <v/>
      </c>
      <c r="I2990">
        <f>XLOOKUP(D2990,Products!$A$2:$A$15,Products!$B$2:$B$15,"Not found")</f>
        <v/>
      </c>
    </row>
    <row r="2991">
      <c r="A2991" t="n">
        <v>107310</v>
      </c>
      <c r="B2991" s="1" t="n">
        <v>45934</v>
      </c>
      <c r="C2991" t="inlineStr">
        <is>
          <t>S01</t>
        </is>
      </c>
      <c r="D2991" t="inlineStr">
        <is>
          <t>P103</t>
        </is>
      </c>
      <c r="E2991" t="n">
        <v>3</v>
      </c>
      <c r="F2991" t="n">
        <v>29</v>
      </c>
      <c r="G2991" t="n">
        <v>0</v>
      </c>
      <c r="H2991">
        <f>E2991*F2991*(1-G2991)</f>
        <v/>
      </c>
      <c r="I2991">
        <f>XLOOKUP(D2991,Products!$A$2:$A$15,Products!$B$2:$B$15,"Not found")</f>
        <v/>
      </c>
    </row>
    <row r="2992">
      <c r="A2992" t="n">
        <v>107311</v>
      </c>
      <c r="B2992" s="1" t="n">
        <v>45934</v>
      </c>
      <c r="C2992" t="inlineStr">
        <is>
          <t>S01</t>
        </is>
      </c>
      <c r="D2992" t="inlineStr">
        <is>
          <t>P104</t>
        </is>
      </c>
      <c r="E2992" t="n">
        <v>1</v>
      </c>
      <c r="F2992" t="n">
        <v>189</v>
      </c>
      <c r="G2992" t="n">
        <v>0</v>
      </c>
      <c r="H2992">
        <f>E2992*F2992*(1-G2992)</f>
        <v/>
      </c>
      <c r="I2992">
        <f>XLOOKUP(D2992,Products!$A$2:$A$15,Products!$B$2:$B$15,"Not found")</f>
        <v/>
      </c>
    </row>
    <row r="2993">
      <c r="A2993" t="n">
        <v>107312</v>
      </c>
      <c r="B2993" s="1" t="n">
        <v>45934</v>
      </c>
      <c r="C2993" t="inlineStr">
        <is>
          <t>S01</t>
        </is>
      </c>
      <c r="D2993" t="inlineStr">
        <is>
          <t>P303</t>
        </is>
      </c>
      <c r="E2993" t="n">
        <v>1</v>
      </c>
      <c r="F2993" t="n">
        <v>12</v>
      </c>
      <c r="G2993" t="n">
        <v>0</v>
      </c>
      <c r="H2993">
        <f>E2993*F2993*(1-G2993)</f>
        <v/>
      </c>
      <c r="I2993">
        <f>XLOOKUP(D2993,Products!$A$2:$A$15,Products!$B$2:$B$15,"Not found")</f>
        <v/>
      </c>
    </row>
    <row r="2994">
      <c r="A2994" t="n">
        <v>107313</v>
      </c>
      <c r="B2994" s="1" t="n">
        <v>45934</v>
      </c>
      <c r="C2994" t="inlineStr">
        <is>
          <t>S02</t>
        </is>
      </c>
      <c r="D2994" t="inlineStr">
        <is>
          <t>P101</t>
        </is>
      </c>
      <c r="E2994" t="n">
        <v>2</v>
      </c>
      <c r="F2994" t="n">
        <v>39</v>
      </c>
      <c r="G2994" t="n">
        <v>0.15</v>
      </c>
      <c r="H2994">
        <f>E2994*F2994*(1-G2994)</f>
        <v/>
      </c>
      <c r="I2994">
        <f>XLOOKUP(D2994,Products!$A$2:$A$15,Products!$B$2:$B$15,"Not found")</f>
        <v/>
      </c>
    </row>
    <row r="2995">
      <c r="A2995" t="n">
        <v>107314</v>
      </c>
      <c r="B2995" s="1" t="n">
        <v>45934</v>
      </c>
      <c r="C2995" t="inlineStr">
        <is>
          <t>S02</t>
        </is>
      </c>
      <c r="D2995" t="inlineStr">
        <is>
          <t>P104</t>
        </is>
      </c>
      <c r="E2995" t="n">
        <v>1</v>
      </c>
      <c r="F2995" t="n">
        <v>189</v>
      </c>
      <c r="G2995" t="n">
        <v>0</v>
      </c>
      <c r="H2995">
        <f>E2995*F2995*(1-G2995)</f>
        <v/>
      </c>
      <c r="I2995">
        <f>XLOOKUP(D2995,Products!$A$2:$A$15,Products!$B$2:$B$15,"Not found")</f>
        <v/>
      </c>
    </row>
    <row r="2996">
      <c r="A2996" t="n">
        <v>107315</v>
      </c>
      <c r="B2996" s="1" t="n">
        <v>45934</v>
      </c>
      <c r="C2996" t="inlineStr">
        <is>
          <t>S05</t>
        </is>
      </c>
      <c r="D2996" t="inlineStr">
        <is>
          <t>P302</t>
        </is>
      </c>
      <c r="E2996" t="n">
        <v>1</v>
      </c>
      <c r="F2996" t="n">
        <v>24</v>
      </c>
      <c r="G2996" t="n">
        <v>0</v>
      </c>
      <c r="H2996">
        <f>E2996*F2996*(1-G2996)</f>
        <v/>
      </c>
      <c r="I2996">
        <f>XLOOKUP(D2996,Products!$A$2:$A$15,Products!$B$2:$B$15,"Not found")</f>
        <v/>
      </c>
    </row>
    <row r="2997">
      <c r="A2997" t="n">
        <v>107316</v>
      </c>
      <c r="B2997" s="1" t="n">
        <v>45934</v>
      </c>
      <c r="C2997" t="inlineStr">
        <is>
          <t>S05</t>
        </is>
      </c>
      <c r="D2997" t="inlineStr">
        <is>
          <t>P104</t>
        </is>
      </c>
      <c r="E2997" t="n">
        <v>1</v>
      </c>
      <c r="F2997" t="n">
        <v>189</v>
      </c>
      <c r="G2997" t="n">
        <v>0.1</v>
      </c>
      <c r="H2997">
        <f>E2997*F2997*(1-G2997)</f>
        <v/>
      </c>
      <c r="I2997">
        <f>XLOOKUP(D2997,Products!$A$2:$A$15,Products!$B$2:$B$15,"Not found")</f>
        <v/>
      </c>
    </row>
    <row r="2998">
      <c r="A2998" t="n">
        <v>107317</v>
      </c>
      <c r="B2998" s="1" t="n">
        <v>45934</v>
      </c>
      <c r="C2998" t="inlineStr">
        <is>
          <t>S05</t>
        </is>
      </c>
      <c r="D2998" t="inlineStr">
        <is>
          <t>P101</t>
        </is>
      </c>
      <c r="E2998" t="n">
        <v>2</v>
      </c>
      <c r="F2998" t="n">
        <v>39</v>
      </c>
      <c r="G2998" t="n">
        <v>0.1</v>
      </c>
      <c r="H2998">
        <f>E2998*F2998*(1-G2998)</f>
        <v/>
      </c>
      <c r="I2998">
        <f>XLOOKUP(D2998,Products!$A$2:$A$15,Products!$B$2:$B$15,"Not found")</f>
        <v/>
      </c>
    </row>
    <row r="2999">
      <c r="A2999" t="n">
        <v>107318</v>
      </c>
      <c r="B2999" s="1" t="n">
        <v>45934</v>
      </c>
      <c r="C2999" t="inlineStr">
        <is>
          <t>S05</t>
        </is>
      </c>
      <c r="D2999" t="inlineStr">
        <is>
          <t>P201</t>
        </is>
      </c>
      <c r="E2999" t="n">
        <v>1</v>
      </c>
      <c r="F2999" t="n">
        <v>149</v>
      </c>
      <c r="G2999" t="n">
        <v>0.2</v>
      </c>
      <c r="H2999">
        <f>E2999*F2999*(1-G2999)</f>
        <v/>
      </c>
      <c r="I2999">
        <f>XLOOKUP(D2999,Products!$A$2:$A$15,Products!$B$2:$B$15,"Not found")</f>
        <v/>
      </c>
    </row>
    <row r="3000">
      <c r="A3000" t="n">
        <v>107319</v>
      </c>
      <c r="B3000" s="1" t="n">
        <v>45934</v>
      </c>
      <c r="C3000" t="inlineStr">
        <is>
          <t>S06</t>
        </is>
      </c>
      <c r="D3000" t="inlineStr">
        <is>
          <t>P103</t>
        </is>
      </c>
      <c r="E3000" t="n">
        <v>1</v>
      </c>
      <c r="F3000" t="n">
        <v>29</v>
      </c>
      <c r="G3000" t="n">
        <v>0.1</v>
      </c>
      <c r="H3000">
        <f>E3000*F3000*(1-G3000)</f>
        <v/>
      </c>
      <c r="I3000">
        <f>XLOOKUP(D3000,Products!$A$2:$A$15,Products!$B$2:$B$15,"Not found")</f>
        <v/>
      </c>
    </row>
    <row r="3001">
      <c r="A3001" t="n">
        <v>107320</v>
      </c>
      <c r="B3001" s="1" t="n">
        <v>45935</v>
      </c>
      <c r="C3001" t="inlineStr">
        <is>
          <t>S01</t>
        </is>
      </c>
      <c r="D3001" t="inlineStr">
        <is>
          <t>P203</t>
        </is>
      </c>
      <c r="E3001" t="n">
        <v>4</v>
      </c>
      <c r="F3001" t="n">
        <v>19.5</v>
      </c>
      <c r="G3001" t="n">
        <v>0.1</v>
      </c>
      <c r="H3001">
        <f>E3001*F3001*(1-G3001)</f>
        <v/>
      </c>
      <c r="I3001">
        <f>XLOOKUP(D3001,Products!$A$2:$A$15,Products!$B$2:$B$15,"Not found")</f>
        <v/>
      </c>
    </row>
    <row r="3002">
      <c r="A3002" t="n">
        <v>107321</v>
      </c>
      <c r="B3002" s="1" t="n">
        <v>45935</v>
      </c>
      <c r="C3002" t="inlineStr">
        <is>
          <t>S01</t>
        </is>
      </c>
      <c r="D3002" t="inlineStr">
        <is>
          <t>P104</t>
        </is>
      </c>
      <c r="E3002" t="n">
        <v>1</v>
      </c>
      <c r="F3002" t="n">
        <v>189</v>
      </c>
      <c r="G3002" t="n">
        <v>0.1</v>
      </c>
      <c r="H3002">
        <f>E3002*F3002*(1-G3002)</f>
        <v/>
      </c>
      <c r="I3002">
        <f>XLOOKUP(D3002,Products!$A$2:$A$15,Products!$B$2:$B$15,"Not found")</f>
        <v/>
      </c>
    </row>
    <row r="3003">
      <c r="A3003" t="n">
        <v>107322</v>
      </c>
      <c r="B3003" s="1" t="n">
        <v>45935</v>
      </c>
      <c r="C3003" t="inlineStr">
        <is>
          <t>S01</t>
        </is>
      </c>
      <c r="D3003" t="inlineStr">
        <is>
          <t>P101</t>
        </is>
      </c>
      <c r="E3003" t="n">
        <v>3</v>
      </c>
      <c r="F3003" t="n">
        <v>39</v>
      </c>
      <c r="G3003" t="n">
        <v>0.2</v>
      </c>
      <c r="H3003">
        <f>E3003*F3003*(1-G3003)</f>
        <v/>
      </c>
      <c r="I3003">
        <f>XLOOKUP(D3003,Products!$A$2:$A$15,Products!$B$2:$B$15,"Not found")</f>
        <v/>
      </c>
    </row>
    <row r="3004">
      <c r="A3004" t="n">
        <v>107323</v>
      </c>
      <c r="B3004" s="1" t="n">
        <v>45935</v>
      </c>
      <c r="C3004" t="inlineStr">
        <is>
          <t>S01</t>
        </is>
      </c>
      <c r="D3004" t="inlineStr">
        <is>
          <t>P403</t>
        </is>
      </c>
      <c r="E3004" t="n">
        <v>1</v>
      </c>
      <c r="F3004" t="n">
        <v>89</v>
      </c>
      <c r="G3004" t="n">
        <v>0</v>
      </c>
      <c r="H3004">
        <f>E3004*F3004*(1-G3004)</f>
        <v/>
      </c>
      <c r="I3004">
        <f>XLOOKUP(D3004,Products!$A$2:$A$15,Products!$B$2:$B$15,"Not found")</f>
        <v/>
      </c>
    </row>
    <row r="3005">
      <c r="A3005" t="n">
        <v>107324</v>
      </c>
      <c r="B3005" s="1" t="n">
        <v>45935</v>
      </c>
      <c r="C3005" t="inlineStr">
        <is>
          <t>S01</t>
        </is>
      </c>
      <c r="D3005" t="inlineStr">
        <is>
          <t>P101</t>
        </is>
      </c>
      <c r="E3005" t="n">
        <v>1</v>
      </c>
      <c r="F3005" t="n">
        <v>39</v>
      </c>
      <c r="G3005" t="n">
        <v>0</v>
      </c>
      <c r="H3005">
        <f>E3005*F3005*(1-G3005)</f>
        <v/>
      </c>
      <c r="I3005">
        <f>XLOOKUP(D3005,Products!$A$2:$A$15,Products!$B$2:$B$15,"Not found")</f>
        <v/>
      </c>
    </row>
    <row r="3006">
      <c r="A3006" t="n">
        <v>107325</v>
      </c>
      <c r="B3006" s="1" t="n">
        <v>45935</v>
      </c>
      <c r="C3006" t="inlineStr">
        <is>
          <t>S01</t>
        </is>
      </c>
      <c r="D3006" t="inlineStr">
        <is>
          <t>P204</t>
        </is>
      </c>
      <c r="E3006" t="n">
        <v>1</v>
      </c>
      <c r="F3006" t="n">
        <v>229</v>
      </c>
      <c r="G3006" t="n">
        <v>0</v>
      </c>
      <c r="H3006">
        <f>E3006*F3006*(1-G3006)</f>
        <v/>
      </c>
      <c r="I3006">
        <f>XLOOKUP(D3006,Products!$A$2:$A$15,Products!$B$2:$B$15,"Not found")</f>
        <v/>
      </c>
    </row>
    <row r="3007">
      <c r="A3007" t="n">
        <v>107326</v>
      </c>
      <c r="B3007" s="1" t="n">
        <v>45935</v>
      </c>
      <c r="C3007" t="inlineStr">
        <is>
          <t>S01</t>
        </is>
      </c>
      <c r="D3007" t="inlineStr">
        <is>
          <t>P102</t>
        </is>
      </c>
      <c r="E3007" t="n">
        <v>2</v>
      </c>
      <c r="F3007" t="n">
        <v>14.5</v>
      </c>
      <c r="G3007" t="n">
        <v>0</v>
      </c>
      <c r="H3007">
        <f>E3007*F3007*(1-G3007)</f>
        <v/>
      </c>
      <c r="I3007">
        <f>XLOOKUP(D3007,Products!$A$2:$A$15,Products!$B$2:$B$15,"Not found")</f>
        <v/>
      </c>
    </row>
    <row r="3008">
      <c r="A3008" t="n">
        <v>107327</v>
      </c>
      <c r="B3008" s="1" t="n">
        <v>45935</v>
      </c>
      <c r="C3008" t="inlineStr">
        <is>
          <t>S01</t>
        </is>
      </c>
      <c r="D3008" t="inlineStr">
        <is>
          <t>P104</t>
        </is>
      </c>
      <c r="E3008" t="n">
        <v>1</v>
      </c>
      <c r="F3008" t="n">
        <v>189</v>
      </c>
      <c r="G3008" t="n">
        <v>0.15</v>
      </c>
      <c r="H3008">
        <f>E3008*F3008*(1-G3008)</f>
        <v/>
      </c>
      <c r="I3008">
        <f>XLOOKUP(D3008,Products!$A$2:$A$15,Products!$B$2:$B$15,"Not found")</f>
        <v/>
      </c>
    </row>
    <row r="3009">
      <c r="A3009" t="n">
        <v>107328</v>
      </c>
      <c r="B3009" s="1" t="n">
        <v>45935</v>
      </c>
      <c r="C3009" t="inlineStr">
        <is>
          <t>S01</t>
        </is>
      </c>
      <c r="D3009" t="inlineStr">
        <is>
          <t>P202</t>
        </is>
      </c>
      <c r="E3009" t="n">
        <v>2</v>
      </c>
      <c r="F3009" t="n">
        <v>79</v>
      </c>
      <c r="G3009" t="n">
        <v>0</v>
      </c>
      <c r="H3009">
        <f>E3009*F3009*(1-G3009)</f>
        <v/>
      </c>
      <c r="I3009">
        <f>XLOOKUP(D3009,Products!$A$2:$A$15,Products!$B$2:$B$15,"Not found")</f>
        <v/>
      </c>
    </row>
    <row r="3010">
      <c r="A3010" t="n">
        <v>107329</v>
      </c>
      <c r="B3010" s="1" t="n">
        <v>45935</v>
      </c>
      <c r="C3010" t="inlineStr">
        <is>
          <t>S02</t>
        </is>
      </c>
      <c r="D3010" t="inlineStr">
        <is>
          <t>P301</t>
        </is>
      </c>
      <c r="E3010" t="n">
        <v>1</v>
      </c>
      <c r="F3010" t="n">
        <v>119</v>
      </c>
      <c r="G3010" t="n">
        <v>0.2</v>
      </c>
      <c r="H3010">
        <f>E3010*F3010*(1-G3010)</f>
        <v/>
      </c>
      <c r="I3010">
        <f>XLOOKUP(D3010,Products!$A$2:$A$15,Products!$B$2:$B$15,"Not found")</f>
        <v/>
      </c>
    </row>
    <row r="3011">
      <c r="A3011" t="n">
        <v>107330</v>
      </c>
      <c r="B3011" s="1" t="n">
        <v>45935</v>
      </c>
      <c r="C3011" t="inlineStr">
        <is>
          <t>S02</t>
        </is>
      </c>
      <c r="D3011" t="inlineStr">
        <is>
          <t>P303</t>
        </is>
      </c>
      <c r="E3011" t="n">
        <v>4</v>
      </c>
      <c r="F3011" t="n">
        <v>12</v>
      </c>
      <c r="G3011" t="n">
        <v>0.15</v>
      </c>
      <c r="H3011">
        <f>E3011*F3011*(1-G3011)</f>
        <v/>
      </c>
      <c r="I3011">
        <f>XLOOKUP(D3011,Products!$A$2:$A$15,Products!$B$2:$B$15,"Not found")</f>
        <v/>
      </c>
    </row>
    <row r="3012">
      <c r="A3012" t="n">
        <v>107331</v>
      </c>
      <c r="B3012" s="1" t="n">
        <v>45935</v>
      </c>
      <c r="C3012" t="inlineStr">
        <is>
          <t>S02</t>
        </is>
      </c>
      <c r="D3012" t="inlineStr">
        <is>
          <t>P101</t>
        </is>
      </c>
      <c r="E3012" t="n">
        <v>1</v>
      </c>
      <c r="F3012" t="n">
        <v>39</v>
      </c>
      <c r="G3012" t="n">
        <v>0.1</v>
      </c>
      <c r="H3012">
        <f>E3012*F3012*(1-G3012)</f>
        <v/>
      </c>
      <c r="I3012">
        <f>XLOOKUP(D3012,Products!$A$2:$A$15,Products!$B$2:$B$15,"Not found")</f>
        <v/>
      </c>
    </row>
    <row r="3013">
      <c r="A3013" t="n">
        <v>107332</v>
      </c>
      <c r="B3013" s="1" t="n">
        <v>45935</v>
      </c>
      <c r="C3013" t="inlineStr">
        <is>
          <t>S02</t>
        </is>
      </c>
      <c r="D3013" t="inlineStr">
        <is>
          <t>P102</t>
        </is>
      </c>
      <c r="E3013" t="n">
        <v>1</v>
      </c>
      <c r="F3013" t="n">
        <v>14.5</v>
      </c>
      <c r="G3013" t="n">
        <v>0</v>
      </c>
      <c r="H3013">
        <f>E3013*F3013*(1-G3013)</f>
        <v/>
      </c>
      <c r="I3013">
        <f>XLOOKUP(D3013,Products!$A$2:$A$15,Products!$B$2:$B$15,"Not found")</f>
        <v/>
      </c>
    </row>
    <row r="3014">
      <c r="A3014" t="n">
        <v>107333</v>
      </c>
      <c r="B3014" s="1" t="n">
        <v>45935</v>
      </c>
      <c r="C3014" t="inlineStr">
        <is>
          <t>S03</t>
        </is>
      </c>
      <c r="D3014" t="inlineStr">
        <is>
          <t>P103</t>
        </is>
      </c>
      <c r="E3014" t="n">
        <v>1</v>
      </c>
      <c r="F3014" t="n">
        <v>29</v>
      </c>
      <c r="G3014" t="n">
        <v>0.1</v>
      </c>
      <c r="H3014">
        <f>E3014*F3014*(1-G3014)</f>
        <v/>
      </c>
      <c r="I3014">
        <f>XLOOKUP(D3014,Products!$A$2:$A$15,Products!$B$2:$B$15,"Not found")</f>
        <v/>
      </c>
    </row>
    <row r="3015">
      <c r="A3015" t="n">
        <v>107334</v>
      </c>
      <c r="B3015" s="1" t="n">
        <v>45935</v>
      </c>
      <c r="C3015" t="inlineStr">
        <is>
          <t>S03</t>
        </is>
      </c>
      <c r="D3015" t="inlineStr">
        <is>
          <t>P102</t>
        </is>
      </c>
      <c r="E3015" t="n">
        <v>2</v>
      </c>
      <c r="F3015" t="n">
        <v>14.5</v>
      </c>
      <c r="G3015" t="n">
        <v>0.1</v>
      </c>
      <c r="H3015">
        <f>E3015*F3015*(1-G3015)</f>
        <v/>
      </c>
      <c r="I3015">
        <f>XLOOKUP(D3015,Products!$A$2:$A$15,Products!$B$2:$B$15,"Not found")</f>
        <v/>
      </c>
    </row>
    <row r="3016">
      <c r="A3016" t="n">
        <v>107335</v>
      </c>
      <c r="B3016" s="1" t="n">
        <v>45935</v>
      </c>
      <c r="C3016" t="inlineStr">
        <is>
          <t>S04</t>
        </is>
      </c>
      <c r="D3016" t="inlineStr">
        <is>
          <t>P101</t>
        </is>
      </c>
      <c r="E3016" t="n">
        <v>3</v>
      </c>
      <c r="F3016" t="n">
        <v>39</v>
      </c>
      <c r="G3016" t="n">
        <v>0.1</v>
      </c>
      <c r="H3016">
        <f>E3016*F3016*(1-G3016)</f>
        <v/>
      </c>
      <c r="I3016">
        <f>XLOOKUP(D3016,Products!$A$2:$A$15,Products!$B$2:$B$15,"Not found")</f>
        <v/>
      </c>
    </row>
    <row r="3017">
      <c r="A3017" t="n">
        <v>107336</v>
      </c>
      <c r="B3017" s="1" t="n">
        <v>45935</v>
      </c>
      <c r="C3017" t="inlineStr">
        <is>
          <t>S04</t>
        </is>
      </c>
      <c r="D3017" t="inlineStr">
        <is>
          <t>P203</t>
        </is>
      </c>
      <c r="E3017" t="n">
        <v>2</v>
      </c>
      <c r="F3017" t="n">
        <v>19.5</v>
      </c>
      <c r="G3017" t="n">
        <v>0.15</v>
      </c>
      <c r="H3017">
        <f>E3017*F3017*(1-G3017)</f>
        <v/>
      </c>
      <c r="I3017">
        <f>XLOOKUP(D3017,Products!$A$2:$A$15,Products!$B$2:$B$15,"Not found")</f>
        <v/>
      </c>
    </row>
    <row r="3018">
      <c r="A3018" t="n">
        <v>107337</v>
      </c>
      <c r="B3018" s="1" t="n">
        <v>45935</v>
      </c>
      <c r="C3018" t="inlineStr">
        <is>
          <t>S04</t>
        </is>
      </c>
      <c r="D3018" t="inlineStr">
        <is>
          <t>P102</t>
        </is>
      </c>
      <c r="E3018" t="n">
        <v>1</v>
      </c>
      <c r="F3018" t="n">
        <v>14.5</v>
      </c>
      <c r="G3018" t="n">
        <v>0</v>
      </c>
      <c r="H3018">
        <f>E3018*F3018*(1-G3018)</f>
        <v/>
      </c>
      <c r="I3018">
        <f>XLOOKUP(D3018,Products!$A$2:$A$15,Products!$B$2:$B$15,"Not found")</f>
        <v/>
      </c>
    </row>
    <row r="3019">
      <c r="A3019" t="n">
        <v>107338</v>
      </c>
      <c r="B3019" s="1" t="n">
        <v>45935</v>
      </c>
      <c r="C3019" t="inlineStr">
        <is>
          <t>S05</t>
        </is>
      </c>
      <c r="D3019" t="inlineStr">
        <is>
          <t>P102</t>
        </is>
      </c>
      <c r="E3019" t="n">
        <v>1</v>
      </c>
      <c r="F3019" t="n">
        <v>14.5</v>
      </c>
      <c r="G3019" t="n">
        <v>0.15</v>
      </c>
      <c r="H3019">
        <f>E3019*F3019*(1-G3019)</f>
        <v/>
      </c>
      <c r="I3019">
        <f>XLOOKUP(D3019,Products!$A$2:$A$15,Products!$B$2:$B$15,"Not found")</f>
        <v/>
      </c>
    </row>
    <row r="3020">
      <c r="A3020" t="n">
        <v>107339</v>
      </c>
      <c r="B3020" s="1" t="n">
        <v>45935</v>
      </c>
      <c r="C3020" t="inlineStr">
        <is>
          <t>S05</t>
        </is>
      </c>
      <c r="D3020" t="inlineStr">
        <is>
          <t>P102</t>
        </is>
      </c>
      <c r="E3020" t="n">
        <v>1</v>
      </c>
      <c r="F3020" t="n">
        <v>14.5</v>
      </c>
      <c r="G3020" t="n">
        <v>0</v>
      </c>
      <c r="H3020">
        <f>E3020*F3020*(1-G3020)</f>
        <v/>
      </c>
      <c r="I3020">
        <f>XLOOKUP(D3020,Products!$A$2:$A$15,Products!$B$2:$B$15,"Not found")</f>
        <v/>
      </c>
    </row>
    <row r="3021">
      <c r="A3021" t="n">
        <v>107340</v>
      </c>
      <c r="B3021" s="1" t="n">
        <v>45935</v>
      </c>
      <c r="C3021" t="inlineStr">
        <is>
          <t>S06</t>
        </is>
      </c>
      <c r="D3021" t="inlineStr">
        <is>
          <t>P301</t>
        </is>
      </c>
      <c r="E3021" t="n">
        <v>1</v>
      </c>
      <c r="F3021" t="n">
        <v>119</v>
      </c>
      <c r="G3021" t="n">
        <v>0</v>
      </c>
      <c r="H3021">
        <f>E3021*F3021*(1-G3021)</f>
        <v/>
      </c>
      <c r="I3021">
        <f>XLOOKUP(D3021,Products!$A$2:$A$15,Products!$B$2:$B$15,"Not found")</f>
        <v/>
      </c>
    </row>
    <row r="3022">
      <c r="A3022" t="n">
        <v>107341</v>
      </c>
      <c r="B3022" s="1" t="n">
        <v>45935</v>
      </c>
      <c r="C3022" t="inlineStr">
        <is>
          <t>S06</t>
        </is>
      </c>
      <c r="D3022" t="inlineStr">
        <is>
          <t>P102</t>
        </is>
      </c>
      <c r="E3022" t="n">
        <v>1</v>
      </c>
      <c r="F3022" t="n">
        <v>14.5</v>
      </c>
      <c r="G3022" t="n">
        <v>0</v>
      </c>
      <c r="H3022">
        <f>E3022*F3022*(1-G3022)</f>
        <v/>
      </c>
      <c r="I3022">
        <f>XLOOKUP(D3022,Products!$A$2:$A$15,Products!$B$2:$B$15,"Not found")</f>
        <v/>
      </c>
    </row>
    <row r="3023">
      <c r="A3023" t="n">
        <v>107342</v>
      </c>
      <c r="B3023" s="1" t="n">
        <v>45935</v>
      </c>
      <c r="C3023" t="inlineStr">
        <is>
          <t>S06</t>
        </is>
      </c>
      <c r="D3023" t="inlineStr">
        <is>
          <t>P201</t>
        </is>
      </c>
      <c r="E3023" t="n">
        <v>1</v>
      </c>
      <c r="F3023" t="n">
        <v>149</v>
      </c>
      <c r="G3023" t="n">
        <v>0.2</v>
      </c>
      <c r="H3023">
        <f>E3023*F3023*(1-G3023)</f>
        <v/>
      </c>
      <c r="I3023">
        <f>XLOOKUP(D3023,Products!$A$2:$A$15,Products!$B$2:$B$15,"Not found")</f>
        <v/>
      </c>
    </row>
    <row r="3024">
      <c r="A3024" t="n">
        <v>107343</v>
      </c>
      <c r="B3024" s="1" t="n">
        <v>45935</v>
      </c>
      <c r="C3024" t="inlineStr">
        <is>
          <t>S06</t>
        </is>
      </c>
      <c r="D3024" t="inlineStr">
        <is>
          <t>P302</t>
        </is>
      </c>
      <c r="E3024" t="n">
        <v>2</v>
      </c>
      <c r="F3024" t="n">
        <v>24</v>
      </c>
      <c r="G3024" t="n">
        <v>0</v>
      </c>
      <c r="H3024">
        <f>E3024*F3024*(1-G3024)</f>
        <v/>
      </c>
      <c r="I3024">
        <f>XLOOKUP(D3024,Products!$A$2:$A$15,Products!$B$2:$B$15,"Not found")</f>
        <v/>
      </c>
    </row>
    <row r="3025">
      <c r="A3025" t="n">
        <v>107344</v>
      </c>
      <c r="B3025" s="1" t="n">
        <v>45936</v>
      </c>
      <c r="C3025" t="inlineStr">
        <is>
          <t>S01</t>
        </is>
      </c>
      <c r="D3025" t="inlineStr">
        <is>
          <t>P302</t>
        </is>
      </c>
      <c r="E3025" t="n">
        <v>1</v>
      </c>
      <c r="F3025" t="n">
        <v>24</v>
      </c>
      <c r="G3025" t="n">
        <v>0</v>
      </c>
      <c r="H3025">
        <f>E3025*F3025*(1-G3025)</f>
        <v/>
      </c>
      <c r="I3025">
        <f>XLOOKUP(D3025,Products!$A$2:$A$15,Products!$B$2:$B$15,"Not found")</f>
        <v/>
      </c>
    </row>
    <row r="3026">
      <c r="A3026" t="n">
        <v>107345</v>
      </c>
      <c r="B3026" s="1" t="n">
        <v>45936</v>
      </c>
      <c r="C3026" t="inlineStr">
        <is>
          <t>S01</t>
        </is>
      </c>
      <c r="D3026" t="inlineStr">
        <is>
          <t>P101</t>
        </is>
      </c>
      <c r="E3026" t="n">
        <v>1</v>
      </c>
      <c r="F3026" t="n">
        <v>39</v>
      </c>
      <c r="G3026" t="n">
        <v>0</v>
      </c>
      <c r="H3026">
        <f>E3026*F3026*(1-G3026)</f>
        <v/>
      </c>
      <c r="I3026">
        <f>XLOOKUP(D3026,Products!$A$2:$A$15,Products!$B$2:$B$15,"Not found")</f>
        <v/>
      </c>
    </row>
    <row r="3027">
      <c r="A3027" t="n">
        <v>107346</v>
      </c>
      <c r="B3027" s="1" t="n">
        <v>45936</v>
      </c>
      <c r="C3027" t="inlineStr">
        <is>
          <t>S01</t>
        </is>
      </c>
      <c r="D3027" t="inlineStr">
        <is>
          <t>P103</t>
        </is>
      </c>
      <c r="E3027" t="n">
        <v>2</v>
      </c>
      <c r="F3027" t="n">
        <v>29</v>
      </c>
      <c r="G3027" t="n">
        <v>0.15</v>
      </c>
      <c r="H3027">
        <f>E3027*F3027*(1-G3027)</f>
        <v/>
      </c>
      <c r="I3027">
        <f>XLOOKUP(D3027,Products!$A$2:$A$15,Products!$B$2:$B$15,"Not found")</f>
        <v/>
      </c>
    </row>
    <row r="3028">
      <c r="A3028" t="n">
        <v>107347</v>
      </c>
      <c r="B3028" s="1" t="n">
        <v>45936</v>
      </c>
      <c r="C3028" t="inlineStr">
        <is>
          <t>S01</t>
        </is>
      </c>
      <c r="D3028" t="inlineStr">
        <is>
          <t>P102</t>
        </is>
      </c>
      <c r="E3028" t="n">
        <v>1</v>
      </c>
      <c r="F3028" t="n">
        <v>14.5</v>
      </c>
      <c r="G3028" t="n">
        <v>0.15</v>
      </c>
      <c r="H3028">
        <f>E3028*F3028*(1-G3028)</f>
        <v/>
      </c>
      <c r="I3028">
        <f>XLOOKUP(D3028,Products!$A$2:$A$15,Products!$B$2:$B$15,"Not found")</f>
        <v/>
      </c>
    </row>
    <row r="3029">
      <c r="A3029" t="n">
        <v>107348</v>
      </c>
      <c r="B3029" s="1" t="n">
        <v>45936</v>
      </c>
      <c r="C3029" t="inlineStr">
        <is>
          <t>S01</t>
        </is>
      </c>
      <c r="D3029" t="inlineStr">
        <is>
          <t>P103</t>
        </is>
      </c>
      <c r="E3029" t="n">
        <v>3</v>
      </c>
      <c r="F3029" t="n">
        <v>29</v>
      </c>
      <c r="G3029" t="n">
        <v>0</v>
      </c>
      <c r="H3029">
        <f>E3029*F3029*(1-G3029)</f>
        <v/>
      </c>
      <c r="I3029">
        <f>XLOOKUP(D3029,Products!$A$2:$A$15,Products!$B$2:$B$15,"Not found")</f>
        <v/>
      </c>
    </row>
    <row r="3030">
      <c r="A3030" t="n">
        <v>107349</v>
      </c>
      <c r="B3030" s="1" t="n">
        <v>45936</v>
      </c>
      <c r="C3030" t="inlineStr">
        <is>
          <t>S01</t>
        </is>
      </c>
      <c r="D3030" t="inlineStr">
        <is>
          <t>P201</t>
        </is>
      </c>
      <c r="E3030" t="n">
        <v>1</v>
      </c>
      <c r="F3030" t="n">
        <v>149</v>
      </c>
      <c r="G3030" t="n">
        <v>0</v>
      </c>
      <c r="H3030">
        <f>E3030*F3030*(1-G3030)</f>
        <v/>
      </c>
      <c r="I3030">
        <f>XLOOKUP(D3030,Products!$A$2:$A$15,Products!$B$2:$B$15,"Not found")</f>
        <v/>
      </c>
    </row>
    <row r="3031">
      <c r="A3031" t="n">
        <v>107350</v>
      </c>
      <c r="B3031" s="1" t="n">
        <v>45936</v>
      </c>
      <c r="C3031" t="inlineStr">
        <is>
          <t>S01</t>
        </is>
      </c>
      <c r="D3031" t="inlineStr">
        <is>
          <t>P102</t>
        </is>
      </c>
      <c r="E3031" t="n">
        <v>1</v>
      </c>
      <c r="F3031" t="n">
        <v>14.5</v>
      </c>
      <c r="G3031" t="n">
        <v>0.2</v>
      </c>
      <c r="H3031">
        <f>E3031*F3031*(1-G3031)</f>
        <v/>
      </c>
      <c r="I3031">
        <f>XLOOKUP(D3031,Products!$A$2:$A$15,Products!$B$2:$B$15,"Not found")</f>
        <v/>
      </c>
    </row>
    <row r="3032">
      <c r="A3032" t="n">
        <v>107351</v>
      </c>
      <c r="B3032" s="1" t="n">
        <v>45936</v>
      </c>
      <c r="C3032" t="inlineStr">
        <is>
          <t>S02</t>
        </is>
      </c>
      <c r="D3032" t="inlineStr">
        <is>
          <t>P102</t>
        </is>
      </c>
      <c r="E3032" t="n">
        <v>1</v>
      </c>
      <c r="F3032" t="n">
        <v>14.5</v>
      </c>
      <c r="G3032" t="n">
        <v>0</v>
      </c>
      <c r="H3032">
        <f>E3032*F3032*(1-G3032)</f>
        <v/>
      </c>
      <c r="I3032">
        <f>XLOOKUP(D3032,Products!$A$2:$A$15,Products!$B$2:$B$15,"Not found")</f>
        <v/>
      </c>
    </row>
    <row r="3033">
      <c r="A3033" t="n">
        <v>107352</v>
      </c>
      <c r="B3033" s="1" t="n">
        <v>45936</v>
      </c>
      <c r="C3033" t="inlineStr">
        <is>
          <t>S02</t>
        </is>
      </c>
      <c r="D3033" t="inlineStr">
        <is>
          <t>P301</t>
        </is>
      </c>
      <c r="E3033" t="n">
        <v>1</v>
      </c>
      <c r="F3033" t="n">
        <v>119</v>
      </c>
      <c r="G3033" t="n">
        <v>0</v>
      </c>
      <c r="H3033">
        <f>E3033*F3033*(1-G3033)</f>
        <v/>
      </c>
      <c r="I3033">
        <f>XLOOKUP(D3033,Products!$A$2:$A$15,Products!$B$2:$B$15,"Not found")</f>
        <v/>
      </c>
    </row>
    <row r="3034">
      <c r="A3034" t="n">
        <v>107353</v>
      </c>
      <c r="B3034" s="1" t="n">
        <v>45936</v>
      </c>
      <c r="C3034" t="inlineStr">
        <is>
          <t>S03</t>
        </is>
      </c>
      <c r="D3034" t="inlineStr">
        <is>
          <t>P302</t>
        </is>
      </c>
      <c r="E3034" t="n">
        <v>1</v>
      </c>
      <c r="F3034" t="n">
        <v>24</v>
      </c>
      <c r="G3034" t="n">
        <v>0</v>
      </c>
      <c r="H3034">
        <f>E3034*F3034*(1-G3034)</f>
        <v/>
      </c>
      <c r="I3034">
        <f>XLOOKUP(D3034,Products!$A$2:$A$15,Products!$B$2:$B$15,"Not found")</f>
        <v/>
      </c>
    </row>
    <row r="3035">
      <c r="A3035" t="n">
        <v>107354</v>
      </c>
      <c r="B3035" s="1" t="n">
        <v>45936</v>
      </c>
      <c r="C3035" t="inlineStr">
        <is>
          <t>S03</t>
        </is>
      </c>
      <c r="D3035" t="inlineStr">
        <is>
          <t>P303</t>
        </is>
      </c>
      <c r="E3035" t="n">
        <v>1</v>
      </c>
      <c r="F3035" t="n">
        <v>12</v>
      </c>
      <c r="G3035" t="n">
        <v>0</v>
      </c>
      <c r="H3035">
        <f>E3035*F3035*(1-G3035)</f>
        <v/>
      </c>
      <c r="I3035">
        <f>XLOOKUP(D3035,Products!$A$2:$A$15,Products!$B$2:$B$15,"Not found")</f>
        <v/>
      </c>
    </row>
    <row r="3036">
      <c r="A3036" t="n">
        <v>107355</v>
      </c>
      <c r="B3036" s="1" t="n">
        <v>45936</v>
      </c>
      <c r="C3036" t="inlineStr">
        <is>
          <t>S04</t>
        </is>
      </c>
      <c r="D3036" t="inlineStr">
        <is>
          <t>P401</t>
        </is>
      </c>
      <c r="E3036" t="n">
        <v>1</v>
      </c>
      <c r="F3036" t="n">
        <v>549</v>
      </c>
      <c r="G3036" t="n">
        <v>0</v>
      </c>
      <c r="H3036">
        <f>E3036*F3036*(1-G3036)</f>
        <v/>
      </c>
      <c r="I3036">
        <f>XLOOKUP(D3036,Products!$A$2:$A$15,Products!$B$2:$B$15,"Not found")</f>
        <v/>
      </c>
    </row>
    <row r="3037">
      <c r="A3037" t="n">
        <v>107356</v>
      </c>
      <c r="B3037" s="1" t="n">
        <v>45936</v>
      </c>
      <c r="C3037" t="inlineStr">
        <is>
          <t>S04</t>
        </is>
      </c>
      <c r="D3037" t="inlineStr">
        <is>
          <t>P302</t>
        </is>
      </c>
      <c r="E3037" t="n">
        <v>1</v>
      </c>
      <c r="F3037" t="n">
        <v>24</v>
      </c>
      <c r="G3037" t="n">
        <v>0.1</v>
      </c>
      <c r="H3037">
        <f>E3037*F3037*(1-G3037)</f>
        <v/>
      </c>
      <c r="I3037">
        <f>XLOOKUP(D3037,Products!$A$2:$A$15,Products!$B$2:$B$15,"Not found")</f>
        <v/>
      </c>
    </row>
    <row r="3038">
      <c r="A3038" t="n">
        <v>107357</v>
      </c>
      <c r="B3038" s="1" t="n">
        <v>45936</v>
      </c>
      <c r="C3038" t="inlineStr">
        <is>
          <t>S04</t>
        </is>
      </c>
      <c r="D3038" t="inlineStr">
        <is>
          <t>P302</t>
        </is>
      </c>
      <c r="E3038" t="n">
        <v>1</v>
      </c>
      <c r="F3038" t="n">
        <v>24</v>
      </c>
      <c r="G3038" t="n">
        <v>0</v>
      </c>
      <c r="H3038">
        <f>E3038*F3038*(1-G3038)</f>
        <v/>
      </c>
      <c r="I3038">
        <f>XLOOKUP(D3038,Products!$A$2:$A$15,Products!$B$2:$B$15,"Not found")</f>
        <v/>
      </c>
    </row>
    <row r="3039">
      <c r="A3039" t="n">
        <v>107358</v>
      </c>
      <c r="B3039" s="1" t="n">
        <v>45936</v>
      </c>
      <c r="C3039" t="inlineStr">
        <is>
          <t>S04</t>
        </is>
      </c>
      <c r="D3039" t="inlineStr">
        <is>
          <t>P102</t>
        </is>
      </c>
      <c r="E3039" t="n">
        <v>1</v>
      </c>
      <c r="F3039" t="n">
        <v>14.5</v>
      </c>
      <c r="G3039" t="n">
        <v>0.2</v>
      </c>
      <c r="H3039">
        <f>E3039*F3039*(1-G3039)</f>
        <v/>
      </c>
      <c r="I3039">
        <f>XLOOKUP(D3039,Products!$A$2:$A$15,Products!$B$2:$B$15,"Not found")</f>
        <v/>
      </c>
    </row>
    <row r="3040">
      <c r="A3040" t="n">
        <v>107359</v>
      </c>
      <c r="B3040" s="1" t="n">
        <v>45936</v>
      </c>
      <c r="C3040" t="inlineStr">
        <is>
          <t>S04</t>
        </is>
      </c>
      <c r="D3040" t="inlineStr">
        <is>
          <t>P103</t>
        </is>
      </c>
      <c r="E3040" t="n">
        <v>2</v>
      </c>
      <c r="F3040" t="n">
        <v>29</v>
      </c>
      <c r="G3040" t="n">
        <v>0</v>
      </c>
      <c r="H3040">
        <f>E3040*F3040*(1-G3040)</f>
        <v/>
      </c>
      <c r="I3040">
        <f>XLOOKUP(D3040,Products!$A$2:$A$15,Products!$B$2:$B$15,"Not found")</f>
        <v/>
      </c>
    </row>
    <row r="3041">
      <c r="A3041" t="n">
        <v>107360</v>
      </c>
      <c r="B3041" s="1" t="n">
        <v>45936</v>
      </c>
      <c r="C3041" t="inlineStr">
        <is>
          <t>S04</t>
        </is>
      </c>
      <c r="D3041" t="inlineStr">
        <is>
          <t>P103</t>
        </is>
      </c>
      <c r="E3041" t="n">
        <v>2</v>
      </c>
      <c r="F3041" t="n">
        <v>29</v>
      </c>
      <c r="G3041" t="n">
        <v>0</v>
      </c>
      <c r="H3041">
        <f>E3041*F3041*(1-G3041)</f>
        <v/>
      </c>
      <c r="I3041">
        <f>XLOOKUP(D3041,Products!$A$2:$A$15,Products!$B$2:$B$15,"Not found")</f>
        <v/>
      </c>
    </row>
    <row r="3042">
      <c r="A3042" t="n">
        <v>107361</v>
      </c>
      <c r="B3042" s="1" t="n">
        <v>45936</v>
      </c>
      <c r="C3042" t="inlineStr">
        <is>
          <t>S05</t>
        </is>
      </c>
      <c r="D3042" t="inlineStr">
        <is>
          <t>P302</t>
        </is>
      </c>
      <c r="E3042" t="n">
        <v>3</v>
      </c>
      <c r="F3042" t="n">
        <v>24</v>
      </c>
      <c r="G3042" t="n">
        <v>0.1</v>
      </c>
      <c r="H3042">
        <f>E3042*F3042*(1-G3042)</f>
        <v/>
      </c>
      <c r="I3042">
        <f>XLOOKUP(D3042,Products!$A$2:$A$15,Products!$B$2:$B$15,"Not found")</f>
        <v/>
      </c>
    </row>
    <row r="3043">
      <c r="A3043" t="n">
        <v>107362</v>
      </c>
      <c r="B3043" s="1" t="n">
        <v>45936</v>
      </c>
      <c r="C3043" t="inlineStr">
        <is>
          <t>S05</t>
        </is>
      </c>
      <c r="D3043" t="inlineStr">
        <is>
          <t>P302</t>
        </is>
      </c>
      <c r="E3043" t="n">
        <v>3</v>
      </c>
      <c r="F3043" t="n">
        <v>24</v>
      </c>
      <c r="G3043" t="n">
        <v>0</v>
      </c>
      <c r="H3043">
        <f>E3043*F3043*(1-G3043)</f>
        <v/>
      </c>
      <c r="I3043">
        <f>XLOOKUP(D3043,Products!$A$2:$A$15,Products!$B$2:$B$15,"Not found")</f>
        <v/>
      </c>
    </row>
    <row r="3044">
      <c r="A3044" t="n">
        <v>107363</v>
      </c>
      <c r="B3044" s="1" t="n">
        <v>45936</v>
      </c>
      <c r="C3044" t="inlineStr">
        <is>
          <t>S06</t>
        </is>
      </c>
      <c r="D3044" t="inlineStr">
        <is>
          <t>P102</t>
        </is>
      </c>
      <c r="E3044" t="n">
        <v>3</v>
      </c>
      <c r="F3044" t="n">
        <v>14.5</v>
      </c>
      <c r="G3044" t="n">
        <v>0</v>
      </c>
      <c r="H3044">
        <f>E3044*F3044*(1-G3044)</f>
        <v/>
      </c>
      <c r="I3044">
        <f>XLOOKUP(D3044,Products!$A$2:$A$15,Products!$B$2:$B$15,"Not found")</f>
        <v/>
      </c>
    </row>
    <row r="3045">
      <c r="A3045" t="n">
        <v>107364</v>
      </c>
      <c r="B3045" s="1" t="n">
        <v>45936</v>
      </c>
      <c r="C3045" t="inlineStr">
        <is>
          <t>S06</t>
        </is>
      </c>
      <c r="D3045" t="inlineStr">
        <is>
          <t>P203</t>
        </is>
      </c>
      <c r="E3045" t="n">
        <v>1</v>
      </c>
      <c r="F3045" t="n">
        <v>19.5</v>
      </c>
      <c r="G3045" t="n">
        <v>0.15</v>
      </c>
      <c r="H3045">
        <f>E3045*F3045*(1-G3045)</f>
        <v/>
      </c>
      <c r="I3045">
        <f>XLOOKUP(D3045,Products!$A$2:$A$15,Products!$B$2:$B$15,"Not found")</f>
        <v/>
      </c>
    </row>
    <row r="3046">
      <c r="A3046" t="n">
        <v>107365</v>
      </c>
      <c r="B3046" s="1" t="n">
        <v>45936</v>
      </c>
      <c r="C3046" t="inlineStr">
        <is>
          <t>S06</t>
        </is>
      </c>
      <c r="D3046" t="inlineStr">
        <is>
          <t>P303</t>
        </is>
      </c>
      <c r="E3046" t="n">
        <v>3</v>
      </c>
      <c r="F3046" t="n">
        <v>12</v>
      </c>
      <c r="G3046" t="n">
        <v>0</v>
      </c>
      <c r="H3046">
        <f>E3046*F3046*(1-G3046)</f>
        <v/>
      </c>
      <c r="I3046">
        <f>XLOOKUP(D3046,Products!$A$2:$A$15,Products!$B$2:$B$15,"Not found")</f>
        <v/>
      </c>
    </row>
    <row r="3047">
      <c r="A3047" t="n">
        <v>107366</v>
      </c>
      <c r="B3047" s="1" t="n">
        <v>45937</v>
      </c>
      <c r="C3047" t="inlineStr">
        <is>
          <t>S01</t>
        </is>
      </c>
      <c r="D3047" t="inlineStr">
        <is>
          <t>P303</t>
        </is>
      </c>
      <c r="E3047" t="n">
        <v>2</v>
      </c>
      <c r="F3047" t="n">
        <v>12</v>
      </c>
      <c r="G3047" t="n">
        <v>0</v>
      </c>
      <c r="H3047">
        <f>E3047*F3047*(1-G3047)</f>
        <v/>
      </c>
      <c r="I3047">
        <f>XLOOKUP(D3047,Products!$A$2:$A$15,Products!$B$2:$B$15,"Not found")</f>
        <v/>
      </c>
    </row>
    <row r="3048">
      <c r="A3048" t="n">
        <v>107367</v>
      </c>
      <c r="B3048" s="1" t="n">
        <v>45937</v>
      </c>
      <c r="C3048" t="inlineStr">
        <is>
          <t>S01</t>
        </is>
      </c>
      <c r="D3048" t="inlineStr">
        <is>
          <t>P301</t>
        </is>
      </c>
      <c r="E3048" t="n">
        <v>1</v>
      </c>
      <c r="F3048" t="n">
        <v>119</v>
      </c>
      <c r="G3048" t="n">
        <v>0</v>
      </c>
      <c r="H3048">
        <f>E3048*F3048*(1-G3048)</f>
        <v/>
      </c>
      <c r="I3048">
        <f>XLOOKUP(D3048,Products!$A$2:$A$15,Products!$B$2:$B$15,"Not found")</f>
        <v/>
      </c>
    </row>
    <row r="3049">
      <c r="A3049" t="n">
        <v>107368</v>
      </c>
      <c r="B3049" s="1" t="n">
        <v>45937</v>
      </c>
      <c r="C3049" t="inlineStr">
        <is>
          <t>S01</t>
        </is>
      </c>
      <c r="D3049" t="inlineStr">
        <is>
          <t>P403</t>
        </is>
      </c>
      <c r="E3049" t="n">
        <v>4</v>
      </c>
      <c r="F3049" t="n">
        <v>89</v>
      </c>
      <c r="G3049" t="n">
        <v>0.15</v>
      </c>
      <c r="H3049">
        <f>E3049*F3049*(1-G3049)</f>
        <v/>
      </c>
      <c r="I3049">
        <f>XLOOKUP(D3049,Products!$A$2:$A$15,Products!$B$2:$B$15,"Not found")</f>
        <v/>
      </c>
    </row>
    <row r="3050">
      <c r="A3050" t="n">
        <v>107369</v>
      </c>
      <c r="B3050" s="1" t="n">
        <v>45937</v>
      </c>
      <c r="C3050" t="inlineStr">
        <is>
          <t>S01</t>
        </is>
      </c>
      <c r="D3050" t="inlineStr">
        <is>
          <t>P302</t>
        </is>
      </c>
      <c r="E3050" t="n">
        <v>4</v>
      </c>
      <c r="F3050" t="n">
        <v>24</v>
      </c>
      <c r="G3050" t="n">
        <v>0</v>
      </c>
      <c r="H3050">
        <f>E3050*F3050*(1-G3050)</f>
        <v/>
      </c>
      <c r="I3050">
        <f>XLOOKUP(D3050,Products!$A$2:$A$15,Products!$B$2:$B$15,"Not found")</f>
        <v/>
      </c>
    </row>
    <row r="3051">
      <c r="A3051" t="n">
        <v>107370</v>
      </c>
      <c r="B3051" s="1" t="n">
        <v>45937</v>
      </c>
      <c r="C3051" t="inlineStr">
        <is>
          <t>S01</t>
        </is>
      </c>
      <c r="D3051" t="inlineStr">
        <is>
          <t>P402</t>
        </is>
      </c>
      <c r="E3051" t="n">
        <v>1</v>
      </c>
      <c r="F3051" t="n">
        <v>699</v>
      </c>
      <c r="G3051" t="n">
        <v>0</v>
      </c>
      <c r="H3051">
        <f>E3051*F3051*(1-G3051)</f>
        <v/>
      </c>
      <c r="I3051">
        <f>XLOOKUP(D3051,Products!$A$2:$A$15,Products!$B$2:$B$15,"Not found")</f>
        <v/>
      </c>
    </row>
    <row r="3052">
      <c r="A3052" t="n">
        <v>107371</v>
      </c>
      <c r="B3052" s="1" t="n">
        <v>45937</v>
      </c>
      <c r="C3052" t="inlineStr">
        <is>
          <t>S01</t>
        </is>
      </c>
      <c r="D3052" t="inlineStr">
        <is>
          <t>P302</t>
        </is>
      </c>
      <c r="E3052" t="n">
        <v>2</v>
      </c>
      <c r="F3052" t="n">
        <v>24</v>
      </c>
      <c r="G3052" t="n">
        <v>0</v>
      </c>
      <c r="H3052">
        <f>E3052*F3052*(1-G3052)</f>
        <v/>
      </c>
      <c r="I3052">
        <f>XLOOKUP(D3052,Products!$A$2:$A$15,Products!$B$2:$B$15,"Not found")</f>
        <v/>
      </c>
    </row>
    <row r="3053">
      <c r="A3053" t="n">
        <v>107372</v>
      </c>
      <c r="B3053" s="1" t="n">
        <v>45937</v>
      </c>
      <c r="C3053" t="inlineStr">
        <is>
          <t>S01</t>
        </is>
      </c>
      <c r="D3053" t="inlineStr">
        <is>
          <t>P103</t>
        </is>
      </c>
      <c r="E3053" t="n">
        <v>1</v>
      </c>
      <c r="F3053" t="n">
        <v>29</v>
      </c>
      <c r="G3053" t="n">
        <v>0.1</v>
      </c>
      <c r="H3053">
        <f>E3053*F3053*(1-G3053)</f>
        <v/>
      </c>
      <c r="I3053">
        <f>XLOOKUP(D3053,Products!$A$2:$A$15,Products!$B$2:$B$15,"Not found")</f>
        <v/>
      </c>
    </row>
    <row r="3054">
      <c r="A3054" t="n">
        <v>107373</v>
      </c>
      <c r="B3054" s="1" t="n">
        <v>45937</v>
      </c>
      <c r="C3054" t="inlineStr">
        <is>
          <t>S02</t>
        </is>
      </c>
      <c r="D3054" t="inlineStr">
        <is>
          <t>P101</t>
        </is>
      </c>
      <c r="E3054" t="n">
        <v>4</v>
      </c>
      <c r="F3054" t="n">
        <v>39</v>
      </c>
      <c r="G3054" t="n">
        <v>0.2</v>
      </c>
      <c r="H3054">
        <f>E3054*F3054*(1-G3054)</f>
        <v/>
      </c>
      <c r="I3054">
        <f>XLOOKUP(D3054,Products!$A$2:$A$15,Products!$B$2:$B$15,"Not found")</f>
        <v/>
      </c>
    </row>
    <row r="3055">
      <c r="A3055" t="n">
        <v>107374</v>
      </c>
      <c r="B3055" s="1" t="n">
        <v>45937</v>
      </c>
      <c r="C3055" t="inlineStr">
        <is>
          <t>S02</t>
        </is>
      </c>
      <c r="D3055" t="inlineStr">
        <is>
          <t>P202</t>
        </is>
      </c>
      <c r="E3055" t="n">
        <v>1</v>
      </c>
      <c r="F3055" t="n">
        <v>79</v>
      </c>
      <c r="G3055" t="n">
        <v>0</v>
      </c>
      <c r="H3055">
        <f>E3055*F3055*(1-G3055)</f>
        <v/>
      </c>
      <c r="I3055">
        <f>XLOOKUP(D3055,Products!$A$2:$A$15,Products!$B$2:$B$15,"Not found")</f>
        <v/>
      </c>
    </row>
    <row r="3056">
      <c r="A3056" t="n">
        <v>107375</v>
      </c>
      <c r="B3056" s="1" t="n">
        <v>45937</v>
      </c>
      <c r="C3056" t="inlineStr">
        <is>
          <t>S02</t>
        </is>
      </c>
      <c r="D3056" t="inlineStr">
        <is>
          <t>P302</t>
        </is>
      </c>
      <c r="E3056" t="n">
        <v>4</v>
      </c>
      <c r="F3056" t="n">
        <v>24</v>
      </c>
      <c r="G3056" t="n">
        <v>0.1</v>
      </c>
      <c r="H3056">
        <f>E3056*F3056*(1-G3056)</f>
        <v/>
      </c>
      <c r="I3056">
        <f>XLOOKUP(D3056,Products!$A$2:$A$15,Products!$B$2:$B$15,"Not found")</f>
        <v/>
      </c>
    </row>
    <row r="3057">
      <c r="A3057" t="n">
        <v>107376</v>
      </c>
      <c r="B3057" s="1" t="n">
        <v>45937</v>
      </c>
      <c r="C3057" t="inlineStr">
        <is>
          <t>S02</t>
        </is>
      </c>
      <c r="D3057" t="inlineStr">
        <is>
          <t>P202</t>
        </is>
      </c>
      <c r="E3057" t="n">
        <v>4</v>
      </c>
      <c r="F3057" t="n">
        <v>79</v>
      </c>
      <c r="G3057" t="n">
        <v>0</v>
      </c>
      <c r="H3057">
        <f>E3057*F3057*(1-G3057)</f>
        <v/>
      </c>
      <c r="I3057">
        <f>XLOOKUP(D3057,Products!$A$2:$A$15,Products!$B$2:$B$15,"Not found")</f>
        <v/>
      </c>
    </row>
    <row r="3058">
      <c r="A3058" t="n">
        <v>107377</v>
      </c>
      <c r="B3058" s="1" t="n">
        <v>45937</v>
      </c>
      <c r="C3058" t="inlineStr">
        <is>
          <t>S02</t>
        </is>
      </c>
      <c r="D3058" t="inlineStr">
        <is>
          <t>P302</t>
        </is>
      </c>
      <c r="E3058" t="n">
        <v>4</v>
      </c>
      <c r="F3058" t="n">
        <v>24</v>
      </c>
      <c r="G3058" t="n">
        <v>0</v>
      </c>
      <c r="H3058">
        <f>E3058*F3058*(1-G3058)</f>
        <v/>
      </c>
      <c r="I3058">
        <f>XLOOKUP(D3058,Products!$A$2:$A$15,Products!$B$2:$B$15,"Not found")</f>
        <v/>
      </c>
    </row>
    <row r="3059">
      <c r="A3059" t="n">
        <v>107378</v>
      </c>
      <c r="B3059" s="1" t="n">
        <v>45937</v>
      </c>
      <c r="C3059" t="inlineStr">
        <is>
          <t>S03</t>
        </is>
      </c>
      <c r="D3059" t="inlineStr">
        <is>
          <t>P201</t>
        </is>
      </c>
      <c r="E3059" t="n">
        <v>1</v>
      </c>
      <c r="F3059" t="n">
        <v>149</v>
      </c>
      <c r="G3059" t="n">
        <v>0.2</v>
      </c>
      <c r="H3059">
        <f>E3059*F3059*(1-G3059)</f>
        <v/>
      </c>
      <c r="I3059">
        <f>XLOOKUP(D3059,Products!$A$2:$A$15,Products!$B$2:$B$15,"Not found")</f>
        <v/>
      </c>
    </row>
    <row r="3060">
      <c r="A3060" t="n">
        <v>107379</v>
      </c>
      <c r="B3060" s="1" t="n">
        <v>45937</v>
      </c>
      <c r="C3060" t="inlineStr">
        <is>
          <t>S03</t>
        </is>
      </c>
      <c r="D3060" t="inlineStr">
        <is>
          <t>P303</t>
        </is>
      </c>
      <c r="E3060" t="n">
        <v>1</v>
      </c>
      <c r="F3060" t="n">
        <v>12</v>
      </c>
      <c r="G3060" t="n">
        <v>0</v>
      </c>
      <c r="H3060">
        <f>E3060*F3060*(1-G3060)</f>
        <v/>
      </c>
      <c r="I3060">
        <f>XLOOKUP(D3060,Products!$A$2:$A$15,Products!$B$2:$B$15,"Not found")</f>
        <v/>
      </c>
    </row>
    <row r="3061">
      <c r="A3061" t="n">
        <v>107380</v>
      </c>
      <c r="B3061" s="1" t="n">
        <v>45937</v>
      </c>
      <c r="C3061" t="inlineStr">
        <is>
          <t>S04</t>
        </is>
      </c>
      <c r="D3061" t="inlineStr">
        <is>
          <t>P302</t>
        </is>
      </c>
      <c r="E3061" t="n">
        <v>3</v>
      </c>
      <c r="F3061" t="n">
        <v>24</v>
      </c>
      <c r="G3061" t="n">
        <v>0.15</v>
      </c>
      <c r="H3061">
        <f>E3061*F3061*(1-G3061)</f>
        <v/>
      </c>
      <c r="I3061">
        <f>XLOOKUP(D3061,Products!$A$2:$A$15,Products!$B$2:$B$15,"Not found")</f>
        <v/>
      </c>
    </row>
    <row r="3062">
      <c r="A3062" t="n">
        <v>107381</v>
      </c>
      <c r="B3062" s="1" t="n">
        <v>45937</v>
      </c>
      <c r="C3062" t="inlineStr">
        <is>
          <t>S04</t>
        </is>
      </c>
      <c r="D3062" t="inlineStr">
        <is>
          <t>P201</t>
        </is>
      </c>
      <c r="E3062" t="n">
        <v>1</v>
      </c>
      <c r="F3062" t="n">
        <v>149</v>
      </c>
      <c r="G3062" t="n">
        <v>0.2</v>
      </c>
      <c r="H3062">
        <f>E3062*F3062*(1-G3062)</f>
        <v/>
      </c>
      <c r="I3062">
        <f>XLOOKUP(D3062,Products!$A$2:$A$15,Products!$B$2:$B$15,"Not found")</f>
        <v/>
      </c>
    </row>
    <row r="3063">
      <c r="A3063" t="n">
        <v>107382</v>
      </c>
      <c r="B3063" s="1" t="n">
        <v>45937</v>
      </c>
      <c r="C3063" t="inlineStr">
        <is>
          <t>S04</t>
        </is>
      </c>
      <c r="D3063" t="inlineStr">
        <is>
          <t>P301</t>
        </is>
      </c>
      <c r="E3063" t="n">
        <v>1</v>
      </c>
      <c r="F3063" t="n">
        <v>119</v>
      </c>
      <c r="G3063" t="n">
        <v>0.15</v>
      </c>
      <c r="H3063">
        <f>E3063*F3063*(1-G3063)</f>
        <v/>
      </c>
      <c r="I3063">
        <f>XLOOKUP(D3063,Products!$A$2:$A$15,Products!$B$2:$B$15,"Not found")</f>
        <v/>
      </c>
    </row>
    <row r="3064">
      <c r="A3064" t="n">
        <v>107383</v>
      </c>
      <c r="B3064" s="1" t="n">
        <v>45937</v>
      </c>
      <c r="C3064" t="inlineStr">
        <is>
          <t>S05</t>
        </is>
      </c>
      <c r="D3064" t="inlineStr">
        <is>
          <t>P203</t>
        </is>
      </c>
      <c r="E3064" t="n">
        <v>2</v>
      </c>
      <c r="F3064" t="n">
        <v>19.5</v>
      </c>
      <c r="G3064" t="n">
        <v>0.2</v>
      </c>
      <c r="H3064">
        <f>E3064*F3064*(1-G3064)</f>
        <v/>
      </c>
      <c r="I3064">
        <f>XLOOKUP(D3064,Products!$A$2:$A$15,Products!$B$2:$B$15,"Not found")</f>
        <v/>
      </c>
    </row>
    <row r="3065">
      <c r="A3065" t="n">
        <v>107384</v>
      </c>
      <c r="B3065" s="1" t="n">
        <v>45937</v>
      </c>
      <c r="C3065" t="inlineStr">
        <is>
          <t>S05</t>
        </is>
      </c>
      <c r="D3065" t="inlineStr">
        <is>
          <t>P203</t>
        </is>
      </c>
      <c r="E3065" t="n">
        <v>2</v>
      </c>
      <c r="F3065" t="n">
        <v>19.5</v>
      </c>
      <c r="G3065" t="n">
        <v>0</v>
      </c>
      <c r="H3065">
        <f>E3065*F3065*(1-G3065)</f>
        <v/>
      </c>
      <c r="I3065">
        <f>XLOOKUP(D3065,Products!$A$2:$A$15,Products!$B$2:$B$15,"Not found")</f>
        <v/>
      </c>
    </row>
    <row r="3066">
      <c r="A3066" t="n">
        <v>107385</v>
      </c>
      <c r="B3066" s="1" t="n">
        <v>45937</v>
      </c>
      <c r="C3066" t="inlineStr">
        <is>
          <t>S05</t>
        </is>
      </c>
      <c r="D3066" t="inlineStr">
        <is>
          <t>P101</t>
        </is>
      </c>
      <c r="E3066" t="n">
        <v>2</v>
      </c>
      <c r="F3066" t="n">
        <v>39</v>
      </c>
      <c r="G3066" t="n">
        <v>0.1</v>
      </c>
      <c r="H3066">
        <f>E3066*F3066*(1-G3066)</f>
        <v/>
      </c>
      <c r="I3066">
        <f>XLOOKUP(D3066,Products!$A$2:$A$15,Products!$B$2:$B$15,"Not found")</f>
        <v/>
      </c>
    </row>
    <row r="3067">
      <c r="A3067" t="n">
        <v>107386</v>
      </c>
      <c r="B3067" s="1" t="n">
        <v>45937</v>
      </c>
      <c r="C3067" t="inlineStr">
        <is>
          <t>S06</t>
        </is>
      </c>
      <c r="D3067" t="inlineStr">
        <is>
          <t>P101</t>
        </is>
      </c>
      <c r="E3067" t="n">
        <v>2</v>
      </c>
      <c r="F3067" t="n">
        <v>39</v>
      </c>
      <c r="G3067" t="n">
        <v>0.15</v>
      </c>
      <c r="H3067">
        <f>E3067*F3067*(1-G3067)</f>
        <v/>
      </c>
      <c r="I3067">
        <f>XLOOKUP(D3067,Products!$A$2:$A$15,Products!$B$2:$B$15,"Not found")</f>
        <v/>
      </c>
    </row>
    <row r="3068">
      <c r="A3068" t="n">
        <v>107387</v>
      </c>
      <c r="B3068" s="1" t="n">
        <v>45937</v>
      </c>
      <c r="C3068" t="inlineStr">
        <is>
          <t>S06</t>
        </is>
      </c>
      <c r="D3068" t="inlineStr">
        <is>
          <t>P303</t>
        </is>
      </c>
      <c r="E3068" t="n">
        <v>1</v>
      </c>
      <c r="F3068" t="n">
        <v>12</v>
      </c>
      <c r="G3068" t="n">
        <v>0.15</v>
      </c>
      <c r="H3068">
        <f>E3068*F3068*(1-G3068)</f>
        <v/>
      </c>
      <c r="I3068">
        <f>XLOOKUP(D3068,Products!$A$2:$A$15,Products!$B$2:$B$15,"Not found")</f>
        <v/>
      </c>
    </row>
    <row r="3069">
      <c r="A3069" t="n">
        <v>107388</v>
      </c>
      <c r="B3069" s="1" t="n">
        <v>45937</v>
      </c>
      <c r="C3069" t="inlineStr">
        <is>
          <t>S06</t>
        </is>
      </c>
      <c r="D3069" t="inlineStr">
        <is>
          <t>P103</t>
        </is>
      </c>
      <c r="E3069" t="n">
        <v>3</v>
      </c>
      <c r="F3069" t="n">
        <v>29</v>
      </c>
      <c r="G3069" t="n">
        <v>0</v>
      </c>
      <c r="H3069">
        <f>E3069*F3069*(1-G3069)</f>
        <v/>
      </c>
      <c r="I3069">
        <f>XLOOKUP(D3069,Products!$A$2:$A$15,Products!$B$2:$B$15,"Not found")</f>
        <v/>
      </c>
    </row>
    <row r="3070">
      <c r="A3070" t="n">
        <v>107389</v>
      </c>
      <c r="B3070" s="1" t="n">
        <v>45938</v>
      </c>
      <c r="C3070" t="inlineStr">
        <is>
          <t>S01</t>
        </is>
      </c>
      <c r="D3070" t="inlineStr">
        <is>
          <t>P102</t>
        </is>
      </c>
      <c r="E3070" t="n">
        <v>1</v>
      </c>
      <c r="F3070" t="n">
        <v>14.5</v>
      </c>
      <c r="G3070" t="n">
        <v>0.1</v>
      </c>
      <c r="H3070">
        <f>E3070*F3070*(1-G3070)</f>
        <v/>
      </c>
      <c r="I3070">
        <f>XLOOKUP(D3070,Products!$A$2:$A$15,Products!$B$2:$B$15,"Not found")</f>
        <v/>
      </c>
    </row>
    <row r="3071">
      <c r="A3071" t="n">
        <v>107390</v>
      </c>
      <c r="B3071" s="1" t="n">
        <v>45938</v>
      </c>
      <c r="C3071" t="inlineStr">
        <is>
          <t>S01</t>
        </is>
      </c>
      <c r="D3071" t="inlineStr">
        <is>
          <t>P104</t>
        </is>
      </c>
      <c r="E3071" t="n">
        <v>1</v>
      </c>
      <c r="F3071" t="n">
        <v>189</v>
      </c>
      <c r="G3071" t="n">
        <v>0</v>
      </c>
      <c r="H3071">
        <f>E3071*F3071*(1-G3071)</f>
        <v/>
      </c>
      <c r="I3071">
        <f>XLOOKUP(D3071,Products!$A$2:$A$15,Products!$B$2:$B$15,"Not found")</f>
        <v/>
      </c>
    </row>
    <row r="3072">
      <c r="A3072" t="n">
        <v>107391</v>
      </c>
      <c r="B3072" s="1" t="n">
        <v>45938</v>
      </c>
      <c r="C3072" t="inlineStr">
        <is>
          <t>S01</t>
        </is>
      </c>
      <c r="D3072" t="inlineStr">
        <is>
          <t>P103</t>
        </is>
      </c>
      <c r="E3072" t="n">
        <v>4</v>
      </c>
      <c r="F3072" t="n">
        <v>29</v>
      </c>
      <c r="G3072" t="n">
        <v>0.1</v>
      </c>
      <c r="H3072">
        <f>E3072*F3072*(1-G3072)</f>
        <v/>
      </c>
      <c r="I3072">
        <f>XLOOKUP(D3072,Products!$A$2:$A$15,Products!$B$2:$B$15,"Not found")</f>
        <v/>
      </c>
    </row>
    <row r="3073">
      <c r="A3073" t="n">
        <v>107392</v>
      </c>
      <c r="B3073" s="1" t="n">
        <v>45938</v>
      </c>
      <c r="C3073" t="inlineStr">
        <is>
          <t>S01</t>
        </is>
      </c>
      <c r="D3073" t="inlineStr">
        <is>
          <t>P302</t>
        </is>
      </c>
      <c r="E3073" t="n">
        <v>1</v>
      </c>
      <c r="F3073" t="n">
        <v>24</v>
      </c>
      <c r="G3073" t="n">
        <v>0.15</v>
      </c>
      <c r="H3073">
        <f>E3073*F3073*(1-G3073)</f>
        <v/>
      </c>
      <c r="I3073">
        <f>XLOOKUP(D3073,Products!$A$2:$A$15,Products!$B$2:$B$15,"Not found")</f>
        <v/>
      </c>
    </row>
    <row r="3074">
      <c r="A3074" t="n">
        <v>107393</v>
      </c>
      <c r="B3074" s="1" t="n">
        <v>45938</v>
      </c>
      <c r="C3074" t="inlineStr">
        <is>
          <t>S02</t>
        </is>
      </c>
      <c r="D3074" t="inlineStr">
        <is>
          <t>P303</t>
        </is>
      </c>
      <c r="E3074" t="n">
        <v>1</v>
      </c>
      <c r="F3074" t="n">
        <v>12</v>
      </c>
      <c r="G3074" t="n">
        <v>0.1</v>
      </c>
      <c r="H3074">
        <f>E3074*F3074*(1-G3074)</f>
        <v/>
      </c>
      <c r="I3074">
        <f>XLOOKUP(D3074,Products!$A$2:$A$15,Products!$B$2:$B$15,"Not found")</f>
        <v/>
      </c>
    </row>
    <row r="3075">
      <c r="A3075" t="n">
        <v>107394</v>
      </c>
      <c r="B3075" s="1" t="n">
        <v>45938</v>
      </c>
      <c r="C3075" t="inlineStr">
        <is>
          <t>S02</t>
        </is>
      </c>
      <c r="D3075" t="inlineStr">
        <is>
          <t>P302</t>
        </is>
      </c>
      <c r="E3075" t="n">
        <v>1</v>
      </c>
      <c r="F3075" t="n">
        <v>24</v>
      </c>
      <c r="G3075" t="n">
        <v>0</v>
      </c>
      <c r="H3075">
        <f>E3075*F3075*(1-G3075)</f>
        <v/>
      </c>
      <c r="I3075">
        <f>XLOOKUP(D3075,Products!$A$2:$A$15,Products!$B$2:$B$15,"Not found")</f>
        <v/>
      </c>
    </row>
    <row r="3076">
      <c r="A3076" t="n">
        <v>107395</v>
      </c>
      <c r="B3076" s="1" t="n">
        <v>45938</v>
      </c>
      <c r="C3076" t="inlineStr">
        <is>
          <t>S03</t>
        </is>
      </c>
      <c r="D3076" t="inlineStr">
        <is>
          <t>P102</t>
        </is>
      </c>
      <c r="E3076" t="n">
        <v>1</v>
      </c>
      <c r="F3076" t="n">
        <v>14.5</v>
      </c>
      <c r="G3076" t="n">
        <v>0.1</v>
      </c>
      <c r="H3076">
        <f>E3076*F3076*(1-G3076)</f>
        <v/>
      </c>
      <c r="I3076">
        <f>XLOOKUP(D3076,Products!$A$2:$A$15,Products!$B$2:$B$15,"Not found")</f>
        <v/>
      </c>
    </row>
    <row r="3077">
      <c r="A3077" t="n">
        <v>107396</v>
      </c>
      <c r="B3077" s="1" t="n">
        <v>45938</v>
      </c>
      <c r="C3077" t="inlineStr">
        <is>
          <t>S03</t>
        </is>
      </c>
      <c r="D3077" t="inlineStr">
        <is>
          <t>P104</t>
        </is>
      </c>
      <c r="E3077" t="n">
        <v>1</v>
      </c>
      <c r="F3077" t="n">
        <v>189</v>
      </c>
      <c r="G3077" t="n">
        <v>0</v>
      </c>
      <c r="H3077">
        <f>E3077*F3077*(1-G3077)</f>
        <v/>
      </c>
      <c r="I3077">
        <f>XLOOKUP(D3077,Products!$A$2:$A$15,Products!$B$2:$B$15,"Not found")</f>
        <v/>
      </c>
    </row>
    <row r="3078">
      <c r="A3078" t="n">
        <v>107397</v>
      </c>
      <c r="B3078" s="1" t="n">
        <v>45938</v>
      </c>
      <c r="C3078" t="inlineStr">
        <is>
          <t>S04</t>
        </is>
      </c>
      <c r="D3078" t="inlineStr">
        <is>
          <t>P102</t>
        </is>
      </c>
      <c r="E3078" t="n">
        <v>1</v>
      </c>
      <c r="F3078" t="n">
        <v>14.5</v>
      </c>
      <c r="G3078" t="n">
        <v>0</v>
      </c>
      <c r="H3078">
        <f>E3078*F3078*(1-G3078)</f>
        <v/>
      </c>
      <c r="I3078">
        <f>XLOOKUP(D3078,Products!$A$2:$A$15,Products!$B$2:$B$15,"Not found")</f>
        <v/>
      </c>
    </row>
    <row r="3079">
      <c r="A3079" t="n">
        <v>107398</v>
      </c>
      <c r="B3079" s="1" t="n">
        <v>45938</v>
      </c>
      <c r="C3079" t="inlineStr">
        <is>
          <t>S04</t>
        </is>
      </c>
      <c r="D3079" t="inlineStr">
        <is>
          <t>P204</t>
        </is>
      </c>
      <c r="E3079" t="n">
        <v>1</v>
      </c>
      <c r="F3079" t="n">
        <v>229</v>
      </c>
      <c r="G3079" t="n">
        <v>0.2</v>
      </c>
      <c r="H3079">
        <f>E3079*F3079*(1-G3079)</f>
        <v/>
      </c>
      <c r="I3079">
        <f>XLOOKUP(D3079,Products!$A$2:$A$15,Products!$B$2:$B$15,"Not found")</f>
        <v/>
      </c>
    </row>
    <row r="3080">
      <c r="A3080" t="n">
        <v>107399</v>
      </c>
      <c r="B3080" s="1" t="n">
        <v>45938</v>
      </c>
      <c r="C3080" t="inlineStr">
        <is>
          <t>S04</t>
        </is>
      </c>
      <c r="D3080" t="inlineStr">
        <is>
          <t>P102</t>
        </is>
      </c>
      <c r="E3080" t="n">
        <v>1</v>
      </c>
      <c r="F3080" t="n">
        <v>14.5</v>
      </c>
      <c r="G3080" t="n">
        <v>0.15</v>
      </c>
      <c r="H3080">
        <f>E3080*F3080*(1-G3080)</f>
        <v/>
      </c>
      <c r="I3080">
        <f>XLOOKUP(D3080,Products!$A$2:$A$15,Products!$B$2:$B$15,"Not found")</f>
        <v/>
      </c>
    </row>
    <row r="3081">
      <c r="A3081" t="n">
        <v>107400</v>
      </c>
      <c r="B3081" s="1" t="n">
        <v>45938</v>
      </c>
      <c r="C3081" t="inlineStr">
        <is>
          <t>S05</t>
        </is>
      </c>
      <c r="D3081" t="inlineStr">
        <is>
          <t>P103</t>
        </is>
      </c>
      <c r="E3081" t="n">
        <v>3</v>
      </c>
      <c r="F3081" t="n">
        <v>29</v>
      </c>
      <c r="G3081" t="n">
        <v>0</v>
      </c>
      <c r="H3081">
        <f>E3081*F3081*(1-G3081)</f>
        <v/>
      </c>
      <c r="I3081">
        <f>XLOOKUP(D3081,Products!$A$2:$A$15,Products!$B$2:$B$15,"Not found")</f>
        <v/>
      </c>
    </row>
    <row r="3082">
      <c r="A3082" t="n">
        <v>107401</v>
      </c>
      <c r="B3082" s="1" t="n">
        <v>45938</v>
      </c>
      <c r="C3082" t="inlineStr">
        <is>
          <t>S05</t>
        </is>
      </c>
      <c r="D3082" t="inlineStr">
        <is>
          <t>P102</t>
        </is>
      </c>
      <c r="E3082" t="n">
        <v>2</v>
      </c>
      <c r="F3082" t="n">
        <v>14.5</v>
      </c>
      <c r="G3082" t="n">
        <v>0</v>
      </c>
      <c r="H3082">
        <f>E3082*F3082*(1-G3082)</f>
        <v/>
      </c>
      <c r="I3082">
        <f>XLOOKUP(D3082,Products!$A$2:$A$15,Products!$B$2:$B$15,"Not found")</f>
        <v/>
      </c>
    </row>
    <row r="3083">
      <c r="A3083" t="n">
        <v>107402</v>
      </c>
      <c r="B3083" s="1" t="n">
        <v>45938</v>
      </c>
      <c r="C3083" t="inlineStr">
        <is>
          <t>S05</t>
        </is>
      </c>
      <c r="D3083" t="inlineStr">
        <is>
          <t>P303</t>
        </is>
      </c>
      <c r="E3083" t="n">
        <v>2</v>
      </c>
      <c r="F3083" t="n">
        <v>12</v>
      </c>
      <c r="G3083" t="n">
        <v>0</v>
      </c>
      <c r="H3083">
        <f>E3083*F3083*(1-G3083)</f>
        <v/>
      </c>
      <c r="I3083">
        <f>XLOOKUP(D3083,Products!$A$2:$A$15,Products!$B$2:$B$15,"Not found")</f>
        <v/>
      </c>
    </row>
    <row r="3084">
      <c r="A3084" t="n">
        <v>107403</v>
      </c>
      <c r="B3084" s="1" t="n">
        <v>45938</v>
      </c>
      <c r="C3084" t="inlineStr">
        <is>
          <t>S05</t>
        </is>
      </c>
      <c r="D3084" t="inlineStr">
        <is>
          <t>P201</t>
        </is>
      </c>
      <c r="E3084" t="n">
        <v>1</v>
      </c>
      <c r="F3084" t="n">
        <v>149</v>
      </c>
      <c r="G3084" t="n">
        <v>0</v>
      </c>
      <c r="H3084">
        <f>E3084*F3084*(1-G3084)</f>
        <v/>
      </c>
      <c r="I3084">
        <f>XLOOKUP(D3084,Products!$A$2:$A$15,Products!$B$2:$B$15,"Not found")</f>
        <v/>
      </c>
    </row>
    <row r="3085">
      <c r="A3085" t="n">
        <v>107404</v>
      </c>
      <c r="B3085" s="1" t="n">
        <v>45938</v>
      </c>
      <c r="C3085" t="inlineStr">
        <is>
          <t>S05</t>
        </is>
      </c>
      <c r="D3085" t="inlineStr">
        <is>
          <t>P101</t>
        </is>
      </c>
      <c r="E3085" t="n">
        <v>1</v>
      </c>
      <c r="F3085" t="n">
        <v>39</v>
      </c>
      <c r="G3085" t="n">
        <v>0.1</v>
      </c>
      <c r="H3085">
        <f>E3085*F3085*(1-G3085)</f>
        <v/>
      </c>
      <c r="I3085">
        <f>XLOOKUP(D3085,Products!$A$2:$A$15,Products!$B$2:$B$15,"Not found")</f>
        <v/>
      </c>
    </row>
    <row r="3086">
      <c r="A3086" t="n">
        <v>107405</v>
      </c>
      <c r="B3086" s="1" t="n">
        <v>45938</v>
      </c>
      <c r="C3086" t="inlineStr">
        <is>
          <t>S06</t>
        </is>
      </c>
      <c r="D3086" t="inlineStr">
        <is>
          <t>P101</t>
        </is>
      </c>
      <c r="E3086" t="n">
        <v>2</v>
      </c>
      <c r="F3086" t="n">
        <v>39</v>
      </c>
      <c r="G3086" t="n">
        <v>0</v>
      </c>
      <c r="H3086">
        <f>E3086*F3086*(1-G3086)</f>
        <v/>
      </c>
      <c r="I3086">
        <f>XLOOKUP(D3086,Products!$A$2:$A$15,Products!$B$2:$B$15,"Not found")</f>
        <v/>
      </c>
    </row>
    <row r="3087">
      <c r="A3087" t="n">
        <v>107406</v>
      </c>
      <c r="B3087" s="1" t="n">
        <v>45939</v>
      </c>
      <c r="C3087" t="inlineStr">
        <is>
          <t>S01</t>
        </is>
      </c>
      <c r="D3087" t="inlineStr">
        <is>
          <t>P204</t>
        </is>
      </c>
      <c r="E3087" t="n">
        <v>1</v>
      </c>
      <c r="F3087" t="n">
        <v>229</v>
      </c>
      <c r="G3087" t="n">
        <v>0</v>
      </c>
      <c r="H3087">
        <f>E3087*F3087*(1-G3087)</f>
        <v/>
      </c>
      <c r="I3087">
        <f>XLOOKUP(D3087,Products!$A$2:$A$15,Products!$B$2:$B$15,"Not found")</f>
        <v/>
      </c>
    </row>
    <row r="3088">
      <c r="A3088" t="n">
        <v>107407</v>
      </c>
      <c r="B3088" s="1" t="n">
        <v>45939</v>
      </c>
      <c r="C3088" t="inlineStr">
        <is>
          <t>S01</t>
        </is>
      </c>
      <c r="D3088" t="inlineStr">
        <is>
          <t>P203</t>
        </is>
      </c>
      <c r="E3088" t="n">
        <v>2</v>
      </c>
      <c r="F3088" t="n">
        <v>19.5</v>
      </c>
      <c r="G3088" t="n">
        <v>0.2</v>
      </c>
      <c r="H3088">
        <f>E3088*F3088*(1-G3088)</f>
        <v/>
      </c>
      <c r="I3088">
        <f>XLOOKUP(D3088,Products!$A$2:$A$15,Products!$B$2:$B$15,"Not found")</f>
        <v/>
      </c>
    </row>
    <row r="3089">
      <c r="A3089" t="n">
        <v>107408</v>
      </c>
      <c r="B3089" s="1" t="n">
        <v>45939</v>
      </c>
      <c r="C3089" t="inlineStr">
        <is>
          <t>S01</t>
        </is>
      </c>
      <c r="D3089" t="inlineStr">
        <is>
          <t>P303</t>
        </is>
      </c>
      <c r="E3089" t="n">
        <v>2</v>
      </c>
      <c r="F3089" t="n">
        <v>12</v>
      </c>
      <c r="G3089" t="n">
        <v>0.15</v>
      </c>
      <c r="H3089">
        <f>E3089*F3089*(1-G3089)</f>
        <v/>
      </c>
      <c r="I3089">
        <f>XLOOKUP(D3089,Products!$A$2:$A$15,Products!$B$2:$B$15,"Not found")</f>
        <v/>
      </c>
    </row>
    <row r="3090">
      <c r="A3090" t="n">
        <v>107409</v>
      </c>
      <c r="B3090" s="1" t="n">
        <v>45939</v>
      </c>
      <c r="C3090" t="inlineStr">
        <is>
          <t>S02</t>
        </is>
      </c>
      <c r="D3090" t="inlineStr">
        <is>
          <t>P303</t>
        </is>
      </c>
      <c r="E3090" t="n">
        <v>2</v>
      </c>
      <c r="F3090" t="n">
        <v>12</v>
      </c>
      <c r="G3090" t="n">
        <v>0.1</v>
      </c>
      <c r="H3090">
        <f>E3090*F3090*(1-G3090)</f>
        <v/>
      </c>
      <c r="I3090">
        <f>XLOOKUP(D3090,Products!$A$2:$A$15,Products!$B$2:$B$15,"Not found")</f>
        <v/>
      </c>
    </row>
    <row r="3091">
      <c r="A3091" t="n">
        <v>107410</v>
      </c>
      <c r="B3091" s="1" t="n">
        <v>45939</v>
      </c>
      <c r="C3091" t="inlineStr">
        <is>
          <t>S02</t>
        </is>
      </c>
      <c r="D3091" t="inlineStr">
        <is>
          <t>P202</t>
        </is>
      </c>
      <c r="E3091" t="n">
        <v>4</v>
      </c>
      <c r="F3091" t="n">
        <v>79</v>
      </c>
      <c r="G3091" t="n">
        <v>0</v>
      </c>
      <c r="H3091">
        <f>E3091*F3091*(1-G3091)</f>
        <v/>
      </c>
      <c r="I3091">
        <f>XLOOKUP(D3091,Products!$A$2:$A$15,Products!$B$2:$B$15,"Not found")</f>
        <v/>
      </c>
    </row>
    <row r="3092">
      <c r="A3092" t="n">
        <v>107411</v>
      </c>
      <c r="B3092" s="1" t="n">
        <v>45939</v>
      </c>
      <c r="C3092" t="inlineStr">
        <is>
          <t>S02</t>
        </is>
      </c>
      <c r="D3092" t="inlineStr">
        <is>
          <t>P103</t>
        </is>
      </c>
      <c r="E3092" t="n">
        <v>2</v>
      </c>
      <c r="F3092" t="n">
        <v>29</v>
      </c>
      <c r="G3092" t="n">
        <v>0</v>
      </c>
      <c r="H3092">
        <f>E3092*F3092*(1-G3092)</f>
        <v/>
      </c>
      <c r="I3092">
        <f>XLOOKUP(D3092,Products!$A$2:$A$15,Products!$B$2:$B$15,"Not found")</f>
        <v/>
      </c>
    </row>
    <row r="3093">
      <c r="A3093" t="n">
        <v>107412</v>
      </c>
      <c r="B3093" s="1" t="n">
        <v>45939</v>
      </c>
      <c r="C3093" t="inlineStr">
        <is>
          <t>S03</t>
        </is>
      </c>
      <c r="D3093" t="inlineStr">
        <is>
          <t>P103</t>
        </is>
      </c>
      <c r="E3093" t="n">
        <v>3</v>
      </c>
      <c r="F3093" t="n">
        <v>29</v>
      </c>
      <c r="G3093" t="n">
        <v>0.2</v>
      </c>
      <c r="H3093">
        <f>E3093*F3093*(1-G3093)</f>
        <v/>
      </c>
      <c r="I3093">
        <f>XLOOKUP(D3093,Products!$A$2:$A$15,Products!$B$2:$B$15,"Not found")</f>
        <v/>
      </c>
    </row>
    <row r="3094">
      <c r="A3094" t="n">
        <v>107413</v>
      </c>
      <c r="B3094" s="1" t="n">
        <v>45939</v>
      </c>
      <c r="C3094" t="inlineStr">
        <is>
          <t>S03</t>
        </is>
      </c>
      <c r="D3094" t="inlineStr">
        <is>
          <t>P103</t>
        </is>
      </c>
      <c r="E3094" t="n">
        <v>1</v>
      </c>
      <c r="F3094" t="n">
        <v>29</v>
      </c>
      <c r="G3094" t="n">
        <v>0</v>
      </c>
      <c r="H3094">
        <f>E3094*F3094*(1-G3094)</f>
        <v/>
      </c>
      <c r="I3094">
        <f>XLOOKUP(D3094,Products!$A$2:$A$15,Products!$B$2:$B$15,"Not found")</f>
        <v/>
      </c>
    </row>
    <row r="3095">
      <c r="A3095" t="n">
        <v>107414</v>
      </c>
      <c r="B3095" s="1" t="n">
        <v>45939</v>
      </c>
      <c r="C3095" t="inlineStr">
        <is>
          <t>S03</t>
        </is>
      </c>
      <c r="D3095" t="inlineStr">
        <is>
          <t>P201</t>
        </is>
      </c>
      <c r="E3095" t="n">
        <v>1</v>
      </c>
      <c r="F3095" t="n">
        <v>149</v>
      </c>
      <c r="G3095" t="n">
        <v>0.1</v>
      </c>
      <c r="H3095">
        <f>E3095*F3095*(1-G3095)</f>
        <v/>
      </c>
      <c r="I3095">
        <f>XLOOKUP(D3095,Products!$A$2:$A$15,Products!$B$2:$B$15,"Not found")</f>
        <v/>
      </c>
    </row>
    <row r="3096">
      <c r="A3096" t="n">
        <v>107415</v>
      </c>
      <c r="B3096" s="1" t="n">
        <v>45939</v>
      </c>
      <c r="C3096" t="inlineStr">
        <is>
          <t>S04</t>
        </is>
      </c>
      <c r="D3096" t="inlineStr">
        <is>
          <t>P101</t>
        </is>
      </c>
      <c r="E3096" t="n">
        <v>2</v>
      </c>
      <c r="F3096" t="n">
        <v>39</v>
      </c>
      <c r="G3096" t="n">
        <v>0</v>
      </c>
      <c r="H3096">
        <f>E3096*F3096*(1-G3096)</f>
        <v/>
      </c>
      <c r="I3096">
        <f>XLOOKUP(D3096,Products!$A$2:$A$15,Products!$B$2:$B$15,"Not found")</f>
        <v/>
      </c>
    </row>
    <row r="3097">
      <c r="A3097" t="n">
        <v>107416</v>
      </c>
      <c r="B3097" s="1" t="n">
        <v>45939</v>
      </c>
      <c r="C3097" t="inlineStr">
        <is>
          <t>S04</t>
        </is>
      </c>
      <c r="D3097" t="inlineStr">
        <is>
          <t>P102</t>
        </is>
      </c>
      <c r="E3097" t="n">
        <v>1</v>
      </c>
      <c r="F3097" t="n">
        <v>14.5</v>
      </c>
      <c r="G3097" t="n">
        <v>0.2</v>
      </c>
      <c r="H3097">
        <f>E3097*F3097*(1-G3097)</f>
        <v/>
      </c>
      <c r="I3097">
        <f>XLOOKUP(D3097,Products!$A$2:$A$15,Products!$B$2:$B$15,"Not found")</f>
        <v/>
      </c>
    </row>
    <row r="3098">
      <c r="A3098" t="n">
        <v>107417</v>
      </c>
      <c r="B3098" s="1" t="n">
        <v>45939</v>
      </c>
      <c r="C3098" t="inlineStr">
        <is>
          <t>S04</t>
        </is>
      </c>
      <c r="D3098" t="inlineStr">
        <is>
          <t>P203</t>
        </is>
      </c>
      <c r="E3098" t="n">
        <v>3</v>
      </c>
      <c r="F3098" t="n">
        <v>19.5</v>
      </c>
      <c r="G3098" t="n">
        <v>0.15</v>
      </c>
      <c r="H3098">
        <f>E3098*F3098*(1-G3098)</f>
        <v/>
      </c>
      <c r="I3098">
        <f>XLOOKUP(D3098,Products!$A$2:$A$15,Products!$B$2:$B$15,"Not found")</f>
        <v/>
      </c>
    </row>
    <row r="3099">
      <c r="A3099" t="n">
        <v>107418</v>
      </c>
      <c r="B3099" s="1" t="n">
        <v>45939</v>
      </c>
      <c r="C3099" t="inlineStr">
        <is>
          <t>S05</t>
        </is>
      </c>
      <c r="D3099" t="inlineStr">
        <is>
          <t>P102</t>
        </is>
      </c>
      <c r="E3099" t="n">
        <v>2</v>
      </c>
      <c r="F3099" t="n">
        <v>14.5</v>
      </c>
      <c r="G3099" t="n">
        <v>0.1</v>
      </c>
      <c r="H3099">
        <f>E3099*F3099*(1-G3099)</f>
        <v/>
      </c>
      <c r="I3099">
        <f>XLOOKUP(D3099,Products!$A$2:$A$15,Products!$B$2:$B$15,"Not found")</f>
        <v/>
      </c>
    </row>
    <row r="3100">
      <c r="A3100" t="n">
        <v>107419</v>
      </c>
      <c r="B3100" s="1" t="n">
        <v>45939</v>
      </c>
      <c r="C3100" t="inlineStr">
        <is>
          <t>S05</t>
        </is>
      </c>
      <c r="D3100" t="inlineStr">
        <is>
          <t>P101</t>
        </is>
      </c>
      <c r="E3100" t="n">
        <v>1</v>
      </c>
      <c r="F3100" t="n">
        <v>39</v>
      </c>
      <c r="G3100" t="n">
        <v>0</v>
      </c>
      <c r="H3100">
        <f>E3100*F3100*(1-G3100)</f>
        <v/>
      </c>
      <c r="I3100">
        <f>XLOOKUP(D3100,Products!$A$2:$A$15,Products!$B$2:$B$15,"Not found")</f>
        <v/>
      </c>
    </row>
    <row r="3101">
      <c r="A3101" t="n">
        <v>107420</v>
      </c>
      <c r="B3101" s="1" t="n">
        <v>45939</v>
      </c>
      <c r="C3101" t="inlineStr">
        <is>
          <t>S05</t>
        </is>
      </c>
      <c r="D3101" t="inlineStr">
        <is>
          <t>P303</t>
        </is>
      </c>
      <c r="E3101" t="n">
        <v>4</v>
      </c>
      <c r="F3101" t="n">
        <v>12</v>
      </c>
      <c r="G3101" t="n">
        <v>0.1</v>
      </c>
      <c r="H3101">
        <f>E3101*F3101*(1-G3101)</f>
        <v/>
      </c>
      <c r="I3101">
        <f>XLOOKUP(D3101,Products!$A$2:$A$15,Products!$B$2:$B$15,"Not found")</f>
        <v/>
      </c>
    </row>
    <row r="3102">
      <c r="A3102" t="n">
        <v>107421</v>
      </c>
      <c r="B3102" s="1" t="n">
        <v>45940</v>
      </c>
      <c r="C3102" t="inlineStr">
        <is>
          <t>S01</t>
        </is>
      </c>
      <c r="D3102" t="inlineStr">
        <is>
          <t>P204</t>
        </is>
      </c>
      <c r="E3102" t="n">
        <v>1</v>
      </c>
      <c r="F3102" t="n">
        <v>229</v>
      </c>
      <c r="G3102" t="n">
        <v>0.2</v>
      </c>
      <c r="H3102">
        <f>E3102*F3102*(1-G3102)</f>
        <v/>
      </c>
      <c r="I3102">
        <f>XLOOKUP(D3102,Products!$A$2:$A$15,Products!$B$2:$B$15,"Not found")</f>
        <v/>
      </c>
    </row>
    <row r="3103">
      <c r="A3103" t="n">
        <v>107422</v>
      </c>
      <c r="B3103" s="1" t="n">
        <v>45940</v>
      </c>
      <c r="C3103" t="inlineStr">
        <is>
          <t>S01</t>
        </is>
      </c>
      <c r="D3103" t="inlineStr">
        <is>
          <t>P303</t>
        </is>
      </c>
      <c r="E3103" t="n">
        <v>3</v>
      </c>
      <c r="F3103" t="n">
        <v>12</v>
      </c>
      <c r="G3103" t="n">
        <v>0</v>
      </c>
      <c r="H3103">
        <f>E3103*F3103*(1-G3103)</f>
        <v/>
      </c>
      <c r="I3103">
        <f>XLOOKUP(D3103,Products!$A$2:$A$15,Products!$B$2:$B$15,"Not found")</f>
        <v/>
      </c>
    </row>
    <row r="3104">
      <c r="A3104" t="n">
        <v>107423</v>
      </c>
      <c r="B3104" s="1" t="n">
        <v>45940</v>
      </c>
      <c r="C3104" t="inlineStr">
        <is>
          <t>S05</t>
        </is>
      </c>
      <c r="D3104" t="inlineStr">
        <is>
          <t>P303</t>
        </is>
      </c>
      <c r="E3104" t="n">
        <v>2</v>
      </c>
      <c r="F3104" t="n">
        <v>12</v>
      </c>
      <c r="G3104" t="n">
        <v>0</v>
      </c>
      <c r="H3104">
        <f>E3104*F3104*(1-G3104)</f>
        <v/>
      </c>
      <c r="I3104">
        <f>XLOOKUP(D3104,Products!$A$2:$A$15,Products!$B$2:$B$15,"Not found")</f>
        <v/>
      </c>
    </row>
    <row r="3105">
      <c r="A3105" t="n">
        <v>107424</v>
      </c>
      <c r="B3105" s="1" t="n">
        <v>45940</v>
      </c>
      <c r="C3105" t="inlineStr">
        <is>
          <t>S05</t>
        </is>
      </c>
      <c r="D3105" t="inlineStr">
        <is>
          <t>P102</t>
        </is>
      </c>
      <c r="E3105" t="n">
        <v>1</v>
      </c>
      <c r="F3105" t="n">
        <v>14.5</v>
      </c>
      <c r="G3105" t="n">
        <v>0</v>
      </c>
      <c r="H3105">
        <f>E3105*F3105*(1-G3105)</f>
        <v/>
      </c>
      <c r="I3105">
        <f>XLOOKUP(D3105,Products!$A$2:$A$15,Products!$B$2:$B$15,"Not found")</f>
        <v/>
      </c>
    </row>
    <row r="3106">
      <c r="A3106" t="n">
        <v>107425</v>
      </c>
      <c r="B3106" s="1" t="n">
        <v>45940</v>
      </c>
      <c r="C3106" t="inlineStr">
        <is>
          <t>S05</t>
        </is>
      </c>
      <c r="D3106" t="inlineStr">
        <is>
          <t>P101</t>
        </is>
      </c>
      <c r="E3106" t="n">
        <v>2</v>
      </c>
      <c r="F3106" t="n">
        <v>39</v>
      </c>
      <c r="G3106" t="n">
        <v>0.1</v>
      </c>
      <c r="H3106">
        <f>E3106*F3106*(1-G3106)</f>
        <v/>
      </c>
      <c r="I3106">
        <f>XLOOKUP(D3106,Products!$A$2:$A$15,Products!$B$2:$B$15,"Not found")</f>
        <v/>
      </c>
    </row>
    <row r="3107">
      <c r="A3107" t="n">
        <v>107426</v>
      </c>
      <c r="B3107" s="1" t="n">
        <v>45940</v>
      </c>
      <c r="C3107" t="inlineStr">
        <is>
          <t>S06</t>
        </is>
      </c>
      <c r="D3107" t="inlineStr">
        <is>
          <t>P102</t>
        </is>
      </c>
      <c r="E3107" t="n">
        <v>4</v>
      </c>
      <c r="F3107" t="n">
        <v>14.5</v>
      </c>
      <c r="G3107" t="n">
        <v>0.15</v>
      </c>
      <c r="H3107">
        <f>E3107*F3107*(1-G3107)</f>
        <v/>
      </c>
      <c r="I3107">
        <f>XLOOKUP(D3107,Products!$A$2:$A$15,Products!$B$2:$B$15,"Not found")</f>
        <v/>
      </c>
    </row>
    <row r="3108">
      <c r="A3108" t="n">
        <v>107427</v>
      </c>
      <c r="B3108" s="1" t="n">
        <v>45941</v>
      </c>
      <c r="C3108" t="inlineStr">
        <is>
          <t>S01</t>
        </is>
      </c>
      <c r="D3108" t="inlineStr">
        <is>
          <t>P104</t>
        </is>
      </c>
      <c r="E3108" t="n">
        <v>1</v>
      </c>
      <c r="F3108" t="n">
        <v>189</v>
      </c>
      <c r="G3108" t="n">
        <v>0</v>
      </c>
      <c r="H3108">
        <f>E3108*F3108*(1-G3108)</f>
        <v/>
      </c>
      <c r="I3108">
        <f>XLOOKUP(D3108,Products!$A$2:$A$15,Products!$B$2:$B$15,"Not found")</f>
        <v/>
      </c>
    </row>
    <row r="3109">
      <c r="A3109" t="n">
        <v>107428</v>
      </c>
      <c r="B3109" s="1" t="n">
        <v>45941</v>
      </c>
      <c r="C3109" t="inlineStr">
        <is>
          <t>S02</t>
        </is>
      </c>
      <c r="D3109" t="inlineStr">
        <is>
          <t>P303</t>
        </is>
      </c>
      <c r="E3109" t="n">
        <v>4</v>
      </c>
      <c r="F3109" t="n">
        <v>12</v>
      </c>
      <c r="G3109" t="n">
        <v>0</v>
      </c>
      <c r="H3109">
        <f>E3109*F3109*(1-G3109)</f>
        <v/>
      </c>
      <c r="I3109">
        <f>XLOOKUP(D3109,Products!$A$2:$A$15,Products!$B$2:$B$15,"Not found")</f>
        <v/>
      </c>
    </row>
    <row r="3110">
      <c r="A3110" t="n">
        <v>107429</v>
      </c>
      <c r="B3110" s="1" t="n">
        <v>45941</v>
      </c>
      <c r="C3110" t="inlineStr">
        <is>
          <t>S02</t>
        </is>
      </c>
      <c r="D3110" t="inlineStr">
        <is>
          <t>P102</t>
        </is>
      </c>
      <c r="E3110" t="n">
        <v>1</v>
      </c>
      <c r="F3110" t="n">
        <v>14.5</v>
      </c>
      <c r="G3110" t="n">
        <v>0</v>
      </c>
      <c r="H3110">
        <f>E3110*F3110*(1-G3110)</f>
        <v/>
      </c>
      <c r="I3110">
        <f>XLOOKUP(D3110,Products!$A$2:$A$15,Products!$B$2:$B$15,"Not found")</f>
        <v/>
      </c>
    </row>
    <row r="3111">
      <c r="A3111" t="n">
        <v>107430</v>
      </c>
      <c r="B3111" s="1" t="n">
        <v>45941</v>
      </c>
      <c r="C3111" t="inlineStr">
        <is>
          <t>S02</t>
        </is>
      </c>
      <c r="D3111" t="inlineStr">
        <is>
          <t>P101</t>
        </is>
      </c>
      <c r="E3111" t="n">
        <v>4</v>
      </c>
      <c r="F3111" t="n">
        <v>39</v>
      </c>
      <c r="G3111" t="n">
        <v>0</v>
      </c>
      <c r="H3111">
        <f>E3111*F3111*(1-G3111)</f>
        <v/>
      </c>
      <c r="I3111">
        <f>XLOOKUP(D3111,Products!$A$2:$A$15,Products!$B$2:$B$15,"Not found")</f>
        <v/>
      </c>
    </row>
    <row r="3112">
      <c r="A3112" t="n">
        <v>107431</v>
      </c>
      <c r="B3112" s="1" t="n">
        <v>45941</v>
      </c>
      <c r="C3112" t="inlineStr">
        <is>
          <t>S02</t>
        </is>
      </c>
      <c r="D3112" t="inlineStr">
        <is>
          <t>P203</t>
        </is>
      </c>
      <c r="E3112" t="n">
        <v>3</v>
      </c>
      <c r="F3112" t="n">
        <v>19.5</v>
      </c>
      <c r="G3112" t="n">
        <v>0.2</v>
      </c>
      <c r="H3112">
        <f>E3112*F3112*(1-G3112)</f>
        <v/>
      </c>
      <c r="I3112">
        <f>XLOOKUP(D3112,Products!$A$2:$A$15,Products!$B$2:$B$15,"Not found")</f>
        <v/>
      </c>
    </row>
    <row r="3113">
      <c r="A3113" t="n">
        <v>107432</v>
      </c>
      <c r="B3113" s="1" t="n">
        <v>45941</v>
      </c>
      <c r="C3113" t="inlineStr">
        <is>
          <t>S02</t>
        </is>
      </c>
      <c r="D3113" t="inlineStr">
        <is>
          <t>P101</t>
        </is>
      </c>
      <c r="E3113" t="n">
        <v>1</v>
      </c>
      <c r="F3113" t="n">
        <v>39</v>
      </c>
      <c r="G3113" t="n">
        <v>0</v>
      </c>
      <c r="H3113">
        <f>E3113*F3113*(1-G3113)</f>
        <v/>
      </c>
      <c r="I3113">
        <f>XLOOKUP(D3113,Products!$A$2:$A$15,Products!$B$2:$B$15,"Not found")</f>
        <v/>
      </c>
    </row>
    <row r="3114">
      <c r="A3114" t="n">
        <v>107433</v>
      </c>
      <c r="B3114" s="1" t="n">
        <v>45941</v>
      </c>
      <c r="C3114" t="inlineStr">
        <is>
          <t>S03</t>
        </is>
      </c>
      <c r="D3114" t="inlineStr">
        <is>
          <t>P204</t>
        </is>
      </c>
      <c r="E3114" t="n">
        <v>1</v>
      </c>
      <c r="F3114" t="n">
        <v>229</v>
      </c>
      <c r="G3114" t="n">
        <v>0</v>
      </c>
      <c r="H3114">
        <f>E3114*F3114*(1-G3114)</f>
        <v/>
      </c>
      <c r="I3114">
        <f>XLOOKUP(D3114,Products!$A$2:$A$15,Products!$B$2:$B$15,"Not found")</f>
        <v/>
      </c>
    </row>
    <row r="3115">
      <c r="A3115" t="n">
        <v>107434</v>
      </c>
      <c r="B3115" s="1" t="n">
        <v>45941</v>
      </c>
      <c r="C3115" t="inlineStr">
        <is>
          <t>S03</t>
        </is>
      </c>
      <c r="D3115" t="inlineStr">
        <is>
          <t>P102</t>
        </is>
      </c>
      <c r="E3115" t="n">
        <v>2</v>
      </c>
      <c r="F3115" t="n">
        <v>14.5</v>
      </c>
      <c r="G3115" t="n">
        <v>0</v>
      </c>
      <c r="H3115">
        <f>E3115*F3115*(1-G3115)</f>
        <v/>
      </c>
      <c r="I3115">
        <f>XLOOKUP(D3115,Products!$A$2:$A$15,Products!$B$2:$B$15,"Not found")</f>
        <v/>
      </c>
    </row>
    <row r="3116">
      <c r="A3116" t="n">
        <v>107435</v>
      </c>
      <c r="B3116" s="1" t="n">
        <v>45941</v>
      </c>
      <c r="C3116" t="inlineStr">
        <is>
          <t>S05</t>
        </is>
      </c>
      <c r="D3116" t="inlineStr">
        <is>
          <t>P202</t>
        </is>
      </c>
      <c r="E3116" t="n">
        <v>3</v>
      </c>
      <c r="F3116" t="n">
        <v>79</v>
      </c>
      <c r="G3116" t="n">
        <v>0</v>
      </c>
      <c r="H3116">
        <f>E3116*F3116*(1-G3116)</f>
        <v/>
      </c>
      <c r="I3116">
        <f>XLOOKUP(D3116,Products!$A$2:$A$15,Products!$B$2:$B$15,"Not found")</f>
        <v/>
      </c>
    </row>
    <row r="3117">
      <c r="A3117" t="n">
        <v>107436</v>
      </c>
      <c r="B3117" s="1" t="n">
        <v>45941</v>
      </c>
      <c r="C3117" t="inlineStr">
        <is>
          <t>S05</t>
        </is>
      </c>
      <c r="D3117" t="inlineStr">
        <is>
          <t>P201</t>
        </is>
      </c>
      <c r="E3117" t="n">
        <v>1</v>
      </c>
      <c r="F3117" t="n">
        <v>149</v>
      </c>
      <c r="G3117" t="n">
        <v>0</v>
      </c>
      <c r="H3117">
        <f>E3117*F3117*(1-G3117)</f>
        <v/>
      </c>
      <c r="I3117">
        <f>XLOOKUP(D3117,Products!$A$2:$A$15,Products!$B$2:$B$15,"Not found")</f>
        <v/>
      </c>
    </row>
    <row r="3118">
      <c r="A3118" t="n">
        <v>107437</v>
      </c>
      <c r="B3118" s="1" t="n">
        <v>45941</v>
      </c>
      <c r="C3118" t="inlineStr">
        <is>
          <t>S05</t>
        </is>
      </c>
      <c r="D3118" t="inlineStr">
        <is>
          <t>P403</t>
        </is>
      </c>
      <c r="E3118" t="n">
        <v>4</v>
      </c>
      <c r="F3118" t="n">
        <v>89</v>
      </c>
      <c r="G3118" t="n">
        <v>0.15</v>
      </c>
      <c r="H3118">
        <f>E3118*F3118*(1-G3118)</f>
        <v/>
      </c>
      <c r="I3118">
        <f>XLOOKUP(D3118,Products!$A$2:$A$15,Products!$B$2:$B$15,"Not found")</f>
        <v/>
      </c>
    </row>
    <row r="3119">
      <c r="A3119" t="n">
        <v>107438</v>
      </c>
      <c r="B3119" s="1" t="n">
        <v>45941</v>
      </c>
      <c r="C3119" t="inlineStr">
        <is>
          <t>S05</t>
        </is>
      </c>
      <c r="D3119" t="inlineStr">
        <is>
          <t>P103</t>
        </is>
      </c>
      <c r="E3119" t="n">
        <v>4</v>
      </c>
      <c r="F3119" t="n">
        <v>29</v>
      </c>
      <c r="G3119" t="n">
        <v>0</v>
      </c>
      <c r="H3119">
        <f>E3119*F3119*(1-G3119)</f>
        <v/>
      </c>
      <c r="I3119">
        <f>XLOOKUP(D3119,Products!$A$2:$A$15,Products!$B$2:$B$15,"Not found")</f>
        <v/>
      </c>
    </row>
    <row r="3120">
      <c r="A3120" t="n">
        <v>107439</v>
      </c>
      <c r="B3120" s="1" t="n">
        <v>45941</v>
      </c>
      <c r="C3120" t="inlineStr">
        <is>
          <t>S05</t>
        </is>
      </c>
      <c r="D3120" t="inlineStr">
        <is>
          <t>P104</t>
        </is>
      </c>
      <c r="E3120" t="n">
        <v>1</v>
      </c>
      <c r="F3120" t="n">
        <v>189</v>
      </c>
      <c r="G3120" t="n">
        <v>0.2</v>
      </c>
      <c r="H3120">
        <f>E3120*F3120*(1-G3120)</f>
        <v/>
      </c>
      <c r="I3120">
        <f>XLOOKUP(D3120,Products!$A$2:$A$15,Products!$B$2:$B$15,"Not found")</f>
        <v/>
      </c>
    </row>
    <row r="3121">
      <c r="A3121" t="n">
        <v>107440</v>
      </c>
      <c r="B3121" s="1" t="n">
        <v>45941</v>
      </c>
      <c r="C3121" t="inlineStr">
        <is>
          <t>S06</t>
        </is>
      </c>
      <c r="D3121" t="inlineStr">
        <is>
          <t>P103</t>
        </is>
      </c>
      <c r="E3121" t="n">
        <v>2</v>
      </c>
      <c r="F3121" t="n">
        <v>29</v>
      </c>
      <c r="G3121" t="n">
        <v>0</v>
      </c>
      <c r="H3121">
        <f>E3121*F3121*(1-G3121)</f>
        <v/>
      </c>
      <c r="I3121">
        <f>XLOOKUP(D3121,Products!$A$2:$A$15,Products!$B$2:$B$15,"Not found")</f>
        <v/>
      </c>
    </row>
    <row r="3122">
      <c r="A3122" t="n">
        <v>107441</v>
      </c>
      <c r="B3122" s="1" t="n">
        <v>45941</v>
      </c>
      <c r="C3122" t="inlineStr">
        <is>
          <t>S06</t>
        </is>
      </c>
      <c r="D3122" t="inlineStr">
        <is>
          <t>P101</t>
        </is>
      </c>
      <c r="E3122" t="n">
        <v>1</v>
      </c>
      <c r="F3122" t="n">
        <v>39</v>
      </c>
      <c r="G3122" t="n">
        <v>0.15</v>
      </c>
      <c r="H3122">
        <f>E3122*F3122*(1-G3122)</f>
        <v/>
      </c>
      <c r="I3122">
        <f>XLOOKUP(D3122,Products!$A$2:$A$15,Products!$B$2:$B$15,"Not found")</f>
        <v/>
      </c>
    </row>
    <row r="3123">
      <c r="A3123" t="n">
        <v>107442</v>
      </c>
      <c r="B3123" s="1" t="n">
        <v>45941</v>
      </c>
      <c r="C3123" t="inlineStr">
        <is>
          <t>S06</t>
        </is>
      </c>
      <c r="D3123" t="inlineStr">
        <is>
          <t>P101</t>
        </is>
      </c>
      <c r="E3123" t="n">
        <v>1</v>
      </c>
      <c r="F3123" t="n">
        <v>39</v>
      </c>
      <c r="G3123" t="n">
        <v>0.1</v>
      </c>
      <c r="H3123">
        <f>E3123*F3123*(1-G3123)</f>
        <v/>
      </c>
      <c r="I3123">
        <f>XLOOKUP(D3123,Products!$A$2:$A$15,Products!$B$2:$B$15,"Not found")</f>
        <v/>
      </c>
    </row>
    <row r="3124">
      <c r="A3124" t="n">
        <v>107443</v>
      </c>
      <c r="B3124" s="1" t="n">
        <v>45942</v>
      </c>
      <c r="C3124" t="inlineStr">
        <is>
          <t>S01</t>
        </is>
      </c>
      <c r="D3124" t="inlineStr">
        <is>
          <t>P103</t>
        </is>
      </c>
      <c r="E3124" t="n">
        <v>4</v>
      </c>
      <c r="F3124" t="n">
        <v>29</v>
      </c>
      <c r="G3124" t="n">
        <v>0.1</v>
      </c>
      <c r="H3124">
        <f>E3124*F3124*(1-G3124)</f>
        <v/>
      </c>
      <c r="I3124">
        <f>XLOOKUP(D3124,Products!$A$2:$A$15,Products!$B$2:$B$15,"Not found")</f>
        <v/>
      </c>
    </row>
    <row r="3125">
      <c r="A3125" t="n">
        <v>107444</v>
      </c>
      <c r="B3125" s="1" t="n">
        <v>45942</v>
      </c>
      <c r="C3125" t="inlineStr">
        <is>
          <t>S01</t>
        </is>
      </c>
      <c r="D3125" t="inlineStr">
        <is>
          <t>P102</t>
        </is>
      </c>
      <c r="E3125" t="n">
        <v>1</v>
      </c>
      <c r="F3125" t="n">
        <v>14.5</v>
      </c>
      <c r="G3125" t="n">
        <v>0</v>
      </c>
      <c r="H3125">
        <f>E3125*F3125*(1-G3125)</f>
        <v/>
      </c>
      <c r="I3125">
        <f>XLOOKUP(D3125,Products!$A$2:$A$15,Products!$B$2:$B$15,"Not found")</f>
        <v/>
      </c>
    </row>
    <row r="3126">
      <c r="A3126" t="n">
        <v>107445</v>
      </c>
      <c r="B3126" s="1" t="n">
        <v>45942</v>
      </c>
      <c r="C3126" t="inlineStr">
        <is>
          <t>S01</t>
        </is>
      </c>
      <c r="D3126" t="inlineStr">
        <is>
          <t>P102</t>
        </is>
      </c>
      <c r="E3126" t="n">
        <v>4</v>
      </c>
      <c r="F3126" t="n">
        <v>14.5</v>
      </c>
      <c r="G3126" t="n">
        <v>0</v>
      </c>
      <c r="H3126">
        <f>E3126*F3126*(1-G3126)</f>
        <v/>
      </c>
      <c r="I3126">
        <f>XLOOKUP(D3126,Products!$A$2:$A$15,Products!$B$2:$B$15,"Not found")</f>
        <v/>
      </c>
    </row>
    <row r="3127">
      <c r="A3127" t="n">
        <v>107446</v>
      </c>
      <c r="B3127" s="1" t="n">
        <v>45942</v>
      </c>
      <c r="C3127" t="inlineStr">
        <is>
          <t>S01</t>
        </is>
      </c>
      <c r="D3127" t="inlineStr">
        <is>
          <t>P103</t>
        </is>
      </c>
      <c r="E3127" t="n">
        <v>4</v>
      </c>
      <c r="F3127" t="n">
        <v>29</v>
      </c>
      <c r="G3127" t="n">
        <v>0.2</v>
      </c>
      <c r="H3127">
        <f>E3127*F3127*(1-G3127)</f>
        <v/>
      </c>
      <c r="I3127">
        <f>XLOOKUP(D3127,Products!$A$2:$A$15,Products!$B$2:$B$15,"Not found")</f>
        <v/>
      </c>
    </row>
    <row r="3128">
      <c r="A3128" t="n">
        <v>107447</v>
      </c>
      <c r="B3128" s="1" t="n">
        <v>45942</v>
      </c>
      <c r="C3128" t="inlineStr">
        <is>
          <t>S01</t>
        </is>
      </c>
      <c r="D3128" t="inlineStr">
        <is>
          <t>P103</t>
        </is>
      </c>
      <c r="E3128" t="n">
        <v>2</v>
      </c>
      <c r="F3128" t="n">
        <v>29</v>
      </c>
      <c r="G3128" t="n">
        <v>0.2</v>
      </c>
      <c r="H3128">
        <f>E3128*F3128*(1-G3128)</f>
        <v/>
      </c>
      <c r="I3128">
        <f>XLOOKUP(D3128,Products!$A$2:$A$15,Products!$B$2:$B$15,"Not found")</f>
        <v/>
      </c>
    </row>
    <row r="3129">
      <c r="A3129" t="n">
        <v>107448</v>
      </c>
      <c r="B3129" s="1" t="n">
        <v>45942</v>
      </c>
      <c r="C3129" t="inlineStr">
        <is>
          <t>S01</t>
        </is>
      </c>
      <c r="D3129" t="inlineStr">
        <is>
          <t>P402</t>
        </is>
      </c>
      <c r="E3129" t="n">
        <v>1</v>
      </c>
      <c r="F3129" t="n">
        <v>699</v>
      </c>
      <c r="G3129" t="n">
        <v>0.15</v>
      </c>
      <c r="H3129">
        <f>E3129*F3129*(1-G3129)</f>
        <v/>
      </c>
      <c r="I3129">
        <f>XLOOKUP(D3129,Products!$A$2:$A$15,Products!$B$2:$B$15,"Not found")</f>
        <v/>
      </c>
    </row>
    <row r="3130">
      <c r="A3130" t="n">
        <v>107449</v>
      </c>
      <c r="B3130" s="1" t="n">
        <v>45942</v>
      </c>
      <c r="C3130" t="inlineStr">
        <is>
          <t>S01</t>
        </is>
      </c>
      <c r="D3130" t="inlineStr">
        <is>
          <t>P303</t>
        </is>
      </c>
      <c r="E3130" t="n">
        <v>4</v>
      </c>
      <c r="F3130" t="n">
        <v>12</v>
      </c>
      <c r="G3130" t="n">
        <v>0.2</v>
      </c>
      <c r="H3130">
        <f>E3130*F3130*(1-G3130)</f>
        <v/>
      </c>
      <c r="I3130">
        <f>XLOOKUP(D3130,Products!$A$2:$A$15,Products!$B$2:$B$15,"Not found")</f>
        <v/>
      </c>
    </row>
    <row r="3131">
      <c r="A3131" t="n">
        <v>107450</v>
      </c>
      <c r="B3131" s="1" t="n">
        <v>45942</v>
      </c>
      <c r="C3131" t="inlineStr">
        <is>
          <t>S02</t>
        </is>
      </c>
      <c r="D3131" t="inlineStr">
        <is>
          <t>P203</t>
        </is>
      </c>
      <c r="E3131" t="n">
        <v>2</v>
      </c>
      <c r="F3131" t="n">
        <v>19.5</v>
      </c>
      <c r="G3131" t="n">
        <v>0</v>
      </c>
      <c r="H3131">
        <f>E3131*F3131*(1-G3131)</f>
        <v/>
      </c>
      <c r="I3131">
        <f>XLOOKUP(D3131,Products!$A$2:$A$15,Products!$B$2:$B$15,"Not found")</f>
        <v/>
      </c>
    </row>
    <row r="3132">
      <c r="A3132" t="n">
        <v>107451</v>
      </c>
      <c r="B3132" s="1" t="n">
        <v>45942</v>
      </c>
      <c r="C3132" t="inlineStr">
        <is>
          <t>S02</t>
        </is>
      </c>
      <c r="D3132" t="inlineStr">
        <is>
          <t>P103</t>
        </is>
      </c>
      <c r="E3132" t="n">
        <v>1</v>
      </c>
      <c r="F3132" t="n">
        <v>29</v>
      </c>
      <c r="G3132" t="n">
        <v>0.15</v>
      </c>
      <c r="H3132">
        <f>E3132*F3132*(1-G3132)</f>
        <v/>
      </c>
      <c r="I3132">
        <f>XLOOKUP(D3132,Products!$A$2:$A$15,Products!$B$2:$B$15,"Not found")</f>
        <v/>
      </c>
    </row>
    <row r="3133">
      <c r="A3133" t="n">
        <v>107452</v>
      </c>
      <c r="B3133" s="1" t="n">
        <v>45942</v>
      </c>
      <c r="C3133" t="inlineStr">
        <is>
          <t>S02</t>
        </is>
      </c>
      <c r="D3133" t="inlineStr">
        <is>
          <t>P403</t>
        </is>
      </c>
      <c r="E3133" t="n">
        <v>1</v>
      </c>
      <c r="F3133" t="n">
        <v>89</v>
      </c>
      <c r="G3133" t="n">
        <v>0</v>
      </c>
      <c r="H3133">
        <f>E3133*F3133*(1-G3133)</f>
        <v/>
      </c>
      <c r="I3133">
        <f>XLOOKUP(D3133,Products!$A$2:$A$15,Products!$B$2:$B$15,"Not found")</f>
        <v/>
      </c>
    </row>
    <row r="3134">
      <c r="A3134" t="n">
        <v>107453</v>
      </c>
      <c r="B3134" s="1" t="n">
        <v>45942</v>
      </c>
      <c r="C3134" t="inlineStr">
        <is>
          <t>S04</t>
        </is>
      </c>
      <c r="D3134" t="inlineStr">
        <is>
          <t>P102</t>
        </is>
      </c>
      <c r="E3134" t="n">
        <v>1</v>
      </c>
      <c r="F3134" t="n">
        <v>14.5</v>
      </c>
      <c r="G3134" t="n">
        <v>0.15</v>
      </c>
      <c r="H3134">
        <f>E3134*F3134*(1-G3134)</f>
        <v/>
      </c>
      <c r="I3134">
        <f>XLOOKUP(D3134,Products!$A$2:$A$15,Products!$B$2:$B$15,"Not found")</f>
        <v/>
      </c>
    </row>
    <row r="3135">
      <c r="A3135" t="n">
        <v>107454</v>
      </c>
      <c r="B3135" s="1" t="n">
        <v>45942</v>
      </c>
      <c r="C3135" t="inlineStr">
        <is>
          <t>S04</t>
        </is>
      </c>
      <c r="D3135" t="inlineStr">
        <is>
          <t>P302</t>
        </is>
      </c>
      <c r="E3135" t="n">
        <v>3</v>
      </c>
      <c r="F3135" t="n">
        <v>24</v>
      </c>
      <c r="G3135" t="n">
        <v>0</v>
      </c>
      <c r="H3135">
        <f>E3135*F3135*(1-G3135)</f>
        <v/>
      </c>
      <c r="I3135">
        <f>XLOOKUP(D3135,Products!$A$2:$A$15,Products!$B$2:$B$15,"Not found")</f>
        <v/>
      </c>
    </row>
    <row r="3136">
      <c r="A3136" t="n">
        <v>107455</v>
      </c>
      <c r="B3136" s="1" t="n">
        <v>45942</v>
      </c>
      <c r="C3136" t="inlineStr">
        <is>
          <t>S04</t>
        </is>
      </c>
      <c r="D3136" t="inlineStr">
        <is>
          <t>P204</t>
        </is>
      </c>
      <c r="E3136" t="n">
        <v>1</v>
      </c>
      <c r="F3136" t="n">
        <v>229</v>
      </c>
      <c r="G3136" t="n">
        <v>0</v>
      </c>
      <c r="H3136">
        <f>E3136*F3136*(1-G3136)</f>
        <v/>
      </c>
      <c r="I3136">
        <f>XLOOKUP(D3136,Products!$A$2:$A$15,Products!$B$2:$B$15,"Not found")</f>
        <v/>
      </c>
    </row>
    <row r="3137">
      <c r="A3137" t="n">
        <v>107456</v>
      </c>
      <c r="B3137" s="1" t="n">
        <v>45942</v>
      </c>
      <c r="C3137" t="inlineStr">
        <is>
          <t>S04</t>
        </is>
      </c>
      <c r="D3137" t="inlineStr">
        <is>
          <t>P202</t>
        </is>
      </c>
      <c r="E3137" t="n">
        <v>2</v>
      </c>
      <c r="F3137" t="n">
        <v>79</v>
      </c>
      <c r="G3137" t="n">
        <v>0.15</v>
      </c>
      <c r="H3137">
        <f>E3137*F3137*(1-G3137)</f>
        <v/>
      </c>
      <c r="I3137">
        <f>XLOOKUP(D3137,Products!$A$2:$A$15,Products!$B$2:$B$15,"Not found")</f>
        <v/>
      </c>
    </row>
    <row r="3138">
      <c r="A3138" t="n">
        <v>107457</v>
      </c>
      <c r="B3138" s="1" t="n">
        <v>45942</v>
      </c>
      <c r="C3138" t="inlineStr">
        <is>
          <t>S04</t>
        </is>
      </c>
      <c r="D3138" t="inlineStr">
        <is>
          <t>P101</t>
        </is>
      </c>
      <c r="E3138" t="n">
        <v>1</v>
      </c>
      <c r="F3138" t="n">
        <v>39</v>
      </c>
      <c r="G3138" t="n">
        <v>0</v>
      </c>
      <c r="H3138">
        <f>E3138*F3138*(1-G3138)</f>
        <v/>
      </c>
      <c r="I3138">
        <f>XLOOKUP(D3138,Products!$A$2:$A$15,Products!$B$2:$B$15,"Not found")</f>
        <v/>
      </c>
    </row>
    <row r="3139">
      <c r="A3139" t="n">
        <v>107458</v>
      </c>
      <c r="B3139" s="1" t="n">
        <v>45942</v>
      </c>
      <c r="C3139" t="inlineStr">
        <is>
          <t>S04</t>
        </is>
      </c>
      <c r="D3139" t="inlineStr">
        <is>
          <t>P303</t>
        </is>
      </c>
      <c r="E3139" t="n">
        <v>2</v>
      </c>
      <c r="F3139" t="n">
        <v>12</v>
      </c>
      <c r="G3139" t="n">
        <v>0</v>
      </c>
      <c r="H3139">
        <f>E3139*F3139*(1-G3139)</f>
        <v/>
      </c>
      <c r="I3139">
        <f>XLOOKUP(D3139,Products!$A$2:$A$15,Products!$B$2:$B$15,"Not found")</f>
        <v/>
      </c>
    </row>
    <row r="3140">
      <c r="A3140" t="n">
        <v>107459</v>
      </c>
      <c r="B3140" s="1" t="n">
        <v>45942</v>
      </c>
      <c r="C3140" t="inlineStr">
        <is>
          <t>S05</t>
        </is>
      </c>
      <c r="D3140" t="inlineStr">
        <is>
          <t>P102</t>
        </is>
      </c>
      <c r="E3140" t="n">
        <v>1</v>
      </c>
      <c r="F3140" t="n">
        <v>14.5</v>
      </c>
      <c r="G3140" t="n">
        <v>0</v>
      </c>
      <c r="H3140">
        <f>E3140*F3140*(1-G3140)</f>
        <v/>
      </c>
      <c r="I3140">
        <f>XLOOKUP(D3140,Products!$A$2:$A$15,Products!$B$2:$B$15,"Not found")</f>
        <v/>
      </c>
    </row>
    <row r="3141">
      <c r="A3141" t="n">
        <v>107460</v>
      </c>
      <c r="B3141" s="1" t="n">
        <v>45942</v>
      </c>
      <c r="C3141" t="inlineStr">
        <is>
          <t>S05</t>
        </is>
      </c>
      <c r="D3141" t="inlineStr">
        <is>
          <t>P303</t>
        </is>
      </c>
      <c r="E3141" t="n">
        <v>1</v>
      </c>
      <c r="F3141" t="n">
        <v>12</v>
      </c>
      <c r="G3141" t="n">
        <v>0.2</v>
      </c>
      <c r="H3141">
        <f>E3141*F3141*(1-G3141)</f>
        <v/>
      </c>
      <c r="I3141">
        <f>XLOOKUP(D3141,Products!$A$2:$A$15,Products!$B$2:$B$15,"Not found")</f>
        <v/>
      </c>
    </row>
    <row r="3142">
      <c r="A3142" t="n">
        <v>107461</v>
      </c>
      <c r="B3142" s="1" t="n">
        <v>45942</v>
      </c>
      <c r="C3142" t="inlineStr">
        <is>
          <t>S05</t>
        </is>
      </c>
      <c r="D3142" t="inlineStr">
        <is>
          <t>P204</t>
        </is>
      </c>
      <c r="E3142" t="n">
        <v>1</v>
      </c>
      <c r="F3142" t="n">
        <v>229</v>
      </c>
      <c r="G3142" t="n">
        <v>0</v>
      </c>
      <c r="H3142">
        <f>E3142*F3142*(1-G3142)</f>
        <v/>
      </c>
      <c r="I3142">
        <f>XLOOKUP(D3142,Products!$A$2:$A$15,Products!$B$2:$B$15,"Not found")</f>
        <v/>
      </c>
    </row>
    <row r="3143">
      <c r="A3143" t="n">
        <v>107462</v>
      </c>
      <c r="B3143" s="1" t="n">
        <v>45943</v>
      </c>
      <c r="C3143" t="inlineStr">
        <is>
          <t>S01</t>
        </is>
      </c>
      <c r="D3143" t="inlineStr">
        <is>
          <t>P102</t>
        </is>
      </c>
      <c r="E3143" t="n">
        <v>1</v>
      </c>
      <c r="F3143" t="n">
        <v>14.5</v>
      </c>
      <c r="G3143" t="n">
        <v>0</v>
      </c>
      <c r="H3143">
        <f>E3143*F3143*(1-G3143)</f>
        <v/>
      </c>
      <c r="I3143">
        <f>XLOOKUP(D3143,Products!$A$2:$A$15,Products!$B$2:$B$15,"Not found")</f>
        <v/>
      </c>
    </row>
    <row r="3144">
      <c r="A3144" t="n">
        <v>107463</v>
      </c>
      <c r="B3144" s="1" t="n">
        <v>45943</v>
      </c>
      <c r="C3144" t="inlineStr">
        <is>
          <t>S01</t>
        </is>
      </c>
      <c r="D3144" t="inlineStr">
        <is>
          <t>P202</t>
        </is>
      </c>
      <c r="E3144" t="n">
        <v>3</v>
      </c>
      <c r="F3144" t="n">
        <v>79</v>
      </c>
      <c r="G3144" t="n">
        <v>0</v>
      </c>
      <c r="H3144">
        <f>E3144*F3144*(1-G3144)</f>
        <v/>
      </c>
      <c r="I3144">
        <f>XLOOKUP(D3144,Products!$A$2:$A$15,Products!$B$2:$B$15,"Not found")</f>
        <v/>
      </c>
    </row>
    <row r="3145">
      <c r="A3145" t="n">
        <v>107464</v>
      </c>
      <c r="B3145" s="1" t="n">
        <v>45943</v>
      </c>
      <c r="C3145" t="inlineStr">
        <is>
          <t>S01</t>
        </is>
      </c>
      <c r="D3145" t="inlineStr">
        <is>
          <t>P302</t>
        </is>
      </c>
      <c r="E3145" t="n">
        <v>3</v>
      </c>
      <c r="F3145" t="n">
        <v>24</v>
      </c>
      <c r="G3145" t="n">
        <v>0.2</v>
      </c>
      <c r="H3145">
        <f>E3145*F3145*(1-G3145)</f>
        <v/>
      </c>
      <c r="I3145">
        <f>XLOOKUP(D3145,Products!$A$2:$A$15,Products!$B$2:$B$15,"Not found")</f>
        <v/>
      </c>
    </row>
    <row r="3146">
      <c r="A3146" t="n">
        <v>107465</v>
      </c>
      <c r="B3146" s="1" t="n">
        <v>45943</v>
      </c>
      <c r="C3146" t="inlineStr">
        <is>
          <t>S02</t>
        </is>
      </c>
      <c r="D3146" t="inlineStr">
        <is>
          <t>P403</t>
        </is>
      </c>
      <c r="E3146" t="n">
        <v>1</v>
      </c>
      <c r="F3146" t="n">
        <v>89</v>
      </c>
      <c r="G3146" t="n">
        <v>0.1</v>
      </c>
      <c r="H3146">
        <f>E3146*F3146*(1-G3146)</f>
        <v/>
      </c>
      <c r="I3146">
        <f>XLOOKUP(D3146,Products!$A$2:$A$15,Products!$B$2:$B$15,"Not found")</f>
        <v/>
      </c>
    </row>
    <row r="3147">
      <c r="A3147" t="n">
        <v>107466</v>
      </c>
      <c r="B3147" s="1" t="n">
        <v>45943</v>
      </c>
      <c r="C3147" t="inlineStr">
        <is>
          <t>S02</t>
        </is>
      </c>
      <c r="D3147" t="inlineStr">
        <is>
          <t>P201</t>
        </is>
      </c>
      <c r="E3147" t="n">
        <v>1</v>
      </c>
      <c r="F3147" t="n">
        <v>149</v>
      </c>
      <c r="G3147" t="n">
        <v>0</v>
      </c>
      <c r="H3147">
        <f>E3147*F3147*(1-G3147)</f>
        <v/>
      </c>
      <c r="I3147">
        <f>XLOOKUP(D3147,Products!$A$2:$A$15,Products!$B$2:$B$15,"Not found")</f>
        <v/>
      </c>
    </row>
    <row r="3148">
      <c r="A3148" t="n">
        <v>107467</v>
      </c>
      <c r="B3148" s="1" t="n">
        <v>45943</v>
      </c>
      <c r="C3148" t="inlineStr">
        <is>
          <t>S02</t>
        </is>
      </c>
      <c r="D3148" t="inlineStr">
        <is>
          <t>P102</t>
        </is>
      </c>
      <c r="E3148" t="n">
        <v>1</v>
      </c>
      <c r="F3148" t="n">
        <v>14.5</v>
      </c>
      <c r="G3148" t="n">
        <v>0.1</v>
      </c>
      <c r="H3148">
        <f>E3148*F3148*(1-G3148)</f>
        <v/>
      </c>
      <c r="I3148">
        <f>XLOOKUP(D3148,Products!$A$2:$A$15,Products!$B$2:$B$15,"Not found")</f>
        <v/>
      </c>
    </row>
    <row r="3149">
      <c r="A3149" t="n">
        <v>107468</v>
      </c>
      <c r="B3149" s="1" t="n">
        <v>45943</v>
      </c>
      <c r="C3149" t="inlineStr">
        <is>
          <t>S02</t>
        </is>
      </c>
      <c r="D3149" t="inlineStr">
        <is>
          <t>P203</t>
        </is>
      </c>
      <c r="E3149" t="n">
        <v>4</v>
      </c>
      <c r="F3149" t="n">
        <v>19.5</v>
      </c>
      <c r="G3149" t="n">
        <v>0</v>
      </c>
      <c r="H3149">
        <f>E3149*F3149*(1-G3149)</f>
        <v/>
      </c>
      <c r="I3149">
        <f>XLOOKUP(D3149,Products!$A$2:$A$15,Products!$B$2:$B$15,"Not found")</f>
        <v/>
      </c>
    </row>
    <row r="3150">
      <c r="A3150" t="n">
        <v>107469</v>
      </c>
      <c r="B3150" s="1" t="n">
        <v>45943</v>
      </c>
      <c r="C3150" t="inlineStr">
        <is>
          <t>S03</t>
        </is>
      </c>
      <c r="D3150" t="inlineStr">
        <is>
          <t>P202</t>
        </is>
      </c>
      <c r="E3150" t="n">
        <v>1</v>
      </c>
      <c r="F3150" t="n">
        <v>79</v>
      </c>
      <c r="G3150" t="n">
        <v>0.2</v>
      </c>
      <c r="H3150">
        <f>E3150*F3150*(1-G3150)</f>
        <v/>
      </c>
      <c r="I3150">
        <f>XLOOKUP(D3150,Products!$A$2:$A$15,Products!$B$2:$B$15,"Not found")</f>
        <v/>
      </c>
    </row>
    <row r="3151">
      <c r="A3151" t="n">
        <v>107470</v>
      </c>
      <c r="B3151" s="1" t="n">
        <v>45943</v>
      </c>
      <c r="C3151" t="inlineStr">
        <is>
          <t>S03</t>
        </is>
      </c>
      <c r="D3151" t="inlineStr">
        <is>
          <t>P102</t>
        </is>
      </c>
      <c r="E3151" t="n">
        <v>2</v>
      </c>
      <c r="F3151" t="n">
        <v>14.5</v>
      </c>
      <c r="G3151" t="n">
        <v>0.1</v>
      </c>
      <c r="H3151">
        <f>E3151*F3151*(1-G3151)</f>
        <v/>
      </c>
      <c r="I3151">
        <f>XLOOKUP(D3151,Products!$A$2:$A$15,Products!$B$2:$B$15,"Not found")</f>
        <v/>
      </c>
    </row>
    <row r="3152">
      <c r="A3152" t="n">
        <v>107471</v>
      </c>
      <c r="B3152" s="1" t="n">
        <v>45943</v>
      </c>
      <c r="C3152" t="inlineStr">
        <is>
          <t>S04</t>
        </is>
      </c>
      <c r="D3152" t="inlineStr">
        <is>
          <t>P302</t>
        </is>
      </c>
      <c r="E3152" t="n">
        <v>2</v>
      </c>
      <c r="F3152" t="n">
        <v>24</v>
      </c>
      <c r="G3152" t="n">
        <v>0</v>
      </c>
      <c r="H3152">
        <f>E3152*F3152*(1-G3152)</f>
        <v/>
      </c>
      <c r="I3152">
        <f>XLOOKUP(D3152,Products!$A$2:$A$15,Products!$B$2:$B$15,"Not found")</f>
        <v/>
      </c>
    </row>
    <row r="3153">
      <c r="A3153" t="n">
        <v>107472</v>
      </c>
      <c r="B3153" s="1" t="n">
        <v>45943</v>
      </c>
      <c r="C3153" t="inlineStr">
        <is>
          <t>S05</t>
        </is>
      </c>
      <c r="D3153" t="inlineStr">
        <is>
          <t>P301</t>
        </is>
      </c>
      <c r="E3153" t="n">
        <v>1</v>
      </c>
      <c r="F3153" t="n">
        <v>119</v>
      </c>
      <c r="G3153" t="n">
        <v>0.2</v>
      </c>
      <c r="H3153">
        <f>E3153*F3153*(1-G3153)</f>
        <v/>
      </c>
      <c r="I3153">
        <f>XLOOKUP(D3153,Products!$A$2:$A$15,Products!$B$2:$B$15,"Not found")</f>
        <v/>
      </c>
    </row>
    <row r="3154">
      <c r="A3154" t="n">
        <v>107473</v>
      </c>
      <c r="B3154" s="1" t="n">
        <v>45943</v>
      </c>
      <c r="C3154" t="inlineStr">
        <is>
          <t>S05</t>
        </is>
      </c>
      <c r="D3154" t="inlineStr">
        <is>
          <t>P302</t>
        </is>
      </c>
      <c r="E3154" t="n">
        <v>1</v>
      </c>
      <c r="F3154" t="n">
        <v>24</v>
      </c>
      <c r="G3154" t="n">
        <v>0</v>
      </c>
      <c r="H3154">
        <f>E3154*F3154*(1-G3154)</f>
        <v/>
      </c>
      <c r="I3154">
        <f>XLOOKUP(D3154,Products!$A$2:$A$15,Products!$B$2:$B$15,"Not found")</f>
        <v/>
      </c>
    </row>
    <row r="3155">
      <c r="A3155" t="n">
        <v>107474</v>
      </c>
      <c r="B3155" s="1" t="n">
        <v>45943</v>
      </c>
      <c r="C3155" t="inlineStr">
        <is>
          <t>S05</t>
        </is>
      </c>
      <c r="D3155" t="inlineStr">
        <is>
          <t>P301</t>
        </is>
      </c>
      <c r="E3155" t="n">
        <v>1</v>
      </c>
      <c r="F3155" t="n">
        <v>119</v>
      </c>
      <c r="G3155" t="n">
        <v>0.1</v>
      </c>
      <c r="H3155">
        <f>E3155*F3155*(1-G3155)</f>
        <v/>
      </c>
      <c r="I3155">
        <f>XLOOKUP(D3155,Products!$A$2:$A$15,Products!$B$2:$B$15,"Not found")</f>
        <v/>
      </c>
    </row>
    <row r="3156">
      <c r="A3156" t="n">
        <v>107475</v>
      </c>
      <c r="B3156" s="1" t="n">
        <v>45943</v>
      </c>
      <c r="C3156" t="inlineStr">
        <is>
          <t>S05</t>
        </is>
      </c>
      <c r="D3156" t="inlineStr">
        <is>
          <t>P101</t>
        </is>
      </c>
      <c r="E3156" t="n">
        <v>2</v>
      </c>
      <c r="F3156" t="n">
        <v>39</v>
      </c>
      <c r="G3156" t="n">
        <v>0.15</v>
      </c>
      <c r="H3156">
        <f>E3156*F3156*(1-G3156)</f>
        <v/>
      </c>
      <c r="I3156">
        <f>XLOOKUP(D3156,Products!$A$2:$A$15,Products!$B$2:$B$15,"Not found")</f>
        <v/>
      </c>
    </row>
    <row r="3157">
      <c r="A3157" t="n">
        <v>107476</v>
      </c>
      <c r="B3157" s="1" t="n">
        <v>45943</v>
      </c>
      <c r="C3157" t="inlineStr">
        <is>
          <t>S05</t>
        </is>
      </c>
      <c r="D3157" t="inlineStr">
        <is>
          <t>P102</t>
        </is>
      </c>
      <c r="E3157" t="n">
        <v>1</v>
      </c>
      <c r="F3157" t="n">
        <v>14.5</v>
      </c>
      <c r="G3157" t="n">
        <v>0</v>
      </c>
      <c r="H3157">
        <f>E3157*F3157*(1-G3157)</f>
        <v/>
      </c>
      <c r="I3157">
        <f>XLOOKUP(D3157,Products!$A$2:$A$15,Products!$B$2:$B$15,"Not found")</f>
        <v/>
      </c>
    </row>
    <row r="3158">
      <c r="A3158" t="n">
        <v>107477</v>
      </c>
      <c r="B3158" s="1" t="n">
        <v>45943</v>
      </c>
      <c r="C3158" t="inlineStr">
        <is>
          <t>S06</t>
        </is>
      </c>
      <c r="D3158" t="inlineStr">
        <is>
          <t>P203</t>
        </is>
      </c>
      <c r="E3158" t="n">
        <v>2</v>
      </c>
      <c r="F3158" t="n">
        <v>19.5</v>
      </c>
      <c r="G3158" t="n">
        <v>0.1</v>
      </c>
      <c r="H3158">
        <f>E3158*F3158*(1-G3158)</f>
        <v/>
      </c>
      <c r="I3158">
        <f>XLOOKUP(D3158,Products!$A$2:$A$15,Products!$B$2:$B$15,"Not found")</f>
        <v/>
      </c>
    </row>
    <row r="3159">
      <c r="A3159" t="n">
        <v>107478</v>
      </c>
      <c r="B3159" s="1" t="n">
        <v>45943</v>
      </c>
      <c r="C3159" t="inlineStr">
        <is>
          <t>S06</t>
        </is>
      </c>
      <c r="D3159" t="inlineStr">
        <is>
          <t>P302</t>
        </is>
      </c>
      <c r="E3159" t="n">
        <v>1</v>
      </c>
      <c r="F3159" t="n">
        <v>24</v>
      </c>
      <c r="G3159" t="n">
        <v>0</v>
      </c>
      <c r="H3159">
        <f>E3159*F3159*(1-G3159)</f>
        <v/>
      </c>
      <c r="I3159">
        <f>XLOOKUP(D3159,Products!$A$2:$A$15,Products!$B$2:$B$15,"Not found")</f>
        <v/>
      </c>
    </row>
    <row r="3160">
      <c r="A3160" t="n">
        <v>107479</v>
      </c>
      <c r="B3160" s="1" t="n">
        <v>45943</v>
      </c>
      <c r="C3160" t="inlineStr">
        <is>
          <t>S06</t>
        </is>
      </c>
      <c r="D3160" t="inlineStr">
        <is>
          <t>P101</t>
        </is>
      </c>
      <c r="E3160" t="n">
        <v>3</v>
      </c>
      <c r="F3160" t="n">
        <v>39</v>
      </c>
      <c r="G3160" t="n">
        <v>0</v>
      </c>
      <c r="H3160">
        <f>E3160*F3160*(1-G3160)</f>
        <v/>
      </c>
      <c r="I3160">
        <f>XLOOKUP(D3160,Products!$A$2:$A$15,Products!$B$2:$B$15,"Not found")</f>
        <v/>
      </c>
    </row>
    <row r="3161">
      <c r="A3161" t="n">
        <v>107480</v>
      </c>
      <c r="B3161" s="1" t="n">
        <v>45944</v>
      </c>
      <c r="C3161" t="inlineStr">
        <is>
          <t>S01</t>
        </is>
      </c>
      <c r="D3161" t="inlineStr">
        <is>
          <t>P204</t>
        </is>
      </c>
      <c r="E3161" t="n">
        <v>1</v>
      </c>
      <c r="F3161" t="n">
        <v>229</v>
      </c>
      <c r="G3161" t="n">
        <v>0.2</v>
      </c>
      <c r="H3161">
        <f>E3161*F3161*(1-G3161)</f>
        <v/>
      </c>
      <c r="I3161">
        <f>XLOOKUP(D3161,Products!$A$2:$A$15,Products!$B$2:$B$15,"Not found")</f>
        <v/>
      </c>
    </row>
    <row r="3162">
      <c r="A3162" t="n">
        <v>107481</v>
      </c>
      <c r="B3162" s="1" t="n">
        <v>45944</v>
      </c>
      <c r="C3162" t="inlineStr">
        <is>
          <t>S01</t>
        </is>
      </c>
      <c r="D3162" t="inlineStr">
        <is>
          <t>P102</t>
        </is>
      </c>
      <c r="E3162" t="n">
        <v>2</v>
      </c>
      <c r="F3162" t="n">
        <v>14.5</v>
      </c>
      <c r="G3162" t="n">
        <v>0</v>
      </c>
      <c r="H3162">
        <f>E3162*F3162*(1-G3162)</f>
        <v/>
      </c>
      <c r="I3162">
        <f>XLOOKUP(D3162,Products!$A$2:$A$15,Products!$B$2:$B$15,"Not found")</f>
        <v/>
      </c>
    </row>
    <row r="3163">
      <c r="A3163" t="n">
        <v>107482</v>
      </c>
      <c r="B3163" s="1" t="n">
        <v>45944</v>
      </c>
      <c r="C3163" t="inlineStr">
        <is>
          <t>S01</t>
        </is>
      </c>
      <c r="D3163" t="inlineStr">
        <is>
          <t>P101</t>
        </is>
      </c>
      <c r="E3163" t="n">
        <v>1</v>
      </c>
      <c r="F3163" t="n">
        <v>39</v>
      </c>
      <c r="G3163" t="n">
        <v>0</v>
      </c>
      <c r="H3163">
        <f>E3163*F3163*(1-G3163)</f>
        <v/>
      </c>
      <c r="I3163">
        <f>XLOOKUP(D3163,Products!$A$2:$A$15,Products!$B$2:$B$15,"Not found")</f>
        <v/>
      </c>
    </row>
    <row r="3164">
      <c r="A3164" t="n">
        <v>107483</v>
      </c>
      <c r="B3164" s="1" t="n">
        <v>45944</v>
      </c>
      <c r="C3164" t="inlineStr">
        <is>
          <t>S01</t>
        </is>
      </c>
      <c r="D3164" t="inlineStr">
        <is>
          <t>P204</t>
        </is>
      </c>
      <c r="E3164" t="n">
        <v>1</v>
      </c>
      <c r="F3164" t="n">
        <v>229</v>
      </c>
      <c r="G3164" t="n">
        <v>0</v>
      </c>
      <c r="H3164">
        <f>E3164*F3164*(1-G3164)</f>
        <v/>
      </c>
      <c r="I3164">
        <f>XLOOKUP(D3164,Products!$A$2:$A$15,Products!$B$2:$B$15,"Not found")</f>
        <v/>
      </c>
    </row>
    <row r="3165">
      <c r="A3165" t="n">
        <v>107484</v>
      </c>
      <c r="B3165" s="1" t="n">
        <v>45944</v>
      </c>
      <c r="C3165" t="inlineStr">
        <is>
          <t>S01</t>
        </is>
      </c>
      <c r="D3165" t="inlineStr">
        <is>
          <t>P101</t>
        </is>
      </c>
      <c r="E3165" t="n">
        <v>4</v>
      </c>
      <c r="F3165" t="n">
        <v>39</v>
      </c>
      <c r="G3165" t="n">
        <v>0.1</v>
      </c>
      <c r="H3165">
        <f>E3165*F3165*(1-G3165)</f>
        <v/>
      </c>
      <c r="I3165">
        <f>XLOOKUP(D3165,Products!$A$2:$A$15,Products!$B$2:$B$15,"Not found")</f>
        <v/>
      </c>
    </row>
    <row r="3166">
      <c r="A3166" t="n">
        <v>107485</v>
      </c>
      <c r="B3166" s="1" t="n">
        <v>45944</v>
      </c>
      <c r="C3166" t="inlineStr">
        <is>
          <t>S01</t>
        </is>
      </c>
      <c r="D3166" t="inlineStr">
        <is>
          <t>P302</t>
        </is>
      </c>
      <c r="E3166" t="n">
        <v>2</v>
      </c>
      <c r="F3166" t="n">
        <v>24</v>
      </c>
      <c r="G3166" t="n">
        <v>0</v>
      </c>
      <c r="H3166">
        <f>E3166*F3166*(1-G3166)</f>
        <v/>
      </c>
      <c r="I3166">
        <f>XLOOKUP(D3166,Products!$A$2:$A$15,Products!$B$2:$B$15,"Not found")</f>
        <v/>
      </c>
    </row>
    <row r="3167">
      <c r="A3167" t="n">
        <v>107486</v>
      </c>
      <c r="B3167" s="1" t="n">
        <v>45944</v>
      </c>
      <c r="C3167" t="inlineStr">
        <is>
          <t>S01</t>
        </is>
      </c>
      <c r="D3167" t="inlineStr">
        <is>
          <t>P403</t>
        </is>
      </c>
      <c r="E3167" t="n">
        <v>1</v>
      </c>
      <c r="F3167" t="n">
        <v>89</v>
      </c>
      <c r="G3167" t="n">
        <v>0.1</v>
      </c>
      <c r="H3167">
        <f>E3167*F3167*(1-G3167)</f>
        <v/>
      </c>
      <c r="I3167">
        <f>XLOOKUP(D3167,Products!$A$2:$A$15,Products!$B$2:$B$15,"Not found")</f>
        <v/>
      </c>
    </row>
    <row r="3168">
      <c r="A3168" t="n">
        <v>107487</v>
      </c>
      <c r="B3168" s="1" t="n">
        <v>45944</v>
      </c>
      <c r="C3168" t="inlineStr">
        <is>
          <t>S01</t>
        </is>
      </c>
      <c r="D3168" t="inlineStr">
        <is>
          <t>P302</t>
        </is>
      </c>
      <c r="E3168" t="n">
        <v>2</v>
      </c>
      <c r="F3168" t="n">
        <v>24</v>
      </c>
      <c r="G3168" t="n">
        <v>0</v>
      </c>
      <c r="H3168">
        <f>E3168*F3168*(1-G3168)</f>
        <v/>
      </c>
      <c r="I3168">
        <f>XLOOKUP(D3168,Products!$A$2:$A$15,Products!$B$2:$B$15,"Not found")</f>
        <v/>
      </c>
    </row>
    <row r="3169">
      <c r="A3169" t="n">
        <v>107488</v>
      </c>
      <c r="B3169" s="1" t="n">
        <v>45944</v>
      </c>
      <c r="C3169" t="inlineStr">
        <is>
          <t>S01</t>
        </is>
      </c>
      <c r="D3169" t="inlineStr">
        <is>
          <t>P102</t>
        </is>
      </c>
      <c r="E3169" t="n">
        <v>1</v>
      </c>
      <c r="F3169" t="n">
        <v>14.5</v>
      </c>
      <c r="G3169" t="n">
        <v>0.2</v>
      </c>
      <c r="H3169">
        <f>E3169*F3169*(1-G3169)</f>
        <v/>
      </c>
      <c r="I3169">
        <f>XLOOKUP(D3169,Products!$A$2:$A$15,Products!$B$2:$B$15,"Not found")</f>
        <v/>
      </c>
    </row>
    <row r="3170">
      <c r="A3170" t="n">
        <v>107489</v>
      </c>
      <c r="B3170" s="1" t="n">
        <v>45944</v>
      </c>
      <c r="C3170" t="inlineStr">
        <is>
          <t>S02</t>
        </is>
      </c>
      <c r="D3170" t="inlineStr">
        <is>
          <t>P303</t>
        </is>
      </c>
      <c r="E3170" t="n">
        <v>1</v>
      </c>
      <c r="F3170" t="n">
        <v>12</v>
      </c>
      <c r="G3170" t="n">
        <v>0</v>
      </c>
      <c r="H3170">
        <f>E3170*F3170*(1-G3170)</f>
        <v/>
      </c>
      <c r="I3170">
        <f>XLOOKUP(D3170,Products!$A$2:$A$15,Products!$B$2:$B$15,"Not found")</f>
        <v/>
      </c>
    </row>
    <row r="3171">
      <c r="A3171" t="n">
        <v>107490</v>
      </c>
      <c r="B3171" s="1" t="n">
        <v>45944</v>
      </c>
      <c r="C3171" t="inlineStr">
        <is>
          <t>S02</t>
        </is>
      </c>
      <c r="D3171" t="inlineStr">
        <is>
          <t>P204</t>
        </is>
      </c>
      <c r="E3171" t="n">
        <v>1</v>
      </c>
      <c r="F3171" t="n">
        <v>229</v>
      </c>
      <c r="G3171" t="n">
        <v>0.2</v>
      </c>
      <c r="H3171">
        <f>E3171*F3171*(1-G3171)</f>
        <v/>
      </c>
      <c r="I3171">
        <f>XLOOKUP(D3171,Products!$A$2:$A$15,Products!$B$2:$B$15,"Not found")</f>
        <v/>
      </c>
    </row>
    <row r="3172">
      <c r="A3172" t="n">
        <v>107491</v>
      </c>
      <c r="B3172" s="1" t="n">
        <v>45944</v>
      </c>
      <c r="C3172" t="inlineStr">
        <is>
          <t>S03</t>
        </is>
      </c>
      <c r="D3172" t="inlineStr">
        <is>
          <t>P102</t>
        </is>
      </c>
      <c r="E3172" t="n">
        <v>3</v>
      </c>
      <c r="F3172" t="n">
        <v>14.5</v>
      </c>
      <c r="G3172" t="n">
        <v>0.2</v>
      </c>
      <c r="H3172">
        <f>E3172*F3172*(1-G3172)</f>
        <v/>
      </c>
      <c r="I3172">
        <f>XLOOKUP(D3172,Products!$A$2:$A$15,Products!$B$2:$B$15,"Not found")</f>
        <v/>
      </c>
    </row>
    <row r="3173">
      <c r="A3173" t="n">
        <v>107492</v>
      </c>
      <c r="B3173" s="1" t="n">
        <v>45944</v>
      </c>
      <c r="C3173" t="inlineStr">
        <is>
          <t>S04</t>
        </is>
      </c>
      <c r="D3173" t="inlineStr">
        <is>
          <t>P201</t>
        </is>
      </c>
      <c r="E3173" t="n">
        <v>1</v>
      </c>
      <c r="F3173" t="n">
        <v>149</v>
      </c>
      <c r="G3173" t="n">
        <v>0.1</v>
      </c>
      <c r="H3173">
        <f>E3173*F3173*(1-G3173)</f>
        <v/>
      </c>
      <c r="I3173">
        <f>XLOOKUP(D3173,Products!$A$2:$A$15,Products!$B$2:$B$15,"Not found")</f>
        <v/>
      </c>
    </row>
    <row r="3174">
      <c r="A3174" t="n">
        <v>107493</v>
      </c>
      <c r="B3174" s="1" t="n">
        <v>45944</v>
      </c>
      <c r="C3174" t="inlineStr">
        <is>
          <t>S04</t>
        </is>
      </c>
      <c r="D3174" t="inlineStr">
        <is>
          <t>P302</t>
        </is>
      </c>
      <c r="E3174" t="n">
        <v>2</v>
      </c>
      <c r="F3174" t="n">
        <v>24</v>
      </c>
      <c r="G3174" t="n">
        <v>0.15</v>
      </c>
      <c r="H3174">
        <f>E3174*F3174*(1-G3174)</f>
        <v/>
      </c>
      <c r="I3174">
        <f>XLOOKUP(D3174,Products!$A$2:$A$15,Products!$B$2:$B$15,"Not found")</f>
        <v/>
      </c>
    </row>
    <row r="3175">
      <c r="A3175" t="n">
        <v>107494</v>
      </c>
      <c r="B3175" s="1" t="n">
        <v>45944</v>
      </c>
      <c r="C3175" t="inlineStr">
        <is>
          <t>S04</t>
        </is>
      </c>
      <c r="D3175" t="inlineStr">
        <is>
          <t>P102</t>
        </is>
      </c>
      <c r="E3175" t="n">
        <v>2</v>
      </c>
      <c r="F3175" t="n">
        <v>14.5</v>
      </c>
      <c r="G3175" t="n">
        <v>0.2</v>
      </c>
      <c r="H3175">
        <f>E3175*F3175*(1-G3175)</f>
        <v/>
      </c>
      <c r="I3175">
        <f>XLOOKUP(D3175,Products!$A$2:$A$15,Products!$B$2:$B$15,"Not found")</f>
        <v/>
      </c>
    </row>
    <row r="3176">
      <c r="A3176" t="n">
        <v>107495</v>
      </c>
      <c r="B3176" s="1" t="n">
        <v>45944</v>
      </c>
      <c r="C3176" t="inlineStr">
        <is>
          <t>S04</t>
        </is>
      </c>
      <c r="D3176" t="inlineStr">
        <is>
          <t>P204</t>
        </is>
      </c>
      <c r="E3176" t="n">
        <v>1</v>
      </c>
      <c r="F3176" t="n">
        <v>229</v>
      </c>
      <c r="G3176" t="n">
        <v>0</v>
      </c>
      <c r="H3176">
        <f>E3176*F3176*(1-G3176)</f>
        <v/>
      </c>
      <c r="I3176">
        <f>XLOOKUP(D3176,Products!$A$2:$A$15,Products!$B$2:$B$15,"Not found")</f>
        <v/>
      </c>
    </row>
    <row r="3177">
      <c r="A3177" t="n">
        <v>107496</v>
      </c>
      <c r="B3177" s="1" t="n">
        <v>45944</v>
      </c>
      <c r="C3177" t="inlineStr">
        <is>
          <t>S05</t>
        </is>
      </c>
      <c r="D3177" t="inlineStr">
        <is>
          <t>P403</t>
        </is>
      </c>
      <c r="E3177" t="n">
        <v>1</v>
      </c>
      <c r="F3177" t="n">
        <v>89</v>
      </c>
      <c r="G3177" t="n">
        <v>0</v>
      </c>
      <c r="H3177">
        <f>E3177*F3177*(1-G3177)</f>
        <v/>
      </c>
      <c r="I3177">
        <f>XLOOKUP(D3177,Products!$A$2:$A$15,Products!$B$2:$B$15,"Not found")</f>
        <v/>
      </c>
    </row>
    <row r="3178">
      <c r="A3178" t="n">
        <v>107497</v>
      </c>
      <c r="B3178" s="1" t="n">
        <v>45944</v>
      </c>
      <c r="C3178" t="inlineStr">
        <is>
          <t>S05</t>
        </is>
      </c>
      <c r="D3178" t="inlineStr">
        <is>
          <t>P102</t>
        </is>
      </c>
      <c r="E3178" t="n">
        <v>1</v>
      </c>
      <c r="F3178" t="n">
        <v>14.5</v>
      </c>
      <c r="G3178" t="n">
        <v>0</v>
      </c>
      <c r="H3178">
        <f>E3178*F3178*(1-G3178)</f>
        <v/>
      </c>
      <c r="I3178">
        <f>XLOOKUP(D3178,Products!$A$2:$A$15,Products!$B$2:$B$15,"Not found")</f>
        <v/>
      </c>
    </row>
    <row r="3179">
      <c r="A3179" t="n">
        <v>107498</v>
      </c>
      <c r="B3179" s="1" t="n">
        <v>45944</v>
      </c>
      <c r="C3179" t="inlineStr">
        <is>
          <t>S06</t>
        </is>
      </c>
      <c r="D3179" t="inlineStr">
        <is>
          <t>P202</t>
        </is>
      </c>
      <c r="E3179" t="n">
        <v>2</v>
      </c>
      <c r="F3179" t="n">
        <v>79</v>
      </c>
      <c r="G3179" t="n">
        <v>0</v>
      </c>
      <c r="H3179">
        <f>E3179*F3179*(1-G3179)</f>
        <v/>
      </c>
      <c r="I3179">
        <f>XLOOKUP(D3179,Products!$A$2:$A$15,Products!$B$2:$B$15,"Not found")</f>
        <v/>
      </c>
    </row>
    <row r="3180">
      <c r="A3180" t="n">
        <v>107499</v>
      </c>
      <c r="B3180" s="1" t="n">
        <v>45944</v>
      </c>
      <c r="C3180" t="inlineStr">
        <is>
          <t>S06</t>
        </is>
      </c>
      <c r="D3180" t="inlineStr">
        <is>
          <t>P102</t>
        </is>
      </c>
      <c r="E3180" t="n">
        <v>1</v>
      </c>
      <c r="F3180" t="n">
        <v>14.5</v>
      </c>
      <c r="G3180" t="n">
        <v>0</v>
      </c>
      <c r="H3180">
        <f>E3180*F3180*(1-G3180)</f>
        <v/>
      </c>
      <c r="I3180">
        <f>XLOOKUP(D3180,Products!$A$2:$A$15,Products!$B$2:$B$15,"Not found")</f>
        <v/>
      </c>
    </row>
    <row r="3181">
      <c r="A3181" t="n">
        <v>107500</v>
      </c>
      <c r="B3181" s="1" t="n">
        <v>45944</v>
      </c>
      <c r="C3181" t="inlineStr">
        <is>
          <t>S06</t>
        </is>
      </c>
      <c r="D3181" t="inlineStr">
        <is>
          <t>P303</t>
        </is>
      </c>
      <c r="E3181" t="n">
        <v>2</v>
      </c>
      <c r="F3181" t="n">
        <v>12</v>
      </c>
      <c r="G3181" t="n">
        <v>0.1</v>
      </c>
      <c r="H3181">
        <f>E3181*F3181*(1-G3181)</f>
        <v/>
      </c>
      <c r="I3181">
        <f>XLOOKUP(D3181,Products!$A$2:$A$15,Products!$B$2:$B$15,"Not found")</f>
        <v/>
      </c>
    </row>
    <row r="3182">
      <c r="A3182" t="n">
        <v>107501</v>
      </c>
      <c r="B3182" s="1" t="n">
        <v>45945</v>
      </c>
      <c r="C3182" t="inlineStr">
        <is>
          <t>S01</t>
        </is>
      </c>
      <c r="D3182" t="inlineStr">
        <is>
          <t>P202</t>
        </is>
      </c>
      <c r="E3182" t="n">
        <v>2</v>
      </c>
      <c r="F3182" t="n">
        <v>79</v>
      </c>
      <c r="G3182" t="n">
        <v>0.15</v>
      </c>
      <c r="H3182">
        <f>E3182*F3182*(1-G3182)</f>
        <v/>
      </c>
      <c r="I3182">
        <f>XLOOKUP(D3182,Products!$A$2:$A$15,Products!$B$2:$B$15,"Not found")</f>
        <v/>
      </c>
    </row>
    <row r="3183">
      <c r="A3183" t="n">
        <v>107502</v>
      </c>
      <c r="B3183" s="1" t="n">
        <v>45945</v>
      </c>
      <c r="C3183" t="inlineStr">
        <is>
          <t>S01</t>
        </is>
      </c>
      <c r="D3183" t="inlineStr">
        <is>
          <t>P202</t>
        </is>
      </c>
      <c r="E3183" t="n">
        <v>1</v>
      </c>
      <c r="F3183" t="n">
        <v>79</v>
      </c>
      <c r="G3183" t="n">
        <v>0</v>
      </c>
      <c r="H3183">
        <f>E3183*F3183*(1-G3183)</f>
        <v/>
      </c>
      <c r="I3183">
        <f>XLOOKUP(D3183,Products!$A$2:$A$15,Products!$B$2:$B$15,"Not found")</f>
        <v/>
      </c>
    </row>
    <row r="3184">
      <c r="A3184" t="n">
        <v>107503</v>
      </c>
      <c r="B3184" s="1" t="n">
        <v>45945</v>
      </c>
      <c r="C3184" t="inlineStr">
        <is>
          <t>S01</t>
        </is>
      </c>
      <c r="D3184" t="inlineStr">
        <is>
          <t>P101</t>
        </is>
      </c>
      <c r="E3184" t="n">
        <v>2</v>
      </c>
      <c r="F3184" t="n">
        <v>39</v>
      </c>
      <c r="G3184" t="n">
        <v>0</v>
      </c>
      <c r="H3184">
        <f>E3184*F3184*(1-G3184)</f>
        <v/>
      </c>
      <c r="I3184">
        <f>XLOOKUP(D3184,Products!$A$2:$A$15,Products!$B$2:$B$15,"Not found")</f>
        <v/>
      </c>
    </row>
    <row r="3185">
      <c r="A3185" t="n">
        <v>107504</v>
      </c>
      <c r="B3185" s="1" t="n">
        <v>45945</v>
      </c>
      <c r="C3185" t="inlineStr">
        <is>
          <t>S01</t>
        </is>
      </c>
      <c r="D3185" t="inlineStr">
        <is>
          <t>P103</t>
        </is>
      </c>
      <c r="E3185" t="n">
        <v>2</v>
      </c>
      <c r="F3185" t="n">
        <v>29</v>
      </c>
      <c r="G3185" t="n">
        <v>0.1</v>
      </c>
      <c r="H3185">
        <f>E3185*F3185*(1-G3185)</f>
        <v/>
      </c>
      <c r="I3185">
        <f>XLOOKUP(D3185,Products!$A$2:$A$15,Products!$B$2:$B$15,"Not found")</f>
        <v/>
      </c>
    </row>
    <row r="3186">
      <c r="A3186" t="n">
        <v>107505</v>
      </c>
      <c r="B3186" s="1" t="n">
        <v>45945</v>
      </c>
      <c r="C3186" t="inlineStr">
        <is>
          <t>S01</t>
        </is>
      </c>
      <c r="D3186" t="inlineStr">
        <is>
          <t>P203</t>
        </is>
      </c>
      <c r="E3186" t="n">
        <v>2</v>
      </c>
      <c r="F3186" t="n">
        <v>19.5</v>
      </c>
      <c r="G3186" t="n">
        <v>0.15</v>
      </c>
      <c r="H3186">
        <f>E3186*F3186*(1-G3186)</f>
        <v/>
      </c>
      <c r="I3186">
        <f>XLOOKUP(D3186,Products!$A$2:$A$15,Products!$B$2:$B$15,"Not found")</f>
        <v/>
      </c>
    </row>
    <row r="3187">
      <c r="A3187" t="n">
        <v>107506</v>
      </c>
      <c r="B3187" s="1" t="n">
        <v>45945</v>
      </c>
      <c r="C3187" t="inlineStr">
        <is>
          <t>S01</t>
        </is>
      </c>
      <c r="D3187" t="inlineStr">
        <is>
          <t>P201</t>
        </is>
      </c>
      <c r="E3187" t="n">
        <v>1</v>
      </c>
      <c r="F3187" t="n">
        <v>149</v>
      </c>
      <c r="G3187" t="n">
        <v>0</v>
      </c>
      <c r="H3187">
        <f>E3187*F3187*(1-G3187)</f>
        <v/>
      </c>
      <c r="I3187">
        <f>XLOOKUP(D3187,Products!$A$2:$A$15,Products!$B$2:$B$15,"Not found")</f>
        <v/>
      </c>
    </row>
    <row r="3188">
      <c r="A3188" t="n">
        <v>107507</v>
      </c>
      <c r="B3188" s="1" t="n">
        <v>45945</v>
      </c>
      <c r="C3188" t="inlineStr">
        <is>
          <t>S01</t>
        </is>
      </c>
      <c r="D3188" t="inlineStr">
        <is>
          <t>P101</t>
        </is>
      </c>
      <c r="E3188" t="n">
        <v>4</v>
      </c>
      <c r="F3188" t="n">
        <v>39</v>
      </c>
      <c r="G3188" t="n">
        <v>0</v>
      </c>
      <c r="H3188">
        <f>E3188*F3188*(1-G3188)</f>
        <v/>
      </c>
      <c r="I3188">
        <f>XLOOKUP(D3188,Products!$A$2:$A$15,Products!$B$2:$B$15,"Not found")</f>
        <v/>
      </c>
    </row>
    <row r="3189">
      <c r="A3189" t="n">
        <v>107508</v>
      </c>
      <c r="B3189" s="1" t="n">
        <v>45945</v>
      </c>
      <c r="C3189" t="inlineStr">
        <is>
          <t>S01</t>
        </is>
      </c>
      <c r="D3189" t="inlineStr">
        <is>
          <t>P203</t>
        </is>
      </c>
      <c r="E3189" t="n">
        <v>2</v>
      </c>
      <c r="F3189" t="n">
        <v>19.5</v>
      </c>
      <c r="G3189" t="n">
        <v>0</v>
      </c>
      <c r="H3189">
        <f>E3189*F3189*(1-G3189)</f>
        <v/>
      </c>
      <c r="I3189">
        <f>XLOOKUP(D3189,Products!$A$2:$A$15,Products!$B$2:$B$15,"Not found")</f>
        <v/>
      </c>
    </row>
    <row r="3190">
      <c r="A3190" t="n">
        <v>107509</v>
      </c>
      <c r="B3190" s="1" t="n">
        <v>45945</v>
      </c>
      <c r="C3190" t="inlineStr">
        <is>
          <t>S02</t>
        </is>
      </c>
      <c r="D3190" t="inlineStr">
        <is>
          <t>P303</t>
        </is>
      </c>
      <c r="E3190" t="n">
        <v>2</v>
      </c>
      <c r="F3190" t="n">
        <v>12</v>
      </c>
      <c r="G3190" t="n">
        <v>0</v>
      </c>
      <c r="H3190">
        <f>E3190*F3190*(1-G3190)</f>
        <v/>
      </c>
      <c r="I3190">
        <f>XLOOKUP(D3190,Products!$A$2:$A$15,Products!$B$2:$B$15,"Not found")</f>
        <v/>
      </c>
    </row>
    <row r="3191">
      <c r="A3191" t="n">
        <v>107510</v>
      </c>
      <c r="B3191" s="1" t="n">
        <v>45945</v>
      </c>
      <c r="C3191" t="inlineStr">
        <is>
          <t>S03</t>
        </is>
      </c>
      <c r="D3191" t="inlineStr">
        <is>
          <t>P303</t>
        </is>
      </c>
      <c r="E3191" t="n">
        <v>2</v>
      </c>
      <c r="F3191" t="n">
        <v>12</v>
      </c>
      <c r="G3191" t="n">
        <v>0.1</v>
      </c>
      <c r="H3191">
        <f>E3191*F3191*(1-G3191)</f>
        <v/>
      </c>
      <c r="I3191">
        <f>XLOOKUP(D3191,Products!$A$2:$A$15,Products!$B$2:$B$15,"Not found")</f>
        <v/>
      </c>
    </row>
    <row r="3192">
      <c r="A3192" t="n">
        <v>107511</v>
      </c>
      <c r="B3192" s="1" t="n">
        <v>45945</v>
      </c>
      <c r="C3192" t="inlineStr">
        <is>
          <t>S03</t>
        </is>
      </c>
      <c r="D3192" t="inlineStr">
        <is>
          <t>P103</t>
        </is>
      </c>
      <c r="E3192" t="n">
        <v>1</v>
      </c>
      <c r="F3192" t="n">
        <v>29</v>
      </c>
      <c r="G3192" t="n">
        <v>0</v>
      </c>
      <c r="H3192">
        <f>E3192*F3192*(1-G3192)</f>
        <v/>
      </c>
      <c r="I3192">
        <f>XLOOKUP(D3192,Products!$A$2:$A$15,Products!$B$2:$B$15,"Not found")</f>
        <v/>
      </c>
    </row>
    <row r="3193">
      <c r="A3193" t="n">
        <v>107512</v>
      </c>
      <c r="B3193" s="1" t="n">
        <v>45945</v>
      </c>
      <c r="C3193" t="inlineStr">
        <is>
          <t>S03</t>
        </is>
      </c>
      <c r="D3193" t="inlineStr">
        <is>
          <t>P104</t>
        </is>
      </c>
      <c r="E3193" t="n">
        <v>1</v>
      </c>
      <c r="F3193" t="n">
        <v>189</v>
      </c>
      <c r="G3193" t="n">
        <v>0.1</v>
      </c>
      <c r="H3193">
        <f>E3193*F3193*(1-G3193)</f>
        <v/>
      </c>
      <c r="I3193">
        <f>XLOOKUP(D3193,Products!$A$2:$A$15,Products!$B$2:$B$15,"Not found")</f>
        <v/>
      </c>
    </row>
    <row r="3194">
      <c r="A3194" t="n">
        <v>107513</v>
      </c>
      <c r="B3194" s="1" t="n">
        <v>45945</v>
      </c>
      <c r="C3194" t="inlineStr">
        <is>
          <t>S03</t>
        </is>
      </c>
      <c r="D3194" t="inlineStr">
        <is>
          <t>P302</t>
        </is>
      </c>
      <c r="E3194" t="n">
        <v>1</v>
      </c>
      <c r="F3194" t="n">
        <v>24</v>
      </c>
      <c r="G3194" t="n">
        <v>0.2</v>
      </c>
      <c r="H3194">
        <f>E3194*F3194*(1-G3194)</f>
        <v/>
      </c>
      <c r="I3194">
        <f>XLOOKUP(D3194,Products!$A$2:$A$15,Products!$B$2:$B$15,"Not found")</f>
        <v/>
      </c>
    </row>
    <row r="3195">
      <c r="A3195" t="n">
        <v>107514</v>
      </c>
      <c r="B3195" s="1" t="n">
        <v>45945</v>
      </c>
      <c r="C3195" t="inlineStr">
        <is>
          <t>S04</t>
        </is>
      </c>
      <c r="D3195" t="inlineStr">
        <is>
          <t>P104</t>
        </is>
      </c>
      <c r="E3195" t="n">
        <v>1</v>
      </c>
      <c r="F3195" t="n">
        <v>189</v>
      </c>
      <c r="G3195" t="n">
        <v>0.1</v>
      </c>
      <c r="H3195">
        <f>E3195*F3195*(1-G3195)</f>
        <v/>
      </c>
      <c r="I3195">
        <f>XLOOKUP(D3195,Products!$A$2:$A$15,Products!$B$2:$B$15,"Not found")</f>
        <v/>
      </c>
    </row>
    <row r="3196">
      <c r="A3196" t="n">
        <v>107515</v>
      </c>
      <c r="B3196" s="1" t="n">
        <v>45945</v>
      </c>
      <c r="C3196" t="inlineStr">
        <is>
          <t>S04</t>
        </is>
      </c>
      <c r="D3196" t="inlineStr">
        <is>
          <t>P102</t>
        </is>
      </c>
      <c r="E3196" t="n">
        <v>2</v>
      </c>
      <c r="F3196" t="n">
        <v>14.5</v>
      </c>
      <c r="G3196" t="n">
        <v>0</v>
      </c>
      <c r="H3196">
        <f>E3196*F3196*(1-G3196)</f>
        <v/>
      </c>
      <c r="I3196">
        <f>XLOOKUP(D3196,Products!$A$2:$A$15,Products!$B$2:$B$15,"Not found")</f>
        <v/>
      </c>
    </row>
    <row r="3197">
      <c r="A3197" t="n">
        <v>107516</v>
      </c>
      <c r="B3197" s="1" t="n">
        <v>45945</v>
      </c>
      <c r="C3197" t="inlineStr">
        <is>
          <t>S05</t>
        </is>
      </c>
      <c r="D3197" t="inlineStr">
        <is>
          <t>P204</t>
        </is>
      </c>
      <c r="E3197" t="n">
        <v>1</v>
      </c>
      <c r="F3197" t="n">
        <v>229</v>
      </c>
      <c r="G3197" t="n">
        <v>0</v>
      </c>
      <c r="H3197">
        <f>E3197*F3197*(1-G3197)</f>
        <v/>
      </c>
      <c r="I3197">
        <f>XLOOKUP(D3197,Products!$A$2:$A$15,Products!$B$2:$B$15,"Not found")</f>
        <v/>
      </c>
    </row>
    <row r="3198">
      <c r="A3198" t="n">
        <v>107517</v>
      </c>
      <c r="B3198" s="1" t="n">
        <v>45945</v>
      </c>
      <c r="C3198" t="inlineStr">
        <is>
          <t>S06</t>
        </is>
      </c>
      <c r="D3198" t="inlineStr">
        <is>
          <t>P301</t>
        </is>
      </c>
      <c r="E3198" t="n">
        <v>1</v>
      </c>
      <c r="F3198" t="n">
        <v>119</v>
      </c>
      <c r="G3198" t="n">
        <v>0.1</v>
      </c>
      <c r="H3198">
        <f>E3198*F3198*(1-G3198)</f>
        <v/>
      </c>
      <c r="I3198">
        <f>XLOOKUP(D3198,Products!$A$2:$A$15,Products!$B$2:$B$15,"Not found")</f>
        <v/>
      </c>
    </row>
    <row r="3199">
      <c r="A3199" t="n">
        <v>107518</v>
      </c>
      <c r="B3199" s="1" t="n">
        <v>45946</v>
      </c>
      <c r="C3199" t="inlineStr">
        <is>
          <t>S01</t>
        </is>
      </c>
      <c r="D3199" t="inlineStr">
        <is>
          <t>P202</t>
        </is>
      </c>
      <c r="E3199" t="n">
        <v>1</v>
      </c>
      <c r="F3199" t="n">
        <v>79</v>
      </c>
      <c r="G3199" t="n">
        <v>0</v>
      </c>
      <c r="H3199">
        <f>E3199*F3199*(1-G3199)</f>
        <v/>
      </c>
      <c r="I3199">
        <f>XLOOKUP(D3199,Products!$A$2:$A$15,Products!$B$2:$B$15,"Not found")</f>
        <v/>
      </c>
    </row>
    <row r="3200">
      <c r="A3200" t="n">
        <v>107519</v>
      </c>
      <c r="B3200" s="1" t="n">
        <v>45946</v>
      </c>
      <c r="C3200" t="inlineStr">
        <is>
          <t>S01</t>
        </is>
      </c>
      <c r="D3200" t="inlineStr">
        <is>
          <t>P104</t>
        </is>
      </c>
      <c r="E3200" t="n">
        <v>1</v>
      </c>
      <c r="F3200" t="n">
        <v>189</v>
      </c>
      <c r="G3200" t="n">
        <v>0</v>
      </c>
      <c r="H3200">
        <f>E3200*F3200*(1-G3200)</f>
        <v/>
      </c>
      <c r="I3200">
        <f>XLOOKUP(D3200,Products!$A$2:$A$15,Products!$B$2:$B$15,"Not found")</f>
        <v/>
      </c>
    </row>
    <row r="3201">
      <c r="A3201" t="n">
        <v>107520</v>
      </c>
      <c r="B3201" s="1" t="n">
        <v>45946</v>
      </c>
      <c r="C3201" t="inlineStr">
        <is>
          <t>S01</t>
        </is>
      </c>
      <c r="D3201" t="inlineStr">
        <is>
          <t>P104</t>
        </is>
      </c>
      <c r="E3201" t="n">
        <v>1</v>
      </c>
      <c r="F3201" t="n">
        <v>189</v>
      </c>
      <c r="G3201" t="n">
        <v>0.2</v>
      </c>
      <c r="H3201">
        <f>E3201*F3201*(1-G3201)</f>
        <v/>
      </c>
      <c r="I3201">
        <f>XLOOKUP(D3201,Products!$A$2:$A$15,Products!$B$2:$B$15,"Not found")</f>
        <v/>
      </c>
    </row>
    <row r="3202">
      <c r="A3202" t="n">
        <v>107521</v>
      </c>
      <c r="B3202" s="1" t="n">
        <v>45946</v>
      </c>
      <c r="C3202" t="inlineStr">
        <is>
          <t>S01</t>
        </is>
      </c>
      <c r="D3202" t="inlineStr">
        <is>
          <t>P403</t>
        </is>
      </c>
      <c r="E3202" t="n">
        <v>1</v>
      </c>
      <c r="F3202" t="n">
        <v>89</v>
      </c>
      <c r="G3202" t="n">
        <v>0</v>
      </c>
      <c r="H3202">
        <f>E3202*F3202*(1-G3202)</f>
        <v/>
      </c>
      <c r="I3202">
        <f>XLOOKUP(D3202,Products!$A$2:$A$15,Products!$B$2:$B$15,"Not found")</f>
        <v/>
      </c>
    </row>
    <row r="3203">
      <c r="A3203" t="n">
        <v>107522</v>
      </c>
      <c r="B3203" s="1" t="n">
        <v>45946</v>
      </c>
      <c r="C3203" t="inlineStr">
        <is>
          <t>S02</t>
        </is>
      </c>
      <c r="D3203" t="inlineStr">
        <is>
          <t>P102</t>
        </is>
      </c>
      <c r="E3203" t="n">
        <v>1</v>
      </c>
      <c r="F3203" t="n">
        <v>14.5</v>
      </c>
      <c r="G3203" t="n">
        <v>0</v>
      </c>
      <c r="H3203">
        <f>E3203*F3203*(1-G3203)</f>
        <v/>
      </c>
      <c r="I3203">
        <f>XLOOKUP(D3203,Products!$A$2:$A$15,Products!$B$2:$B$15,"Not found")</f>
        <v/>
      </c>
    </row>
    <row r="3204">
      <c r="A3204" t="n">
        <v>107523</v>
      </c>
      <c r="B3204" s="1" t="n">
        <v>45946</v>
      </c>
      <c r="C3204" t="inlineStr">
        <is>
          <t>S02</t>
        </is>
      </c>
      <c r="D3204" t="inlineStr">
        <is>
          <t>P301</t>
        </is>
      </c>
      <c r="E3204" t="n">
        <v>1</v>
      </c>
      <c r="F3204" t="n">
        <v>119</v>
      </c>
      <c r="G3204" t="n">
        <v>0.15</v>
      </c>
      <c r="H3204">
        <f>E3204*F3204*(1-G3204)</f>
        <v/>
      </c>
      <c r="I3204">
        <f>XLOOKUP(D3204,Products!$A$2:$A$15,Products!$B$2:$B$15,"Not found")</f>
        <v/>
      </c>
    </row>
    <row r="3205">
      <c r="A3205" t="n">
        <v>107524</v>
      </c>
      <c r="B3205" s="1" t="n">
        <v>45946</v>
      </c>
      <c r="C3205" t="inlineStr">
        <is>
          <t>S03</t>
        </is>
      </c>
      <c r="D3205" t="inlineStr">
        <is>
          <t>P203</t>
        </is>
      </c>
      <c r="E3205" t="n">
        <v>2</v>
      </c>
      <c r="F3205" t="n">
        <v>19.5</v>
      </c>
      <c r="G3205" t="n">
        <v>0.1</v>
      </c>
      <c r="H3205">
        <f>E3205*F3205*(1-G3205)</f>
        <v/>
      </c>
      <c r="I3205">
        <f>XLOOKUP(D3205,Products!$A$2:$A$15,Products!$B$2:$B$15,"Not found")</f>
        <v/>
      </c>
    </row>
    <row r="3206">
      <c r="A3206" t="n">
        <v>107525</v>
      </c>
      <c r="B3206" s="1" t="n">
        <v>45946</v>
      </c>
      <c r="C3206" t="inlineStr">
        <is>
          <t>S04</t>
        </is>
      </c>
      <c r="D3206" t="inlineStr">
        <is>
          <t>P303</t>
        </is>
      </c>
      <c r="E3206" t="n">
        <v>2</v>
      </c>
      <c r="F3206" t="n">
        <v>12</v>
      </c>
      <c r="G3206" t="n">
        <v>0</v>
      </c>
      <c r="H3206">
        <f>E3206*F3206*(1-G3206)</f>
        <v/>
      </c>
      <c r="I3206">
        <f>XLOOKUP(D3206,Products!$A$2:$A$15,Products!$B$2:$B$15,"Not found")</f>
        <v/>
      </c>
    </row>
    <row r="3207">
      <c r="A3207" t="n">
        <v>107526</v>
      </c>
      <c r="B3207" s="1" t="n">
        <v>45946</v>
      </c>
      <c r="C3207" t="inlineStr">
        <is>
          <t>S06</t>
        </is>
      </c>
      <c r="D3207" t="inlineStr">
        <is>
          <t>P102</t>
        </is>
      </c>
      <c r="E3207" t="n">
        <v>1</v>
      </c>
      <c r="F3207" t="n">
        <v>14.5</v>
      </c>
      <c r="G3207" t="n">
        <v>0</v>
      </c>
      <c r="H3207">
        <f>E3207*F3207*(1-G3207)</f>
        <v/>
      </c>
      <c r="I3207">
        <f>XLOOKUP(D3207,Products!$A$2:$A$15,Products!$B$2:$B$15,"Not found")</f>
        <v/>
      </c>
    </row>
    <row r="3208">
      <c r="A3208" t="n">
        <v>107527</v>
      </c>
      <c r="B3208" s="1" t="n">
        <v>45947</v>
      </c>
      <c r="C3208" t="inlineStr">
        <is>
          <t>S01</t>
        </is>
      </c>
      <c r="D3208" t="inlineStr">
        <is>
          <t>P102</t>
        </is>
      </c>
      <c r="E3208" t="n">
        <v>2</v>
      </c>
      <c r="F3208" t="n">
        <v>14.5</v>
      </c>
      <c r="G3208" t="n">
        <v>0</v>
      </c>
      <c r="H3208">
        <f>E3208*F3208*(1-G3208)</f>
        <v/>
      </c>
      <c r="I3208">
        <f>XLOOKUP(D3208,Products!$A$2:$A$15,Products!$B$2:$B$15,"Not found")</f>
        <v/>
      </c>
    </row>
    <row r="3209">
      <c r="A3209" t="n">
        <v>107528</v>
      </c>
      <c r="B3209" s="1" t="n">
        <v>45947</v>
      </c>
      <c r="C3209" t="inlineStr">
        <is>
          <t>S01</t>
        </is>
      </c>
      <c r="D3209" t="inlineStr">
        <is>
          <t>P202</t>
        </is>
      </c>
      <c r="E3209" t="n">
        <v>1</v>
      </c>
      <c r="F3209" t="n">
        <v>79</v>
      </c>
      <c r="G3209" t="n">
        <v>0.2</v>
      </c>
      <c r="H3209">
        <f>E3209*F3209*(1-G3209)</f>
        <v/>
      </c>
      <c r="I3209">
        <f>XLOOKUP(D3209,Products!$A$2:$A$15,Products!$B$2:$B$15,"Not found")</f>
        <v/>
      </c>
    </row>
    <row r="3210">
      <c r="A3210" t="n">
        <v>107529</v>
      </c>
      <c r="B3210" s="1" t="n">
        <v>45947</v>
      </c>
      <c r="C3210" t="inlineStr">
        <is>
          <t>S01</t>
        </is>
      </c>
      <c r="D3210" t="inlineStr">
        <is>
          <t>P303</t>
        </is>
      </c>
      <c r="E3210" t="n">
        <v>1</v>
      </c>
      <c r="F3210" t="n">
        <v>12</v>
      </c>
      <c r="G3210" t="n">
        <v>0</v>
      </c>
      <c r="H3210">
        <f>E3210*F3210*(1-G3210)</f>
        <v/>
      </c>
      <c r="I3210">
        <f>XLOOKUP(D3210,Products!$A$2:$A$15,Products!$B$2:$B$15,"Not found")</f>
        <v/>
      </c>
    </row>
    <row r="3211">
      <c r="A3211" t="n">
        <v>107530</v>
      </c>
      <c r="B3211" s="1" t="n">
        <v>45947</v>
      </c>
      <c r="C3211" t="inlineStr">
        <is>
          <t>S01</t>
        </is>
      </c>
      <c r="D3211" t="inlineStr">
        <is>
          <t>P101</t>
        </is>
      </c>
      <c r="E3211" t="n">
        <v>4</v>
      </c>
      <c r="F3211" t="n">
        <v>39</v>
      </c>
      <c r="G3211" t="n">
        <v>0</v>
      </c>
      <c r="H3211">
        <f>E3211*F3211*(1-G3211)</f>
        <v/>
      </c>
      <c r="I3211">
        <f>XLOOKUP(D3211,Products!$A$2:$A$15,Products!$B$2:$B$15,"Not found")</f>
        <v/>
      </c>
    </row>
    <row r="3212">
      <c r="A3212" t="n">
        <v>107531</v>
      </c>
      <c r="B3212" s="1" t="n">
        <v>45947</v>
      </c>
      <c r="C3212" t="inlineStr">
        <is>
          <t>S01</t>
        </is>
      </c>
      <c r="D3212" t="inlineStr">
        <is>
          <t>P102</t>
        </is>
      </c>
      <c r="E3212" t="n">
        <v>4</v>
      </c>
      <c r="F3212" t="n">
        <v>14.5</v>
      </c>
      <c r="G3212" t="n">
        <v>0</v>
      </c>
      <c r="H3212">
        <f>E3212*F3212*(1-G3212)</f>
        <v/>
      </c>
      <c r="I3212">
        <f>XLOOKUP(D3212,Products!$A$2:$A$15,Products!$B$2:$B$15,"Not found")</f>
        <v/>
      </c>
    </row>
    <row r="3213">
      <c r="A3213" t="n">
        <v>107532</v>
      </c>
      <c r="B3213" s="1" t="n">
        <v>45947</v>
      </c>
      <c r="C3213" t="inlineStr">
        <is>
          <t>S03</t>
        </is>
      </c>
      <c r="D3213" t="inlineStr">
        <is>
          <t>P203</t>
        </is>
      </c>
      <c r="E3213" t="n">
        <v>1</v>
      </c>
      <c r="F3213" t="n">
        <v>19.5</v>
      </c>
      <c r="G3213" t="n">
        <v>0</v>
      </c>
      <c r="H3213">
        <f>E3213*F3213*(1-G3213)</f>
        <v/>
      </c>
      <c r="I3213">
        <f>XLOOKUP(D3213,Products!$A$2:$A$15,Products!$B$2:$B$15,"Not found")</f>
        <v/>
      </c>
    </row>
    <row r="3214">
      <c r="A3214" t="n">
        <v>107533</v>
      </c>
      <c r="B3214" s="1" t="n">
        <v>45947</v>
      </c>
      <c r="C3214" t="inlineStr">
        <is>
          <t>S04</t>
        </is>
      </c>
      <c r="D3214" t="inlineStr">
        <is>
          <t>P203</t>
        </is>
      </c>
      <c r="E3214" t="n">
        <v>1</v>
      </c>
      <c r="F3214" t="n">
        <v>19.5</v>
      </c>
      <c r="G3214" t="n">
        <v>0</v>
      </c>
      <c r="H3214">
        <f>E3214*F3214*(1-G3214)</f>
        <v/>
      </c>
      <c r="I3214">
        <f>XLOOKUP(D3214,Products!$A$2:$A$15,Products!$B$2:$B$15,"Not found")</f>
        <v/>
      </c>
    </row>
    <row r="3215">
      <c r="A3215" t="n">
        <v>107534</v>
      </c>
      <c r="B3215" s="1" t="n">
        <v>45947</v>
      </c>
      <c r="C3215" t="inlineStr">
        <is>
          <t>S04</t>
        </is>
      </c>
      <c r="D3215" t="inlineStr">
        <is>
          <t>P104</t>
        </is>
      </c>
      <c r="E3215" t="n">
        <v>1</v>
      </c>
      <c r="F3215" t="n">
        <v>189</v>
      </c>
      <c r="G3215" t="n">
        <v>0</v>
      </c>
      <c r="H3215">
        <f>E3215*F3215*(1-G3215)</f>
        <v/>
      </c>
      <c r="I3215">
        <f>XLOOKUP(D3215,Products!$A$2:$A$15,Products!$B$2:$B$15,"Not found")</f>
        <v/>
      </c>
    </row>
    <row r="3216">
      <c r="A3216" t="n">
        <v>107535</v>
      </c>
      <c r="B3216" s="1" t="n">
        <v>45947</v>
      </c>
      <c r="C3216" t="inlineStr">
        <is>
          <t>S04</t>
        </is>
      </c>
      <c r="D3216" t="inlineStr">
        <is>
          <t>P102</t>
        </is>
      </c>
      <c r="E3216" t="n">
        <v>1</v>
      </c>
      <c r="F3216" t="n">
        <v>14.5</v>
      </c>
      <c r="G3216" t="n">
        <v>0</v>
      </c>
      <c r="H3216">
        <f>E3216*F3216*(1-G3216)</f>
        <v/>
      </c>
      <c r="I3216">
        <f>XLOOKUP(D3216,Products!$A$2:$A$15,Products!$B$2:$B$15,"Not found")</f>
        <v/>
      </c>
    </row>
    <row r="3217">
      <c r="A3217" t="n">
        <v>107536</v>
      </c>
      <c r="B3217" s="1" t="n">
        <v>45947</v>
      </c>
      <c r="C3217" t="inlineStr">
        <is>
          <t>S05</t>
        </is>
      </c>
      <c r="D3217" t="inlineStr">
        <is>
          <t>P403</t>
        </is>
      </c>
      <c r="E3217" t="n">
        <v>2</v>
      </c>
      <c r="F3217" t="n">
        <v>89</v>
      </c>
      <c r="G3217" t="n">
        <v>0</v>
      </c>
      <c r="H3217">
        <f>E3217*F3217*(1-G3217)</f>
        <v/>
      </c>
      <c r="I3217">
        <f>XLOOKUP(D3217,Products!$A$2:$A$15,Products!$B$2:$B$15,"Not found")</f>
        <v/>
      </c>
    </row>
    <row r="3218">
      <c r="A3218" t="n">
        <v>107537</v>
      </c>
      <c r="B3218" s="1" t="n">
        <v>45947</v>
      </c>
      <c r="C3218" t="inlineStr">
        <is>
          <t>S06</t>
        </is>
      </c>
      <c r="D3218" t="inlineStr">
        <is>
          <t>P302</t>
        </is>
      </c>
      <c r="E3218" t="n">
        <v>4</v>
      </c>
      <c r="F3218" t="n">
        <v>24</v>
      </c>
      <c r="G3218" t="n">
        <v>0.15</v>
      </c>
      <c r="H3218">
        <f>E3218*F3218*(1-G3218)</f>
        <v/>
      </c>
      <c r="I3218">
        <f>XLOOKUP(D3218,Products!$A$2:$A$15,Products!$B$2:$B$15,"Not found")</f>
        <v/>
      </c>
    </row>
    <row r="3219">
      <c r="A3219" t="n">
        <v>107538</v>
      </c>
      <c r="B3219" s="1" t="n">
        <v>45947</v>
      </c>
      <c r="C3219" t="inlineStr">
        <is>
          <t>S06</t>
        </is>
      </c>
      <c r="D3219" t="inlineStr">
        <is>
          <t>P203</t>
        </is>
      </c>
      <c r="E3219" t="n">
        <v>2</v>
      </c>
      <c r="F3219" t="n">
        <v>19.5</v>
      </c>
      <c r="G3219" t="n">
        <v>0.2</v>
      </c>
      <c r="H3219">
        <f>E3219*F3219*(1-G3219)</f>
        <v/>
      </c>
      <c r="I3219">
        <f>XLOOKUP(D3219,Products!$A$2:$A$15,Products!$B$2:$B$15,"Not found")</f>
        <v/>
      </c>
    </row>
    <row r="3220">
      <c r="A3220" t="n">
        <v>107539</v>
      </c>
      <c r="B3220" s="1" t="n">
        <v>45947</v>
      </c>
      <c r="C3220" t="inlineStr">
        <is>
          <t>S06</t>
        </is>
      </c>
      <c r="D3220" t="inlineStr">
        <is>
          <t>P303</t>
        </is>
      </c>
      <c r="E3220" t="n">
        <v>1</v>
      </c>
      <c r="F3220" t="n">
        <v>12</v>
      </c>
      <c r="G3220" t="n">
        <v>0.1</v>
      </c>
      <c r="H3220">
        <f>E3220*F3220*(1-G3220)</f>
        <v/>
      </c>
      <c r="I3220">
        <f>XLOOKUP(D3220,Products!$A$2:$A$15,Products!$B$2:$B$15,"Not found")</f>
        <v/>
      </c>
    </row>
    <row r="3221">
      <c r="A3221" t="n">
        <v>107540</v>
      </c>
      <c r="B3221" s="1" t="n">
        <v>45948</v>
      </c>
      <c r="C3221" t="inlineStr">
        <is>
          <t>S01</t>
        </is>
      </c>
      <c r="D3221" t="inlineStr">
        <is>
          <t>P103</t>
        </is>
      </c>
      <c r="E3221" t="n">
        <v>3</v>
      </c>
      <c r="F3221" t="n">
        <v>29</v>
      </c>
      <c r="G3221" t="n">
        <v>0</v>
      </c>
      <c r="H3221">
        <f>E3221*F3221*(1-G3221)</f>
        <v/>
      </c>
      <c r="I3221">
        <f>XLOOKUP(D3221,Products!$A$2:$A$15,Products!$B$2:$B$15,"Not found")</f>
        <v/>
      </c>
    </row>
    <row r="3222">
      <c r="A3222" t="n">
        <v>107541</v>
      </c>
      <c r="B3222" s="1" t="n">
        <v>45948</v>
      </c>
      <c r="C3222" t="inlineStr">
        <is>
          <t>S01</t>
        </is>
      </c>
      <c r="D3222" t="inlineStr">
        <is>
          <t>P203</t>
        </is>
      </c>
      <c r="E3222" t="n">
        <v>3</v>
      </c>
      <c r="F3222" t="n">
        <v>19.5</v>
      </c>
      <c r="G3222" t="n">
        <v>0.2</v>
      </c>
      <c r="H3222">
        <f>E3222*F3222*(1-G3222)</f>
        <v/>
      </c>
      <c r="I3222">
        <f>XLOOKUP(D3222,Products!$A$2:$A$15,Products!$B$2:$B$15,"Not found")</f>
        <v/>
      </c>
    </row>
    <row r="3223">
      <c r="A3223" t="n">
        <v>107542</v>
      </c>
      <c r="B3223" s="1" t="n">
        <v>45948</v>
      </c>
      <c r="C3223" t="inlineStr">
        <is>
          <t>S01</t>
        </is>
      </c>
      <c r="D3223" t="inlineStr">
        <is>
          <t>P101</t>
        </is>
      </c>
      <c r="E3223" t="n">
        <v>1</v>
      </c>
      <c r="F3223" t="n">
        <v>39</v>
      </c>
      <c r="G3223" t="n">
        <v>0</v>
      </c>
      <c r="H3223">
        <f>E3223*F3223*(1-G3223)</f>
        <v/>
      </c>
      <c r="I3223">
        <f>XLOOKUP(D3223,Products!$A$2:$A$15,Products!$B$2:$B$15,"Not found")</f>
        <v/>
      </c>
    </row>
    <row r="3224">
      <c r="A3224" t="n">
        <v>107543</v>
      </c>
      <c r="B3224" s="1" t="n">
        <v>45948</v>
      </c>
      <c r="C3224" t="inlineStr">
        <is>
          <t>S01</t>
        </is>
      </c>
      <c r="D3224" t="inlineStr">
        <is>
          <t>P101</t>
        </is>
      </c>
      <c r="E3224" t="n">
        <v>2</v>
      </c>
      <c r="F3224" t="n">
        <v>39</v>
      </c>
      <c r="G3224" t="n">
        <v>0.1</v>
      </c>
      <c r="H3224">
        <f>E3224*F3224*(1-G3224)</f>
        <v/>
      </c>
      <c r="I3224">
        <f>XLOOKUP(D3224,Products!$A$2:$A$15,Products!$B$2:$B$15,"Not found")</f>
        <v/>
      </c>
    </row>
    <row r="3225">
      <c r="A3225" t="n">
        <v>107544</v>
      </c>
      <c r="B3225" s="1" t="n">
        <v>45948</v>
      </c>
      <c r="C3225" t="inlineStr">
        <is>
          <t>S02</t>
        </is>
      </c>
      <c r="D3225" t="inlineStr">
        <is>
          <t>P302</t>
        </is>
      </c>
      <c r="E3225" t="n">
        <v>1</v>
      </c>
      <c r="F3225" t="n">
        <v>24</v>
      </c>
      <c r="G3225" t="n">
        <v>0</v>
      </c>
      <c r="H3225">
        <f>E3225*F3225*(1-G3225)</f>
        <v/>
      </c>
      <c r="I3225">
        <f>XLOOKUP(D3225,Products!$A$2:$A$15,Products!$B$2:$B$15,"Not found")</f>
        <v/>
      </c>
    </row>
    <row r="3226">
      <c r="A3226" t="n">
        <v>107545</v>
      </c>
      <c r="B3226" s="1" t="n">
        <v>45948</v>
      </c>
      <c r="C3226" t="inlineStr">
        <is>
          <t>S02</t>
        </is>
      </c>
      <c r="D3226" t="inlineStr">
        <is>
          <t>P101</t>
        </is>
      </c>
      <c r="E3226" t="n">
        <v>1</v>
      </c>
      <c r="F3226" t="n">
        <v>39</v>
      </c>
      <c r="G3226" t="n">
        <v>0</v>
      </c>
      <c r="H3226">
        <f>E3226*F3226*(1-G3226)</f>
        <v/>
      </c>
      <c r="I3226">
        <f>XLOOKUP(D3226,Products!$A$2:$A$15,Products!$B$2:$B$15,"Not found")</f>
        <v/>
      </c>
    </row>
    <row r="3227">
      <c r="A3227" t="n">
        <v>107546</v>
      </c>
      <c r="B3227" s="1" t="n">
        <v>45948</v>
      </c>
      <c r="C3227" t="inlineStr">
        <is>
          <t>S02</t>
        </is>
      </c>
      <c r="D3227" t="inlineStr">
        <is>
          <t>P102</t>
        </is>
      </c>
      <c r="E3227" t="n">
        <v>1</v>
      </c>
      <c r="F3227" t="n">
        <v>14.5</v>
      </c>
      <c r="G3227" t="n">
        <v>0</v>
      </c>
      <c r="H3227">
        <f>E3227*F3227*(1-G3227)</f>
        <v/>
      </c>
      <c r="I3227">
        <f>XLOOKUP(D3227,Products!$A$2:$A$15,Products!$B$2:$B$15,"Not found")</f>
        <v/>
      </c>
    </row>
    <row r="3228">
      <c r="A3228" t="n">
        <v>107547</v>
      </c>
      <c r="B3228" s="1" t="n">
        <v>45948</v>
      </c>
      <c r="C3228" t="inlineStr">
        <is>
          <t>S03</t>
        </is>
      </c>
      <c r="D3228" t="inlineStr">
        <is>
          <t>P203</t>
        </is>
      </c>
      <c r="E3228" t="n">
        <v>3</v>
      </c>
      <c r="F3228" t="n">
        <v>19.5</v>
      </c>
      <c r="G3228" t="n">
        <v>0</v>
      </c>
      <c r="H3228">
        <f>E3228*F3228*(1-G3228)</f>
        <v/>
      </c>
      <c r="I3228">
        <f>XLOOKUP(D3228,Products!$A$2:$A$15,Products!$B$2:$B$15,"Not found")</f>
        <v/>
      </c>
    </row>
    <row r="3229">
      <c r="A3229" t="n">
        <v>107548</v>
      </c>
      <c r="B3229" s="1" t="n">
        <v>45948</v>
      </c>
      <c r="C3229" t="inlineStr">
        <is>
          <t>S03</t>
        </is>
      </c>
      <c r="D3229" t="inlineStr">
        <is>
          <t>P101</t>
        </is>
      </c>
      <c r="E3229" t="n">
        <v>4</v>
      </c>
      <c r="F3229" t="n">
        <v>39</v>
      </c>
      <c r="G3229" t="n">
        <v>0</v>
      </c>
      <c r="H3229">
        <f>E3229*F3229*(1-G3229)</f>
        <v/>
      </c>
      <c r="I3229">
        <f>XLOOKUP(D3229,Products!$A$2:$A$15,Products!$B$2:$B$15,"Not found")</f>
        <v/>
      </c>
    </row>
    <row r="3230">
      <c r="A3230" t="n">
        <v>107549</v>
      </c>
      <c r="B3230" s="1" t="n">
        <v>45948</v>
      </c>
      <c r="C3230" t="inlineStr">
        <is>
          <t>S03</t>
        </is>
      </c>
      <c r="D3230" t="inlineStr">
        <is>
          <t>P203</t>
        </is>
      </c>
      <c r="E3230" t="n">
        <v>1</v>
      </c>
      <c r="F3230" t="n">
        <v>19.5</v>
      </c>
      <c r="G3230" t="n">
        <v>0</v>
      </c>
      <c r="H3230">
        <f>E3230*F3230*(1-G3230)</f>
        <v/>
      </c>
      <c r="I3230">
        <f>XLOOKUP(D3230,Products!$A$2:$A$15,Products!$B$2:$B$15,"Not found")</f>
        <v/>
      </c>
    </row>
    <row r="3231">
      <c r="A3231" t="n">
        <v>107550</v>
      </c>
      <c r="B3231" s="1" t="n">
        <v>45948</v>
      </c>
      <c r="C3231" t="inlineStr">
        <is>
          <t>S03</t>
        </is>
      </c>
      <c r="D3231" t="inlineStr">
        <is>
          <t>P303</t>
        </is>
      </c>
      <c r="E3231" t="n">
        <v>4</v>
      </c>
      <c r="F3231" t="n">
        <v>12</v>
      </c>
      <c r="G3231" t="n">
        <v>0</v>
      </c>
      <c r="H3231">
        <f>E3231*F3231*(1-G3231)</f>
        <v/>
      </c>
      <c r="I3231">
        <f>XLOOKUP(D3231,Products!$A$2:$A$15,Products!$B$2:$B$15,"Not found")</f>
        <v/>
      </c>
    </row>
    <row r="3232">
      <c r="A3232" t="n">
        <v>107551</v>
      </c>
      <c r="B3232" s="1" t="n">
        <v>45948</v>
      </c>
      <c r="C3232" t="inlineStr">
        <is>
          <t>S04</t>
        </is>
      </c>
      <c r="D3232" t="inlineStr">
        <is>
          <t>P301</t>
        </is>
      </c>
      <c r="E3232" t="n">
        <v>1</v>
      </c>
      <c r="F3232" t="n">
        <v>119</v>
      </c>
      <c r="G3232" t="n">
        <v>0.2</v>
      </c>
      <c r="H3232">
        <f>E3232*F3232*(1-G3232)</f>
        <v/>
      </c>
      <c r="I3232">
        <f>XLOOKUP(D3232,Products!$A$2:$A$15,Products!$B$2:$B$15,"Not found")</f>
        <v/>
      </c>
    </row>
    <row r="3233">
      <c r="A3233" t="n">
        <v>107552</v>
      </c>
      <c r="B3233" s="1" t="n">
        <v>45948</v>
      </c>
      <c r="C3233" t="inlineStr">
        <is>
          <t>S04</t>
        </is>
      </c>
      <c r="D3233" t="inlineStr">
        <is>
          <t>P102</t>
        </is>
      </c>
      <c r="E3233" t="n">
        <v>1</v>
      </c>
      <c r="F3233" t="n">
        <v>14.5</v>
      </c>
      <c r="G3233" t="n">
        <v>0</v>
      </c>
      <c r="H3233">
        <f>E3233*F3233*(1-G3233)</f>
        <v/>
      </c>
      <c r="I3233">
        <f>XLOOKUP(D3233,Products!$A$2:$A$15,Products!$B$2:$B$15,"Not found")</f>
        <v/>
      </c>
    </row>
    <row r="3234">
      <c r="A3234" t="n">
        <v>107553</v>
      </c>
      <c r="B3234" s="1" t="n">
        <v>45948</v>
      </c>
      <c r="C3234" t="inlineStr">
        <is>
          <t>S04</t>
        </is>
      </c>
      <c r="D3234" t="inlineStr">
        <is>
          <t>P302</t>
        </is>
      </c>
      <c r="E3234" t="n">
        <v>4</v>
      </c>
      <c r="F3234" t="n">
        <v>24</v>
      </c>
      <c r="G3234" t="n">
        <v>0</v>
      </c>
      <c r="H3234">
        <f>E3234*F3234*(1-G3234)</f>
        <v/>
      </c>
      <c r="I3234">
        <f>XLOOKUP(D3234,Products!$A$2:$A$15,Products!$B$2:$B$15,"Not found")</f>
        <v/>
      </c>
    </row>
    <row r="3235">
      <c r="A3235" t="n">
        <v>107554</v>
      </c>
      <c r="B3235" s="1" t="n">
        <v>45948</v>
      </c>
      <c r="C3235" t="inlineStr">
        <is>
          <t>S05</t>
        </is>
      </c>
      <c r="D3235" t="inlineStr">
        <is>
          <t>P204</t>
        </is>
      </c>
      <c r="E3235" t="n">
        <v>1</v>
      </c>
      <c r="F3235" t="n">
        <v>229</v>
      </c>
      <c r="G3235" t="n">
        <v>0</v>
      </c>
      <c r="H3235">
        <f>E3235*F3235*(1-G3235)</f>
        <v/>
      </c>
      <c r="I3235">
        <f>XLOOKUP(D3235,Products!$A$2:$A$15,Products!$B$2:$B$15,"Not found")</f>
        <v/>
      </c>
    </row>
    <row r="3236">
      <c r="A3236" t="n">
        <v>107555</v>
      </c>
      <c r="B3236" s="1" t="n">
        <v>45948</v>
      </c>
      <c r="C3236" t="inlineStr">
        <is>
          <t>S05</t>
        </is>
      </c>
      <c r="D3236" t="inlineStr">
        <is>
          <t>P301</t>
        </is>
      </c>
      <c r="E3236" t="n">
        <v>1</v>
      </c>
      <c r="F3236" t="n">
        <v>119</v>
      </c>
      <c r="G3236" t="n">
        <v>0.2</v>
      </c>
      <c r="H3236">
        <f>E3236*F3236*(1-G3236)</f>
        <v/>
      </c>
      <c r="I3236">
        <f>XLOOKUP(D3236,Products!$A$2:$A$15,Products!$B$2:$B$15,"Not found")</f>
        <v/>
      </c>
    </row>
    <row r="3237">
      <c r="A3237" t="n">
        <v>107556</v>
      </c>
      <c r="B3237" s="1" t="n">
        <v>45948</v>
      </c>
      <c r="C3237" t="inlineStr">
        <is>
          <t>S05</t>
        </is>
      </c>
      <c r="D3237" t="inlineStr">
        <is>
          <t>P102</t>
        </is>
      </c>
      <c r="E3237" t="n">
        <v>3</v>
      </c>
      <c r="F3237" t="n">
        <v>14.5</v>
      </c>
      <c r="G3237" t="n">
        <v>0</v>
      </c>
      <c r="H3237">
        <f>E3237*F3237*(1-G3237)</f>
        <v/>
      </c>
      <c r="I3237">
        <f>XLOOKUP(D3237,Products!$A$2:$A$15,Products!$B$2:$B$15,"Not found")</f>
        <v/>
      </c>
    </row>
    <row r="3238">
      <c r="A3238" t="n">
        <v>107557</v>
      </c>
      <c r="B3238" s="1" t="n">
        <v>45948</v>
      </c>
      <c r="C3238" t="inlineStr">
        <is>
          <t>S06</t>
        </is>
      </c>
      <c r="D3238" t="inlineStr">
        <is>
          <t>P301</t>
        </is>
      </c>
      <c r="E3238" t="n">
        <v>1</v>
      </c>
      <c r="F3238" t="n">
        <v>119</v>
      </c>
      <c r="G3238" t="n">
        <v>0</v>
      </c>
      <c r="H3238">
        <f>E3238*F3238*(1-G3238)</f>
        <v/>
      </c>
      <c r="I3238">
        <f>XLOOKUP(D3238,Products!$A$2:$A$15,Products!$B$2:$B$15,"Not found")</f>
        <v/>
      </c>
    </row>
    <row r="3239">
      <c r="A3239" t="n">
        <v>107558</v>
      </c>
      <c r="B3239" s="1" t="n">
        <v>45949</v>
      </c>
      <c r="C3239" t="inlineStr">
        <is>
          <t>S01</t>
        </is>
      </c>
      <c r="D3239" t="inlineStr">
        <is>
          <t>P302</t>
        </is>
      </c>
      <c r="E3239" t="n">
        <v>1</v>
      </c>
      <c r="F3239" t="n">
        <v>24</v>
      </c>
      <c r="G3239" t="n">
        <v>0</v>
      </c>
      <c r="H3239">
        <f>E3239*F3239*(1-G3239)</f>
        <v/>
      </c>
      <c r="I3239">
        <f>XLOOKUP(D3239,Products!$A$2:$A$15,Products!$B$2:$B$15,"Not found")</f>
        <v/>
      </c>
    </row>
    <row r="3240">
      <c r="A3240" t="n">
        <v>107559</v>
      </c>
      <c r="B3240" s="1" t="n">
        <v>45949</v>
      </c>
      <c r="C3240" t="inlineStr">
        <is>
          <t>S01</t>
        </is>
      </c>
      <c r="D3240" t="inlineStr">
        <is>
          <t>P103</t>
        </is>
      </c>
      <c r="E3240" t="n">
        <v>2</v>
      </c>
      <c r="F3240" t="n">
        <v>29</v>
      </c>
      <c r="G3240" t="n">
        <v>0.15</v>
      </c>
      <c r="H3240">
        <f>E3240*F3240*(1-G3240)</f>
        <v/>
      </c>
      <c r="I3240">
        <f>XLOOKUP(D3240,Products!$A$2:$A$15,Products!$B$2:$B$15,"Not found")</f>
        <v/>
      </c>
    </row>
    <row r="3241">
      <c r="A3241" t="n">
        <v>107560</v>
      </c>
      <c r="B3241" s="1" t="n">
        <v>45949</v>
      </c>
      <c r="C3241" t="inlineStr">
        <is>
          <t>S01</t>
        </is>
      </c>
      <c r="D3241" t="inlineStr">
        <is>
          <t>P101</t>
        </is>
      </c>
      <c r="E3241" t="n">
        <v>1</v>
      </c>
      <c r="F3241" t="n">
        <v>39</v>
      </c>
      <c r="G3241" t="n">
        <v>0.15</v>
      </c>
      <c r="H3241">
        <f>E3241*F3241*(1-G3241)</f>
        <v/>
      </c>
      <c r="I3241">
        <f>XLOOKUP(D3241,Products!$A$2:$A$15,Products!$B$2:$B$15,"Not found")</f>
        <v/>
      </c>
    </row>
    <row r="3242">
      <c r="A3242" t="n">
        <v>107561</v>
      </c>
      <c r="B3242" s="1" t="n">
        <v>45949</v>
      </c>
      <c r="C3242" t="inlineStr">
        <is>
          <t>S01</t>
        </is>
      </c>
      <c r="D3242" t="inlineStr">
        <is>
          <t>P203</t>
        </is>
      </c>
      <c r="E3242" t="n">
        <v>3</v>
      </c>
      <c r="F3242" t="n">
        <v>19.5</v>
      </c>
      <c r="G3242" t="n">
        <v>0.2</v>
      </c>
      <c r="H3242">
        <f>E3242*F3242*(1-G3242)</f>
        <v/>
      </c>
      <c r="I3242">
        <f>XLOOKUP(D3242,Products!$A$2:$A$15,Products!$B$2:$B$15,"Not found")</f>
        <v/>
      </c>
    </row>
    <row r="3243">
      <c r="A3243" t="n">
        <v>107562</v>
      </c>
      <c r="B3243" s="1" t="n">
        <v>45949</v>
      </c>
      <c r="C3243" t="inlineStr">
        <is>
          <t>S01</t>
        </is>
      </c>
      <c r="D3243" t="inlineStr">
        <is>
          <t>P303</t>
        </is>
      </c>
      <c r="E3243" t="n">
        <v>1</v>
      </c>
      <c r="F3243" t="n">
        <v>12</v>
      </c>
      <c r="G3243" t="n">
        <v>0.1</v>
      </c>
      <c r="H3243">
        <f>E3243*F3243*(1-G3243)</f>
        <v/>
      </c>
      <c r="I3243">
        <f>XLOOKUP(D3243,Products!$A$2:$A$15,Products!$B$2:$B$15,"Not found")</f>
        <v/>
      </c>
    </row>
    <row r="3244">
      <c r="A3244" t="n">
        <v>107563</v>
      </c>
      <c r="B3244" s="1" t="n">
        <v>45949</v>
      </c>
      <c r="C3244" t="inlineStr">
        <is>
          <t>S02</t>
        </is>
      </c>
      <c r="D3244" t="inlineStr">
        <is>
          <t>P102</t>
        </is>
      </c>
      <c r="E3244" t="n">
        <v>1</v>
      </c>
      <c r="F3244" t="n">
        <v>14.5</v>
      </c>
      <c r="G3244" t="n">
        <v>0</v>
      </c>
      <c r="H3244">
        <f>E3244*F3244*(1-G3244)</f>
        <v/>
      </c>
      <c r="I3244">
        <f>XLOOKUP(D3244,Products!$A$2:$A$15,Products!$B$2:$B$15,"Not found")</f>
        <v/>
      </c>
    </row>
    <row r="3245">
      <c r="A3245" t="n">
        <v>107564</v>
      </c>
      <c r="B3245" s="1" t="n">
        <v>45949</v>
      </c>
      <c r="C3245" t="inlineStr">
        <is>
          <t>S02</t>
        </is>
      </c>
      <c r="D3245" t="inlineStr">
        <is>
          <t>P103</t>
        </is>
      </c>
      <c r="E3245" t="n">
        <v>1</v>
      </c>
      <c r="F3245" t="n">
        <v>29</v>
      </c>
      <c r="G3245" t="n">
        <v>0.1</v>
      </c>
      <c r="H3245">
        <f>E3245*F3245*(1-G3245)</f>
        <v/>
      </c>
      <c r="I3245">
        <f>XLOOKUP(D3245,Products!$A$2:$A$15,Products!$B$2:$B$15,"Not found")</f>
        <v/>
      </c>
    </row>
    <row r="3246">
      <c r="A3246" t="n">
        <v>107565</v>
      </c>
      <c r="B3246" s="1" t="n">
        <v>45949</v>
      </c>
      <c r="C3246" t="inlineStr">
        <is>
          <t>S02</t>
        </is>
      </c>
      <c r="D3246" t="inlineStr">
        <is>
          <t>P201</t>
        </is>
      </c>
      <c r="E3246" t="n">
        <v>1</v>
      </c>
      <c r="F3246" t="n">
        <v>149</v>
      </c>
      <c r="G3246" t="n">
        <v>0</v>
      </c>
      <c r="H3246">
        <f>E3246*F3246*(1-G3246)</f>
        <v/>
      </c>
      <c r="I3246">
        <f>XLOOKUP(D3246,Products!$A$2:$A$15,Products!$B$2:$B$15,"Not found")</f>
        <v/>
      </c>
    </row>
    <row r="3247">
      <c r="A3247" t="n">
        <v>107566</v>
      </c>
      <c r="B3247" s="1" t="n">
        <v>45949</v>
      </c>
      <c r="C3247" t="inlineStr">
        <is>
          <t>S02</t>
        </is>
      </c>
      <c r="D3247" t="inlineStr">
        <is>
          <t>P203</t>
        </is>
      </c>
      <c r="E3247" t="n">
        <v>2</v>
      </c>
      <c r="F3247" t="n">
        <v>19.5</v>
      </c>
      <c r="G3247" t="n">
        <v>0</v>
      </c>
      <c r="H3247">
        <f>E3247*F3247*(1-G3247)</f>
        <v/>
      </c>
      <c r="I3247">
        <f>XLOOKUP(D3247,Products!$A$2:$A$15,Products!$B$2:$B$15,"Not found")</f>
        <v/>
      </c>
    </row>
    <row r="3248">
      <c r="A3248" t="n">
        <v>107567</v>
      </c>
      <c r="B3248" s="1" t="n">
        <v>45949</v>
      </c>
      <c r="C3248" t="inlineStr">
        <is>
          <t>S03</t>
        </is>
      </c>
      <c r="D3248" t="inlineStr">
        <is>
          <t>P303</t>
        </is>
      </c>
      <c r="E3248" t="n">
        <v>1</v>
      </c>
      <c r="F3248" t="n">
        <v>12</v>
      </c>
      <c r="G3248" t="n">
        <v>0</v>
      </c>
      <c r="H3248">
        <f>E3248*F3248*(1-G3248)</f>
        <v/>
      </c>
      <c r="I3248">
        <f>XLOOKUP(D3248,Products!$A$2:$A$15,Products!$B$2:$B$15,"Not found")</f>
        <v/>
      </c>
    </row>
    <row r="3249">
      <c r="A3249" t="n">
        <v>107568</v>
      </c>
      <c r="B3249" s="1" t="n">
        <v>45949</v>
      </c>
      <c r="C3249" t="inlineStr">
        <is>
          <t>S03</t>
        </is>
      </c>
      <c r="D3249" t="inlineStr">
        <is>
          <t>P104</t>
        </is>
      </c>
      <c r="E3249" t="n">
        <v>1</v>
      </c>
      <c r="F3249" t="n">
        <v>189</v>
      </c>
      <c r="G3249" t="n">
        <v>0</v>
      </c>
      <c r="H3249">
        <f>E3249*F3249*(1-G3249)</f>
        <v/>
      </c>
      <c r="I3249">
        <f>XLOOKUP(D3249,Products!$A$2:$A$15,Products!$B$2:$B$15,"Not found")</f>
        <v/>
      </c>
    </row>
    <row r="3250">
      <c r="A3250" t="n">
        <v>107569</v>
      </c>
      <c r="B3250" s="1" t="n">
        <v>45949</v>
      </c>
      <c r="C3250" t="inlineStr">
        <is>
          <t>S03</t>
        </is>
      </c>
      <c r="D3250" t="inlineStr">
        <is>
          <t>P203</t>
        </is>
      </c>
      <c r="E3250" t="n">
        <v>1</v>
      </c>
      <c r="F3250" t="n">
        <v>19.5</v>
      </c>
      <c r="G3250" t="n">
        <v>0.1</v>
      </c>
      <c r="H3250">
        <f>E3250*F3250*(1-G3250)</f>
        <v/>
      </c>
      <c r="I3250">
        <f>XLOOKUP(D3250,Products!$A$2:$A$15,Products!$B$2:$B$15,"Not found")</f>
        <v/>
      </c>
    </row>
    <row r="3251">
      <c r="A3251" t="n">
        <v>107570</v>
      </c>
      <c r="B3251" s="1" t="n">
        <v>45949</v>
      </c>
      <c r="C3251" t="inlineStr">
        <is>
          <t>S04</t>
        </is>
      </c>
      <c r="D3251" t="inlineStr">
        <is>
          <t>P103</t>
        </is>
      </c>
      <c r="E3251" t="n">
        <v>1</v>
      </c>
      <c r="F3251" t="n">
        <v>29</v>
      </c>
      <c r="G3251" t="n">
        <v>0</v>
      </c>
      <c r="H3251">
        <f>E3251*F3251*(1-G3251)</f>
        <v/>
      </c>
      <c r="I3251">
        <f>XLOOKUP(D3251,Products!$A$2:$A$15,Products!$B$2:$B$15,"Not found")</f>
        <v/>
      </c>
    </row>
    <row r="3252">
      <c r="A3252" t="n">
        <v>107571</v>
      </c>
      <c r="B3252" s="1" t="n">
        <v>45949</v>
      </c>
      <c r="C3252" t="inlineStr">
        <is>
          <t>S04</t>
        </is>
      </c>
      <c r="D3252" t="inlineStr">
        <is>
          <t>P301</t>
        </is>
      </c>
      <c r="E3252" t="n">
        <v>1</v>
      </c>
      <c r="F3252" t="n">
        <v>119</v>
      </c>
      <c r="G3252" t="n">
        <v>0.1</v>
      </c>
      <c r="H3252">
        <f>E3252*F3252*(1-G3252)</f>
        <v/>
      </c>
      <c r="I3252">
        <f>XLOOKUP(D3252,Products!$A$2:$A$15,Products!$B$2:$B$15,"Not found")</f>
        <v/>
      </c>
    </row>
    <row r="3253">
      <c r="A3253" t="n">
        <v>107572</v>
      </c>
      <c r="B3253" s="1" t="n">
        <v>45949</v>
      </c>
      <c r="C3253" t="inlineStr">
        <is>
          <t>S04</t>
        </is>
      </c>
      <c r="D3253" t="inlineStr">
        <is>
          <t>P101</t>
        </is>
      </c>
      <c r="E3253" t="n">
        <v>1</v>
      </c>
      <c r="F3253" t="n">
        <v>39</v>
      </c>
      <c r="G3253" t="n">
        <v>0.15</v>
      </c>
      <c r="H3253">
        <f>E3253*F3253*(1-G3253)</f>
        <v/>
      </c>
      <c r="I3253">
        <f>XLOOKUP(D3253,Products!$A$2:$A$15,Products!$B$2:$B$15,"Not found")</f>
        <v/>
      </c>
    </row>
    <row r="3254">
      <c r="A3254" t="n">
        <v>107573</v>
      </c>
      <c r="B3254" s="1" t="n">
        <v>45949</v>
      </c>
      <c r="C3254" t="inlineStr">
        <is>
          <t>S04</t>
        </is>
      </c>
      <c r="D3254" t="inlineStr">
        <is>
          <t>P303</t>
        </is>
      </c>
      <c r="E3254" t="n">
        <v>1</v>
      </c>
      <c r="F3254" t="n">
        <v>12</v>
      </c>
      <c r="G3254" t="n">
        <v>0.2</v>
      </c>
      <c r="H3254">
        <f>E3254*F3254*(1-G3254)</f>
        <v/>
      </c>
      <c r="I3254">
        <f>XLOOKUP(D3254,Products!$A$2:$A$15,Products!$B$2:$B$15,"Not found")</f>
        <v/>
      </c>
    </row>
    <row r="3255">
      <c r="A3255" t="n">
        <v>107574</v>
      </c>
      <c r="B3255" s="1" t="n">
        <v>45949</v>
      </c>
      <c r="C3255" t="inlineStr">
        <is>
          <t>S04</t>
        </is>
      </c>
      <c r="D3255" t="inlineStr">
        <is>
          <t>P403</t>
        </is>
      </c>
      <c r="E3255" t="n">
        <v>3</v>
      </c>
      <c r="F3255" t="n">
        <v>89</v>
      </c>
      <c r="G3255" t="n">
        <v>0</v>
      </c>
      <c r="H3255">
        <f>E3255*F3255*(1-G3255)</f>
        <v/>
      </c>
      <c r="I3255">
        <f>XLOOKUP(D3255,Products!$A$2:$A$15,Products!$B$2:$B$15,"Not found")</f>
        <v/>
      </c>
    </row>
    <row r="3256">
      <c r="A3256" t="n">
        <v>107575</v>
      </c>
      <c r="B3256" s="1" t="n">
        <v>45949</v>
      </c>
      <c r="C3256" t="inlineStr">
        <is>
          <t>S04</t>
        </is>
      </c>
      <c r="D3256" t="inlineStr">
        <is>
          <t>P303</t>
        </is>
      </c>
      <c r="E3256" t="n">
        <v>2</v>
      </c>
      <c r="F3256" t="n">
        <v>12</v>
      </c>
      <c r="G3256" t="n">
        <v>0.2</v>
      </c>
      <c r="H3256">
        <f>E3256*F3256*(1-G3256)</f>
        <v/>
      </c>
      <c r="I3256">
        <f>XLOOKUP(D3256,Products!$A$2:$A$15,Products!$B$2:$B$15,"Not found")</f>
        <v/>
      </c>
    </row>
    <row r="3257">
      <c r="A3257" t="n">
        <v>107576</v>
      </c>
      <c r="B3257" s="1" t="n">
        <v>45949</v>
      </c>
      <c r="C3257" t="inlineStr">
        <is>
          <t>S05</t>
        </is>
      </c>
      <c r="D3257" t="inlineStr">
        <is>
          <t>P302</t>
        </is>
      </c>
      <c r="E3257" t="n">
        <v>2</v>
      </c>
      <c r="F3257" t="n">
        <v>24</v>
      </c>
      <c r="G3257" t="n">
        <v>0</v>
      </c>
      <c r="H3257">
        <f>E3257*F3257*(1-G3257)</f>
        <v/>
      </c>
      <c r="I3257">
        <f>XLOOKUP(D3257,Products!$A$2:$A$15,Products!$B$2:$B$15,"Not found")</f>
        <v/>
      </c>
    </row>
    <row r="3258">
      <c r="A3258" t="n">
        <v>107577</v>
      </c>
      <c r="B3258" s="1" t="n">
        <v>45949</v>
      </c>
      <c r="C3258" t="inlineStr">
        <is>
          <t>S05</t>
        </is>
      </c>
      <c r="D3258" t="inlineStr">
        <is>
          <t>P101</t>
        </is>
      </c>
      <c r="E3258" t="n">
        <v>2</v>
      </c>
      <c r="F3258" t="n">
        <v>39</v>
      </c>
      <c r="G3258" t="n">
        <v>0.15</v>
      </c>
      <c r="H3258">
        <f>E3258*F3258*(1-G3258)</f>
        <v/>
      </c>
      <c r="I3258">
        <f>XLOOKUP(D3258,Products!$A$2:$A$15,Products!$B$2:$B$15,"Not found")</f>
        <v/>
      </c>
    </row>
    <row r="3259">
      <c r="A3259" t="n">
        <v>107578</v>
      </c>
      <c r="B3259" s="1" t="n">
        <v>45949</v>
      </c>
      <c r="C3259" t="inlineStr">
        <is>
          <t>S05</t>
        </is>
      </c>
      <c r="D3259" t="inlineStr">
        <is>
          <t>P101</t>
        </is>
      </c>
      <c r="E3259" t="n">
        <v>3</v>
      </c>
      <c r="F3259" t="n">
        <v>39</v>
      </c>
      <c r="G3259" t="n">
        <v>0</v>
      </c>
      <c r="H3259">
        <f>E3259*F3259*(1-G3259)</f>
        <v/>
      </c>
      <c r="I3259">
        <f>XLOOKUP(D3259,Products!$A$2:$A$15,Products!$B$2:$B$15,"Not found")</f>
        <v/>
      </c>
    </row>
    <row r="3260">
      <c r="A3260" t="n">
        <v>107579</v>
      </c>
      <c r="B3260" s="1" t="n">
        <v>45949</v>
      </c>
      <c r="C3260" t="inlineStr">
        <is>
          <t>S05</t>
        </is>
      </c>
      <c r="D3260" t="inlineStr">
        <is>
          <t>P103</t>
        </is>
      </c>
      <c r="E3260" t="n">
        <v>2</v>
      </c>
      <c r="F3260" t="n">
        <v>29</v>
      </c>
      <c r="G3260" t="n">
        <v>0.15</v>
      </c>
      <c r="H3260">
        <f>E3260*F3260*(1-G3260)</f>
        <v/>
      </c>
      <c r="I3260">
        <f>XLOOKUP(D3260,Products!$A$2:$A$15,Products!$B$2:$B$15,"Not found")</f>
        <v/>
      </c>
    </row>
    <row r="3261">
      <c r="A3261" t="n">
        <v>107580</v>
      </c>
      <c r="B3261" s="1" t="n">
        <v>45949</v>
      </c>
      <c r="C3261" t="inlineStr">
        <is>
          <t>S05</t>
        </is>
      </c>
      <c r="D3261" t="inlineStr">
        <is>
          <t>P104</t>
        </is>
      </c>
      <c r="E3261" t="n">
        <v>1</v>
      </c>
      <c r="F3261" t="n">
        <v>189</v>
      </c>
      <c r="G3261" t="n">
        <v>0</v>
      </c>
      <c r="H3261">
        <f>E3261*F3261*(1-G3261)</f>
        <v/>
      </c>
      <c r="I3261">
        <f>XLOOKUP(D3261,Products!$A$2:$A$15,Products!$B$2:$B$15,"Not found")</f>
        <v/>
      </c>
    </row>
    <row r="3262">
      <c r="A3262" t="n">
        <v>107581</v>
      </c>
      <c r="B3262" s="1" t="n">
        <v>45949</v>
      </c>
      <c r="C3262" t="inlineStr">
        <is>
          <t>S05</t>
        </is>
      </c>
      <c r="D3262" t="inlineStr">
        <is>
          <t>P303</t>
        </is>
      </c>
      <c r="E3262" t="n">
        <v>1</v>
      </c>
      <c r="F3262" t="n">
        <v>12</v>
      </c>
      <c r="G3262" t="n">
        <v>0.2</v>
      </c>
      <c r="H3262">
        <f>E3262*F3262*(1-G3262)</f>
        <v/>
      </c>
      <c r="I3262">
        <f>XLOOKUP(D3262,Products!$A$2:$A$15,Products!$B$2:$B$15,"Not found")</f>
        <v/>
      </c>
    </row>
    <row r="3263">
      <c r="A3263" t="n">
        <v>107582</v>
      </c>
      <c r="B3263" s="1" t="n">
        <v>45949</v>
      </c>
      <c r="C3263" t="inlineStr">
        <is>
          <t>S06</t>
        </is>
      </c>
      <c r="D3263" t="inlineStr">
        <is>
          <t>P202</t>
        </is>
      </c>
      <c r="E3263" t="n">
        <v>1</v>
      </c>
      <c r="F3263" t="n">
        <v>79</v>
      </c>
      <c r="G3263" t="n">
        <v>0.15</v>
      </c>
      <c r="H3263">
        <f>E3263*F3263*(1-G3263)</f>
        <v/>
      </c>
      <c r="I3263">
        <f>XLOOKUP(D3263,Products!$A$2:$A$15,Products!$B$2:$B$15,"Not found")</f>
        <v/>
      </c>
    </row>
    <row r="3264">
      <c r="A3264" t="n">
        <v>107583</v>
      </c>
      <c r="B3264" s="1" t="n">
        <v>45950</v>
      </c>
      <c r="C3264" t="inlineStr">
        <is>
          <t>S02</t>
        </is>
      </c>
      <c r="D3264" t="inlineStr">
        <is>
          <t>P303</t>
        </is>
      </c>
      <c r="E3264" t="n">
        <v>2</v>
      </c>
      <c r="F3264" t="n">
        <v>12</v>
      </c>
      <c r="G3264" t="n">
        <v>0</v>
      </c>
      <c r="H3264">
        <f>E3264*F3264*(1-G3264)</f>
        <v/>
      </c>
      <c r="I3264">
        <f>XLOOKUP(D3264,Products!$A$2:$A$15,Products!$B$2:$B$15,"Not found")</f>
        <v/>
      </c>
    </row>
    <row r="3265">
      <c r="A3265" t="n">
        <v>107584</v>
      </c>
      <c r="B3265" s="1" t="n">
        <v>45950</v>
      </c>
      <c r="C3265" t="inlineStr">
        <is>
          <t>S03</t>
        </is>
      </c>
      <c r="D3265" t="inlineStr">
        <is>
          <t>P302</t>
        </is>
      </c>
      <c r="E3265" t="n">
        <v>1</v>
      </c>
      <c r="F3265" t="n">
        <v>24</v>
      </c>
      <c r="G3265" t="n">
        <v>0.15</v>
      </c>
      <c r="H3265">
        <f>E3265*F3265*(1-G3265)</f>
        <v/>
      </c>
      <c r="I3265">
        <f>XLOOKUP(D3265,Products!$A$2:$A$15,Products!$B$2:$B$15,"Not found")</f>
        <v/>
      </c>
    </row>
    <row r="3266">
      <c r="A3266" t="n">
        <v>107585</v>
      </c>
      <c r="B3266" s="1" t="n">
        <v>45950</v>
      </c>
      <c r="C3266" t="inlineStr">
        <is>
          <t>S03</t>
        </is>
      </c>
      <c r="D3266" t="inlineStr">
        <is>
          <t>P302</t>
        </is>
      </c>
      <c r="E3266" t="n">
        <v>1</v>
      </c>
      <c r="F3266" t="n">
        <v>24</v>
      </c>
      <c r="G3266" t="n">
        <v>0</v>
      </c>
      <c r="H3266">
        <f>E3266*F3266*(1-G3266)</f>
        <v/>
      </c>
      <c r="I3266">
        <f>XLOOKUP(D3266,Products!$A$2:$A$15,Products!$B$2:$B$15,"Not found")</f>
        <v/>
      </c>
    </row>
    <row r="3267">
      <c r="A3267" t="n">
        <v>107586</v>
      </c>
      <c r="B3267" s="1" t="n">
        <v>45950</v>
      </c>
      <c r="C3267" t="inlineStr">
        <is>
          <t>S03</t>
        </is>
      </c>
      <c r="D3267" t="inlineStr">
        <is>
          <t>P204</t>
        </is>
      </c>
      <c r="E3267" t="n">
        <v>1</v>
      </c>
      <c r="F3267" t="n">
        <v>229</v>
      </c>
      <c r="G3267" t="n">
        <v>0</v>
      </c>
      <c r="H3267">
        <f>E3267*F3267*(1-G3267)</f>
        <v/>
      </c>
      <c r="I3267">
        <f>XLOOKUP(D3267,Products!$A$2:$A$15,Products!$B$2:$B$15,"Not found")</f>
        <v/>
      </c>
    </row>
    <row r="3268">
      <c r="A3268" t="n">
        <v>107587</v>
      </c>
      <c r="B3268" s="1" t="n">
        <v>45950</v>
      </c>
      <c r="C3268" t="inlineStr">
        <is>
          <t>S03</t>
        </is>
      </c>
      <c r="D3268" t="inlineStr">
        <is>
          <t>P101</t>
        </is>
      </c>
      <c r="E3268" t="n">
        <v>2</v>
      </c>
      <c r="F3268" t="n">
        <v>39</v>
      </c>
      <c r="G3268" t="n">
        <v>0</v>
      </c>
      <c r="H3268">
        <f>E3268*F3268*(1-G3268)</f>
        <v/>
      </c>
      <c r="I3268">
        <f>XLOOKUP(D3268,Products!$A$2:$A$15,Products!$B$2:$B$15,"Not found")</f>
        <v/>
      </c>
    </row>
    <row r="3269">
      <c r="A3269" t="n">
        <v>107588</v>
      </c>
      <c r="B3269" s="1" t="n">
        <v>45950</v>
      </c>
      <c r="C3269" t="inlineStr">
        <is>
          <t>S04</t>
        </is>
      </c>
      <c r="D3269" t="inlineStr">
        <is>
          <t>P303</t>
        </is>
      </c>
      <c r="E3269" t="n">
        <v>1</v>
      </c>
      <c r="F3269" t="n">
        <v>12</v>
      </c>
      <c r="G3269" t="n">
        <v>0</v>
      </c>
      <c r="H3269">
        <f>E3269*F3269*(1-G3269)</f>
        <v/>
      </c>
      <c r="I3269">
        <f>XLOOKUP(D3269,Products!$A$2:$A$15,Products!$B$2:$B$15,"Not found")</f>
        <v/>
      </c>
    </row>
    <row r="3270">
      <c r="A3270" t="n">
        <v>107589</v>
      </c>
      <c r="B3270" s="1" t="n">
        <v>45950</v>
      </c>
      <c r="C3270" t="inlineStr">
        <is>
          <t>S04</t>
        </is>
      </c>
      <c r="D3270" t="inlineStr">
        <is>
          <t>P303</t>
        </is>
      </c>
      <c r="E3270" t="n">
        <v>4</v>
      </c>
      <c r="F3270" t="n">
        <v>12</v>
      </c>
      <c r="G3270" t="n">
        <v>0</v>
      </c>
      <c r="H3270">
        <f>E3270*F3270*(1-G3270)</f>
        <v/>
      </c>
      <c r="I3270">
        <f>XLOOKUP(D3270,Products!$A$2:$A$15,Products!$B$2:$B$15,"Not found")</f>
        <v/>
      </c>
    </row>
    <row r="3271">
      <c r="A3271" t="n">
        <v>107590</v>
      </c>
      <c r="B3271" s="1" t="n">
        <v>45950</v>
      </c>
      <c r="C3271" t="inlineStr">
        <is>
          <t>S04</t>
        </is>
      </c>
      <c r="D3271" t="inlineStr">
        <is>
          <t>P201</t>
        </is>
      </c>
      <c r="E3271" t="n">
        <v>1</v>
      </c>
      <c r="F3271" t="n">
        <v>149</v>
      </c>
      <c r="G3271" t="n">
        <v>0</v>
      </c>
      <c r="H3271">
        <f>E3271*F3271*(1-G3271)</f>
        <v/>
      </c>
      <c r="I3271">
        <f>XLOOKUP(D3271,Products!$A$2:$A$15,Products!$B$2:$B$15,"Not found")</f>
        <v/>
      </c>
    </row>
    <row r="3272">
      <c r="A3272" t="n">
        <v>107591</v>
      </c>
      <c r="B3272" s="1" t="n">
        <v>45950</v>
      </c>
      <c r="C3272" t="inlineStr">
        <is>
          <t>S04</t>
        </is>
      </c>
      <c r="D3272" t="inlineStr">
        <is>
          <t>P303</t>
        </is>
      </c>
      <c r="E3272" t="n">
        <v>2</v>
      </c>
      <c r="F3272" t="n">
        <v>12</v>
      </c>
      <c r="G3272" t="n">
        <v>0</v>
      </c>
      <c r="H3272">
        <f>E3272*F3272*(1-G3272)</f>
        <v/>
      </c>
      <c r="I3272">
        <f>XLOOKUP(D3272,Products!$A$2:$A$15,Products!$B$2:$B$15,"Not found")</f>
        <v/>
      </c>
    </row>
    <row r="3273">
      <c r="A3273" t="n">
        <v>107592</v>
      </c>
      <c r="B3273" s="1" t="n">
        <v>45950</v>
      </c>
      <c r="C3273" t="inlineStr">
        <is>
          <t>S04</t>
        </is>
      </c>
      <c r="D3273" t="inlineStr">
        <is>
          <t>P103</t>
        </is>
      </c>
      <c r="E3273" t="n">
        <v>1</v>
      </c>
      <c r="F3273" t="n">
        <v>29</v>
      </c>
      <c r="G3273" t="n">
        <v>0.15</v>
      </c>
      <c r="H3273">
        <f>E3273*F3273*(1-G3273)</f>
        <v/>
      </c>
      <c r="I3273">
        <f>XLOOKUP(D3273,Products!$A$2:$A$15,Products!$B$2:$B$15,"Not found")</f>
        <v/>
      </c>
    </row>
    <row r="3274">
      <c r="A3274" t="n">
        <v>107593</v>
      </c>
      <c r="B3274" s="1" t="n">
        <v>45950</v>
      </c>
      <c r="C3274" t="inlineStr">
        <is>
          <t>S05</t>
        </is>
      </c>
      <c r="D3274" t="inlineStr">
        <is>
          <t>P203</t>
        </is>
      </c>
      <c r="E3274" t="n">
        <v>3</v>
      </c>
      <c r="F3274" t="n">
        <v>19.5</v>
      </c>
      <c r="G3274" t="n">
        <v>0</v>
      </c>
      <c r="H3274">
        <f>E3274*F3274*(1-G3274)</f>
        <v/>
      </c>
      <c r="I3274">
        <f>XLOOKUP(D3274,Products!$A$2:$A$15,Products!$B$2:$B$15,"Not found")</f>
        <v/>
      </c>
    </row>
    <row r="3275">
      <c r="A3275" t="n">
        <v>107594</v>
      </c>
      <c r="B3275" s="1" t="n">
        <v>45951</v>
      </c>
      <c r="C3275" t="inlineStr">
        <is>
          <t>S01</t>
        </is>
      </c>
      <c r="D3275" t="inlineStr">
        <is>
          <t>P102</t>
        </is>
      </c>
      <c r="E3275" t="n">
        <v>2</v>
      </c>
      <c r="F3275" t="n">
        <v>14.5</v>
      </c>
      <c r="G3275" t="n">
        <v>0.1</v>
      </c>
      <c r="H3275">
        <f>E3275*F3275*(1-G3275)</f>
        <v/>
      </c>
      <c r="I3275">
        <f>XLOOKUP(D3275,Products!$A$2:$A$15,Products!$B$2:$B$15,"Not found")</f>
        <v/>
      </c>
    </row>
    <row r="3276">
      <c r="A3276" t="n">
        <v>107595</v>
      </c>
      <c r="B3276" s="1" t="n">
        <v>45951</v>
      </c>
      <c r="C3276" t="inlineStr">
        <is>
          <t>S02</t>
        </is>
      </c>
      <c r="D3276" t="inlineStr">
        <is>
          <t>P201</t>
        </is>
      </c>
      <c r="E3276" t="n">
        <v>1</v>
      </c>
      <c r="F3276" t="n">
        <v>149</v>
      </c>
      <c r="G3276" t="n">
        <v>0</v>
      </c>
      <c r="H3276">
        <f>E3276*F3276*(1-G3276)</f>
        <v/>
      </c>
      <c r="I3276">
        <f>XLOOKUP(D3276,Products!$A$2:$A$15,Products!$B$2:$B$15,"Not found")</f>
        <v/>
      </c>
    </row>
    <row r="3277">
      <c r="A3277" t="n">
        <v>107596</v>
      </c>
      <c r="B3277" s="1" t="n">
        <v>45951</v>
      </c>
      <c r="C3277" t="inlineStr">
        <is>
          <t>S02</t>
        </is>
      </c>
      <c r="D3277" t="inlineStr">
        <is>
          <t>P201</t>
        </is>
      </c>
      <c r="E3277" t="n">
        <v>1</v>
      </c>
      <c r="F3277" t="n">
        <v>149</v>
      </c>
      <c r="G3277" t="n">
        <v>0.2</v>
      </c>
      <c r="H3277">
        <f>E3277*F3277*(1-G3277)</f>
        <v/>
      </c>
      <c r="I3277">
        <f>XLOOKUP(D3277,Products!$A$2:$A$15,Products!$B$2:$B$15,"Not found")</f>
        <v/>
      </c>
    </row>
    <row r="3278">
      <c r="A3278" t="n">
        <v>107597</v>
      </c>
      <c r="B3278" s="1" t="n">
        <v>45951</v>
      </c>
      <c r="C3278" t="inlineStr">
        <is>
          <t>S02</t>
        </is>
      </c>
      <c r="D3278" t="inlineStr">
        <is>
          <t>P302</t>
        </is>
      </c>
      <c r="E3278" t="n">
        <v>2</v>
      </c>
      <c r="F3278" t="n">
        <v>24</v>
      </c>
      <c r="G3278" t="n">
        <v>0</v>
      </c>
      <c r="H3278">
        <f>E3278*F3278*(1-G3278)</f>
        <v/>
      </c>
      <c r="I3278">
        <f>XLOOKUP(D3278,Products!$A$2:$A$15,Products!$B$2:$B$15,"Not found")</f>
        <v/>
      </c>
    </row>
    <row r="3279">
      <c r="A3279" t="n">
        <v>107598</v>
      </c>
      <c r="B3279" s="1" t="n">
        <v>45951</v>
      </c>
      <c r="C3279" t="inlineStr">
        <is>
          <t>S03</t>
        </is>
      </c>
      <c r="D3279" t="inlineStr">
        <is>
          <t>P103</t>
        </is>
      </c>
      <c r="E3279" t="n">
        <v>3</v>
      </c>
      <c r="F3279" t="n">
        <v>29</v>
      </c>
      <c r="G3279" t="n">
        <v>0</v>
      </c>
      <c r="H3279">
        <f>E3279*F3279*(1-G3279)</f>
        <v/>
      </c>
      <c r="I3279">
        <f>XLOOKUP(D3279,Products!$A$2:$A$15,Products!$B$2:$B$15,"Not found")</f>
        <v/>
      </c>
    </row>
    <row r="3280">
      <c r="A3280" t="n">
        <v>107599</v>
      </c>
      <c r="B3280" s="1" t="n">
        <v>45951</v>
      </c>
      <c r="C3280" t="inlineStr">
        <is>
          <t>S03</t>
        </is>
      </c>
      <c r="D3280" t="inlineStr">
        <is>
          <t>P103</t>
        </is>
      </c>
      <c r="E3280" t="n">
        <v>2</v>
      </c>
      <c r="F3280" t="n">
        <v>29</v>
      </c>
      <c r="G3280" t="n">
        <v>0</v>
      </c>
      <c r="H3280">
        <f>E3280*F3280*(1-G3280)</f>
        <v/>
      </c>
      <c r="I3280">
        <f>XLOOKUP(D3280,Products!$A$2:$A$15,Products!$B$2:$B$15,"Not found")</f>
        <v/>
      </c>
    </row>
    <row r="3281">
      <c r="A3281" t="n">
        <v>107600</v>
      </c>
      <c r="B3281" s="1" t="n">
        <v>45951</v>
      </c>
      <c r="C3281" t="inlineStr">
        <is>
          <t>S04</t>
        </is>
      </c>
      <c r="D3281" t="inlineStr">
        <is>
          <t>P203</t>
        </is>
      </c>
      <c r="E3281" t="n">
        <v>1</v>
      </c>
      <c r="F3281" t="n">
        <v>19.5</v>
      </c>
      <c r="G3281" t="n">
        <v>0</v>
      </c>
      <c r="H3281">
        <f>E3281*F3281*(1-G3281)</f>
        <v/>
      </c>
      <c r="I3281">
        <f>XLOOKUP(D3281,Products!$A$2:$A$15,Products!$B$2:$B$15,"Not found")</f>
        <v/>
      </c>
    </row>
    <row r="3282">
      <c r="A3282" t="n">
        <v>107601</v>
      </c>
      <c r="B3282" s="1" t="n">
        <v>45951</v>
      </c>
      <c r="C3282" t="inlineStr">
        <is>
          <t>S04</t>
        </is>
      </c>
      <c r="D3282" t="inlineStr">
        <is>
          <t>P101</t>
        </is>
      </c>
      <c r="E3282" t="n">
        <v>2</v>
      </c>
      <c r="F3282" t="n">
        <v>39</v>
      </c>
      <c r="G3282" t="n">
        <v>0</v>
      </c>
      <c r="H3282">
        <f>E3282*F3282*(1-G3282)</f>
        <v/>
      </c>
      <c r="I3282">
        <f>XLOOKUP(D3282,Products!$A$2:$A$15,Products!$B$2:$B$15,"Not found")</f>
        <v/>
      </c>
    </row>
    <row r="3283">
      <c r="A3283" t="n">
        <v>107602</v>
      </c>
      <c r="B3283" s="1" t="n">
        <v>45951</v>
      </c>
      <c r="C3283" t="inlineStr">
        <is>
          <t>S05</t>
        </is>
      </c>
      <c r="D3283" t="inlineStr">
        <is>
          <t>P303</t>
        </is>
      </c>
      <c r="E3283" t="n">
        <v>2</v>
      </c>
      <c r="F3283" t="n">
        <v>12</v>
      </c>
      <c r="G3283" t="n">
        <v>0.2</v>
      </c>
      <c r="H3283">
        <f>E3283*F3283*(1-G3283)</f>
        <v/>
      </c>
      <c r="I3283">
        <f>XLOOKUP(D3283,Products!$A$2:$A$15,Products!$B$2:$B$15,"Not found")</f>
        <v/>
      </c>
    </row>
    <row r="3284">
      <c r="A3284" t="n">
        <v>107603</v>
      </c>
      <c r="B3284" s="1" t="n">
        <v>45951</v>
      </c>
      <c r="C3284" t="inlineStr">
        <is>
          <t>S05</t>
        </is>
      </c>
      <c r="D3284" t="inlineStr">
        <is>
          <t>P101</t>
        </is>
      </c>
      <c r="E3284" t="n">
        <v>1</v>
      </c>
      <c r="F3284" t="n">
        <v>39</v>
      </c>
      <c r="G3284" t="n">
        <v>0.1</v>
      </c>
      <c r="H3284">
        <f>E3284*F3284*(1-G3284)</f>
        <v/>
      </c>
      <c r="I3284">
        <f>XLOOKUP(D3284,Products!$A$2:$A$15,Products!$B$2:$B$15,"Not found")</f>
        <v/>
      </c>
    </row>
    <row r="3285">
      <c r="A3285" t="n">
        <v>107604</v>
      </c>
      <c r="B3285" s="1" t="n">
        <v>45952</v>
      </c>
      <c r="C3285" t="inlineStr">
        <is>
          <t>S01</t>
        </is>
      </c>
      <c r="D3285" t="inlineStr">
        <is>
          <t>P303</t>
        </is>
      </c>
      <c r="E3285" t="n">
        <v>2</v>
      </c>
      <c r="F3285" t="n">
        <v>12</v>
      </c>
      <c r="G3285" t="n">
        <v>0</v>
      </c>
      <c r="H3285">
        <f>E3285*F3285*(1-G3285)</f>
        <v/>
      </c>
      <c r="I3285">
        <f>XLOOKUP(D3285,Products!$A$2:$A$15,Products!$B$2:$B$15,"Not found")</f>
        <v/>
      </c>
    </row>
    <row r="3286">
      <c r="A3286" t="n">
        <v>107605</v>
      </c>
      <c r="B3286" s="1" t="n">
        <v>45952</v>
      </c>
      <c r="C3286" t="inlineStr">
        <is>
          <t>S01</t>
        </is>
      </c>
      <c r="D3286" t="inlineStr">
        <is>
          <t>P104</t>
        </is>
      </c>
      <c r="E3286" t="n">
        <v>1</v>
      </c>
      <c r="F3286" t="n">
        <v>189</v>
      </c>
      <c r="G3286" t="n">
        <v>0</v>
      </c>
      <c r="H3286">
        <f>E3286*F3286*(1-G3286)</f>
        <v/>
      </c>
      <c r="I3286">
        <f>XLOOKUP(D3286,Products!$A$2:$A$15,Products!$B$2:$B$15,"Not found")</f>
        <v/>
      </c>
    </row>
    <row r="3287">
      <c r="A3287" t="n">
        <v>107606</v>
      </c>
      <c r="B3287" s="1" t="n">
        <v>45952</v>
      </c>
      <c r="C3287" t="inlineStr">
        <is>
          <t>S01</t>
        </is>
      </c>
      <c r="D3287" t="inlineStr">
        <is>
          <t>P201</t>
        </is>
      </c>
      <c r="E3287" t="n">
        <v>1</v>
      </c>
      <c r="F3287" t="n">
        <v>149</v>
      </c>
      <c r="G3287" t="n">
        <v>0.2</v>
      </c>
      <c r="H3287">
        <f>E3287*F3287*(1-G3287)</f>
        <v/>
      </c>
      <c r="I3287">
        <f>XLOOKUP(D3287,Products!$A$2:$A$15,Products!$B$2:$B$15,"Not found")</f>
        <v/>
      </c>
    </row>
    <row r="3288">
      <c r="A3288" t="n">
        <v>107607</v>
      </c>
      <c r="B3288" s="1" t="n">
        <v>45952</v>
      </c>
      <c r="C3288" t="inlineStr">
        <is>
          <t>S01</t>
        </is>
      </c>
      <c r="D3288" t="inlineStr">
        <is>
          <t>P203</t>
        </is>
      </c>
      <c r="E3288" t="n">
        <v>1</v>
      </c>
      <c r="F3288" t="n">
        <v>19.5</v>
      </c>
      <c r="G3288" t="n">
        <v>0</v>
      </c>
      <c r="H3288">
        <f>E3288*F3288*(1-G3288)</f>
        <v/>
      </c>
      <c r="I3288">
        <f>XLOOKUP(D3288,Products!$A$2:$A$15,Products!$B$2:$B$15,"Not found")</f>
        <v/>
      </c>
    </row>
    <row r="3289">
      <c r="A3289" t="n">
        <v>107608</v>
      </c>
      <c r="B3289" s="1" t="n">
        <v>45952</v>
      </c>
      <c r="C3289" t="inlineStr">
        <is>
          <t>S02</t>
        </is>
      </c>
      <c r="D3289" t="inlineStr">
        <is>
          <t>P401</t>
        </is>
      </c>
      <c r="E3289" t="n">
        <v>1</v>
      </c>
      <c r="F3289" t="n">
        <v>549</v>
      </c>
      <c r="G3289" t="n">
        <v>0</v>
      </c>
      <c r="H3289">
        <f>E3289*F3289*(1-G3289)</f>
        <v/>
      </c>
      <c r="I3289">
        <f>XLOOKUP(D3289,Products!$A$2:$A$15,Products!$B$2:$B$15,"Not found")</f>
        <v/>
      </c>
    </row>
    <row r="3290">
      <c r="A3290" t="n">
        <v>107609</v>
      </c>
      <c r="B3290" s="1" t="n">
        <v>45952</v>
      </c>
      <c r="C3290" t="inlineStr">
        <is>
          <t>S02</t>
        </is>
      </c>
      <c r="D3290" t="inlineStr">
        <is>
          <t>P302</t>
        </is>
      </c>
      <c r="E3290" t="n">
        <v>2</v>
      </c>
      <c r="F3290" t="n">
        <v>24</v>
      </c>
      <c r="G3290" t="n">
        <v>0.1</v>
      </c>
      <c r="H3290">
        <f>E3290*F3290*(1-G3290)</f>
        <v/>
      </c>
      <c r="I3290">
        <f>XLOOKUP(D3290,Products!$A$2:$A$15,Products!$B$2:$B$15,"Not found")</f>
        <v/>
      </c>
    </row>
    <row r="3291">
      <c r="A3291" t="n">
        <v>107610</v>
      </c>
      <c r="B3291" s="1" t="n">
        <v>45952</v>
      </c>
      <c r="C3291" t="inlineStr">
        <is>
          <t>S02</t>
        </is>
      </c>
      <c r="D3291" t="inlineStr">
        <is>
          <t>P203</t>
        </is>
      </c>
      <c r="E3291" t="n">
        <v>2</v>
      </c>
      <c r="F3291" t="n">
        <v>19.5</v>
      </c>
      <c r="G3291" t="n">
        <v>0</v>
      </c>
      <c r="H3291">
        <f>E3291*F3291*(1-G3291)</f>
        <v/>
      </c>
      <c r="I3291">
        <f>XLOOKUP(D3291,Products!$A$2:$A$15,Products!$B$2:$B$15,"Not found")</f>
        <v/>
      </c>
    </row>
    <row r="3292">
      <c r="A3292" t="n">
        <v>107611</v>
      </c>
      <c r="B3292" s="1" t="n">
        <v>45952</v>
      </c>
      <c r="C3292" t="inlineStr">
        <is>
          <t>S03</t>
        </is>
      </c>
      <c r="D3292" t="inlineStr">
        <is>
          <t>P401</t>
        </is>
      </c>
      <c r="E3292" t="n">
        <v>1</v>
      </c>
      <c r="F3292" t="n">
        <v>549</v>
      </c>
      <c r="G3292" t="n">
        <v>0</v>
      </c>
      <c r="H3292">
        <f>E3292*F3292*(1-G3292)</f>
        <v/>
      </c>
      <c r="I3292">
        <f>XLOOKUP(D3292,Products!$A$2:$A$15,Products!$B$2:$B$15,"Not found")</f>
        <v/>
      </c>
    </row>
    <row r="3293">
      <c r="A3293" t="n">
        <v>107612</v>
      </c>
      <c r="B3293" s="1" t="n">
        <v>45952</v>
      </c>
      <c r="C3293" t="inlineStr">
        <is>
          <t>S04</t>
        </is>
      </c>
      <c r="D3293" t="inlineStr">
        <is>
          <t>P301</t>
        </is>
      </c>
      <c r="E3293" t="n">
        <v>1</v>
      </c>
      <c r="F3293" t="n">
        <v>119</v>
      </c>
      <c r="G3293" t="n">
        <v>0.1</v>
      </c>
      <c r="H3293">
        <f>E3293*F3293*(1-G3293)</f>
        <v/>
      </c>
      <c r="I3293">
        <f>XLOOKUP(D3293,Products!$A$2:$A$15,Products!$B$2:$B$15,"Not found")</f>
        <v/>
      </c>
    </row>
    <row r="3294">
      <c r="A3294" t="n">
        <v>107613</v>
      </c>
      <c r="B3294" s="1" t="n">
        <v>45952</v>
      </c>
      <c r="C3294" t="inlineStr">
        <is>
          <t>S04</t>
        </is>
      </c>
      <c r="D3294" t="inlineStr">
        <is>
          <t>P102</t>
        </is>
      </c>
      <c r="E3294" t="n">
        <v>4</v>
      </c>
      <c r="F3294" t="n">
        <v>14.5</v>
      </c>
      <c r="G3294" t="n">
        <v>0.15</v>
      </c>
      <c r="H3294">
        <f>E3294*F3294*(1-G3294)</f>
        <v/>
      </c>
      <c r="I3294">
        <f>XLOOKUP(D3294,Products!$A$2:$A$15,Products!$B$2:$B$15,"Not found")</f>
        <v/>
      </c>
    </row>
    <row r="3295">
      <c r="A3295" t="n">
        <v>107614</v>
      </c>
      <c r="B3295" s="1" t="n">
        <v>45952</v>
      </c>
      <c r="C3295" t="inlineStr">
        <is>
          <t>S04</t>
        </is>
      </c>
      <c r="D3295" t="inlineStr">
        <is>
          <t>P104</t>
        </is>
      </c>
      <c r="E3295" t="n">
        <v>1</v>
      </c>
      <c r="F3295" t="n">
        <v>189</v>
      </c>
      <c r="G3295" t="n">
        <v>0.2</v>
      </c>
      <c r="H3295">
        <f>E3295*F3295*(1-G3295)</f>
        <v/>
      </c>
      <c r="I3295">
        <f>XLOOKUP(D3295,Products!$A$2:$A$15,Products!$B$2:$B$15,"Not found")</f>
        <v/>
      </c>
    </row>
    <row r="3296">
      <c r="A3296" t="n">
        <v>107615</v>
      </c>
      <c r="B3296" s="1" t="n">
        <v>45952</v>
      </c>
      <c r="C3296" t="inlineStr">
        <is>
          <t>S04</t>
        </is>
      </c>
      <c r="D3296" t="inlineStr">
        <is>
          <t>P102</t>
        </is>
      </c>
      <c r="E3296" t="n">
        <v>2</v>
      </c>
      <c r="F3296" t="n">
        <v>14.5</v>
      </c>
      <c r="G3296" t="n">
        <v>0</v>
      </c>
      <c r="H3296">
        <f>E3296*F3296*(1-G3296)</f>
        <v/>
      </c>
      <c r="I3296">
        <f>XLOOKUP(D3296,Products!$A$2:$A$15,Products!$B$2:$B$15,"Not found")</f>
        <v/>
      </c>
    </row>
    <row r="3297">
      <c r="A3297" t="n">
        <v>107616</v>
      </c>
      <c r="B3297" s="1" t="n">
        <v>45952</v>
      </c>
      <c r="C3297" t="inlineStr">
        <is>
          <t>S06</t>
        </is>
      </c>
      <c r="D3297" t="inlineStr">
        <is>
          <t>P403</t>
        </is>
      </c>
      <c r="E3297" t="n">
        <v>1</v>
      </c>
      <c r="F3297" t="n">
        <v>89</v>
      </c>
      <c r="G3297" t="n">
        <v>0.2</v>
      </c>
      <c r="H3297">
        <f>E3297*F3297*(1-G3297)</f>
        <v/>
      </c>
      <c r="I3297">
        <f>XLOOKUP(D3297,Products!$A$2:$A$15,Products!$B$2:$B$15,"Not found")</f>
        <v/>
      </c>
    </row>
    <row r="3298">
      <c r="A3298" t="n">
        <v>107617</v>
      </c>
      <c r="B3298" s="1" t="n">
        <v>45953</v>
      </c>
      <c r="C3298" t="inlineStr">
        <is>
          <t>S01</t>
        </is>
      </c>
      <c r="D3298" t="inlineStr">
        <is>
          <t>P203</t>
        </is>
      </c>
      <c r="E3298" t="n">
        <v>2</v>
      </c>
      <c r="F3298" t="n">
        <v>19.5</v>
      </c>
      <c r="G3298" t="n">
        <v>0</v>
      </c>
      <c r="H3298">
        <f>E3298*F3298*(1-G3298)</f>
        <v/>
      </c>
      <c r="I3298">
        <f>XLOOKUP(D3298,Products!$A$2:$A$15,Products!$B$2:$B$15,"Not found")</f>
        <v/>
      </c>
    </row>
    <row r="3299">
      <c r="A3299" t="n">
        <v>107618</v>
      </c>
      <c r="B3299" s="1" t="n">
        <v>45953</v>
      </c>
      <c r="C3299" t="inlineStr">
        <is>
          <t>S01</t>
        </is>
      </c>
      <c r="D3299" t="inlineStr">
        <is>
          <t>P201</t>
        </is>
      </c>
      <c r="E3299" t="n">
        <v>1</v>
      </c>
      <c r="F3299" t="n">
        <v>149</v>
      </c>
      <c r="G3299" t="n">
        <v>0</v>
      </c>
      <c r="H3299">
        <f>E3299*F3299*(1-G3299)</f>
        <v/>
      </c>
      <c r="I3299">
        <f>XLOOKUP(D3299,Products!$A$2:$A$15,Products!$B$2:$B$15,"Not found")</f>
        <v/>
      </c>
    </row>
    <row r="3300">
      <c r="A3300" t="n">
        <v>107619</v>
      </c>
      <c r="B3300" s="1" t="n">
        <v>45953</v>
      </c>
      <c r="C3300" t="inlineStr">
        <is>
          <t>S01</t>
        </is>
      </c>
      <c r="D3300" t="inlineStr">
        <is>
          <t>P203</t>
        </is>
      </c>
      <c r="E3300" t="n">
        <v>1</v>
      </c>
      <c r="F3300" t="n">
        <v>19.5</v>
      </c>
      <c r="G3300" t="n">
        <v>0.2</v>
      </c>
      <c r="H3300">
        <f>E3300*F3300*(1-G3300)</f>
        <v/>
      </c>
      <c r="I3300">
        <f>XLOOKUP(D3300,Products!$A$2:$A$15,Products!$B$2:$B$15,"Not found")</f>
        <v/>
      </c>
    </row>
    <row r="3301">
      <c r="A3301" t="n">
        <v>107620</v>
      </c>
      <c r="B3301" s="1" t="n">
        <v>45953</v>
      </c>
      <c r="C3301" t="inlineStr">
        <is>
          <t>S02</t>
        </is>
      </c>
      <c r="D3301" t="inlineStr">
        <is>
          <t>P201</t>
        </is>
      </c>
      <c r="E3301" t="n">
        <v>1</v>
      </c>
      <c r="F3301" t="n">
        <v>149</v>
      </c>
      <c r="G3301" t="n">
        <v>0</v>
      </c>
      <c r="H3301">
        <f>E3301*F3301*(1-G3301)</f>
        <v/>
      </c>
      <c r="I3301">
        <f>XLOOKUP(D3301,Products!$A$2:$A$15,Products!$B$2:$B$15,"Not found")</f>
        <v/>
      </c>
    </row>
    <row r="3302">
      <c r="A3302" t="n">
        <v>107621</v>
      </c>
      <c r="B3302" s="1" t="n">
        <v>45953</v>
      </c>
      <c r="C3302" t="inlineStr">
        <is>
          <t>S03</t>
        </is>
      </c>
      <c r="D3302" t="inlineStr">
        <is>
          <t>P302</t>
        </is>
      </c>
      <c r="E3302" t="n">
        <v>4</v>
      </c>
      <c r="F3302" t="n">
        <v>24</v>
      </c>
      <c r="G3302" t="n">
        <v>0.1</v>
      </c>
      <c r="H3302">
        <f>E3302*F3302*(1-G3302)</f>
        <v/>
      </c>
      <c r="I3302">
        <f>XLOOKUP(D3302,Products!$A$2:$A$15,Products!$B$2:$B$15,"Not found")</f>
        <v/>
      </c>
    </row>
    <row r="3303">
      <c r="A3303" t="n">
        <v>107622</v>
      </c>
      <c r="B3303" s="1" t="n">
        <v>45953</v>
      </c>
      <c r="C3303" t="inlineStr">
        <is>
          <t>S03</t>
        </is>
      </c>
      <c r="D3303" t="inlineStr">
        <is>
          <t>P303</t>
        </is>
      </c>
      <c r="E3303" t="n">
        <v>1</v>
      </c>
      <c r="F3303" t="n">
        <v>12</v>
      </c>
      <c r="G3303" t="n">
        <v>0</v>
      </c>
      <c r="H3303">
        <f>E3303*F3303*(1-G3303)</f>
        <v/>
      </c>
      <c r="I3303">
        <f>XLOOKUP(D3303,Products!$A$2:$A$15,Products!$B$2:$B$15,"Not found")</f>
        <v/>
      </c>
    </row>
    <row r="3304">
      <c r="A3304" t="n">
        <v>107623</v>
      </c>
      <c r="B3304" s="1" t="n">
        <v>45953</v>
      </c>
      <c r="C3304" t="inlineStr">
        <is>
          <t>S03</t>
        </is>
      </c>
      <c r="D3304" t="inlineStr">
        <is>
          <t>P102</t>
        </is>
      </c>
      <c r="E3304" t="n">
        <v>1</v>
      </c>
      <c r="F3304" t="n">
        <v>14.5</v>
      </c>
      <c r="G3304" t="n">
        <v>0</v>
      </c>
      <c r="H3304">
        <f>E3304*F3304*(1-G3304)</f>
        <v/>
      </c>
      <c r="I3304">
        <f>XLOOKUP(D3304,Products!$A$2:$A$15,Products!$B$2:$B$15,"Not found")</f>
        <v/>
      </c>
    </row>
    <row r="3305">
      <c r="A3305" t="n">
        <v>107624</v>
      </c>
      <c r="B3305" s="1" t="n">
        <v>45953</v>
      </c>
      <c r="C3305" t="inlineStr">
        <is>
          <t>S03</t>
        </is>
      </c>
      <c r="D3305" t="inlineStr">
        <is>
          <t>P203</t>
        </is>
      </c>
      <c r="E3305" t="n">
        <v>4</v>
      </c>
      <c r="F3305" t="n">
        <v>19.5</v>
      </c>
      <c r="G3305" t="n">
        <v>0.2</v>
      </c>
      <c r="H3305">
        <f>E3305*F3305*(1-G3305)</f>
        <v/>
      </c>
      <c r="I3305">
        <f>XLOOKUP(D3305,Products!$A$2:$A$15,Products!$B$2:$B$15,"Not found")</f>
        <v/>
      </c>
    </row>
    <row r="3306">
      <c r="A3306" t="n">
        <v>107625</v>
      </c>
      <c r="B3306" s="1" t="n">
        <v>45953</v>
      </c>
      <c r="C3306" t="inlineStr">
        <is>
          <t>S03</t>
        </is>
      </c>
      <c r="D3306" t="inlineStr">
        <is>
          <t>P103</t>
        </is>
      </c>
      <c r="E3306" t="n">
        <v>2</v>
      </c>
      <c r="F3306" t="n">
        <v>29</v>
      </c>
      <c r="G3306" t="n">
        <v>0.2</v>
      </c>
      <c r="H3306">
        <f>E3306*F3306*(1-G3306)</f>
        <v/>
      </c>
      <c r="I3306">
        <f>XLOOKUP(D3306,Products!$A$2:$A$15,Products!$B$2:$B$15,"Not found")</f>
        <v/>
      </c>
    </row>
    <row r="3307">
      <c r="A3307" t="n">
        <v>107626</v>
      </c>
      <c r="B3307" s="1" t="n">
        <v>45953</v>
      </c>
      <c r="C3307" t="inlineStr">
        <is>
          <t>S04</t>
        </is>
      </c>
      <c r="D3307" t="inlineStr">
        <is>
          <t>P202</t>
        </is>
      </c>
      <c r="E3307" t="n">
        <v>1</v>
      </c>
      <c r="F3307" t="n">
        <v>79</v>
      </c>
      <c r="G3307" t="n">
        <v>0.2</v>
      </c>
      <c r="H3307">
        <f>E3307*F3307*(1-G3307)</f>
        <v/>
      </c>
      <c r="I3307">
        <f>XLOOKUP(D3307,Products!$A$2:$A$15,Products!$B$2:$B$15,"Not found")</f>
        <v/>
      </c>
    </row>
    <row r="3308">
      <c r="A3308" t="n">
        <v>107627</v>
      </c>
      <c r="B3308" s="1" t="n">
        <v>45953</v>
      </c>
      <c r="C3308" t="inlineStr">
        <is>
          <t>S04</t>
        </is>
      </c>
      <c r="D3308" t="inlineStr">
        <is>
          <t>P203</t>
        </is>
      </c>
      <c r="E3308" t="n">
        <v>2</v>
      </c>
      <c r="F3308" t="n">
        <v>19.5</v>
      </c>
      <c r="G3308" t="n">
        <v>0.15</v>
      </c>
      <c r="H3308">
        <f>E3308*F3308*(1-G3308)</f>
        <v/>
      </c>
      <c r="I3308">
        <f>XLOOKUP(D3308,Products!$A$2:$A$15,Products!$B$2:$B$15,"Not found")</f>
        <v/>
      </c>
    </row>
    <row r="3309">
      <c r="A3309" t="n">
        <v>107628</v>
      </c>
      <c r="B3309" s="1" t="n">
        <v>45953</v>
      </c>
      <c r="C3309" t="inlineStr">
        <is>
          <t>S04</t>
        </is>
      </c>
      <c r="D3309" t="inlineStr">
        <is>
          <t>P301</t>
        </is>
      </c>
      <c r="E3309" t="n">
        <v>1</v>
      </c>
      <c r="F3309" t="n">
        <v>119</v>
      </c>
      <c r="G3309" t="n">
        <v>0.15</v>
      </c>
      <c r="H3309">
        <f>E3309*F3309*(1-G3309)</f>
        <v/>
      </c>
      <c r="I3309">
        <f>XLOOKUP(D3309,Products!$A$2:$A$15,Products!$B$2:$B$15,"Not found")</f>
        <v/>
      </c>
    </row>
    <row r="3310">
      <c r="A3310" t="n">
        <v>107629</v>
      </c>
      <c r="B3310" s="1" t="n">
        <v>45953</v>
      </c>
      <c r="C3310" t="inlineStr">
        <is>
          <t>S05</t>
        </is>
      </c>
      <c r="D3310" t="inlineStr">
        <is>
          <t>P102</t>
        </is>
      </c>
      <c r="E3310" t="n">
        <v>1</v>
      </c>
      <c r="F3310" t="n">
        <v>14.5</v>
      </c>
      <c r="G3310" t="n">
        <v>0</v>
      </c>
      <c r="H3310">
        <f>E3310*F3310*(1-G3310)</f>
        <v/>
      </c>
      <c r="I3310">
        <f>XLOOKUP(D3310,Products!$A$2:$A$15,Products!$B$2:$B$15,"Not found")</f>
        <v/>
      </c>
    </row>
    <row r="3311">
      <c r="A3311" t="n">
        <v>107630</v>
      </c>
      <c r="B3311" s="1" t="n">
        <v>45953</v>
      </c>
      <c r="C3311" t="inlineStr">
        <is>
          <t>S05</t>
        </is>
      </c>
      <c r="D3311" t="inlineStr">
        <is>
          <t>P101</t>
        </is>
      </c>
      <c r="E3311" t="n">
        <v>3</v>
      </c>
      <c r="F3311" t="n">
        <v>39</v>
      </c>
      <c r="G3311" t="n">
        <v>0</v>
      </c>
      <c r="H3311">
        <f>E3311*F3311*(1-G3311)</f>
        <v/>
      </c>
      <c r="I3311">
        <f>XLOOKUP(D3311,Products!$A$2:$A$15,Products!$B$2:$B$15,"Not found")</f>
        <v/>
      </c>
    </row>
    <row r="3312">
      <c r="A3312" t="n">
        <v>107631</v>
      </c>
      <c r="B3312" s="1" t="n">
        <v>45953</v>
      </c>
      <c r="C3312" t="inlineStr">
        <is>
          <t>S06</t>
        </is>
      </c>
      <c r="D3312" t="inlineStr">
        <is>
          <t>P204</t>
        </is>
      </c>
      <c r="E3312" t="n">
        <v>1</v>
      </c>
      <c r="F3312" t="n">
        <v>229</v>
      </c>
      <c r="G3312" t="n">
        <v>0.2</v>
      </c>
      <c r="H3312">
        <f>E3312*F3312*(1-G3312)</f>
        <v/>
      </c>
      <c r="I3312">
        <f>XLOOKUP(D3312,Products!$A$2:$A$15,Products!$B$2:$B$15,"Not found")</f>
        <v/>
      </c>
    </row>
    <row r="3313">
      <c r="A3313" t="n">
        <v>107632</v>
      </c>
      <c r="B3313" s="1" t="n">
        <v>45953</v>
      </c>
      <c r="C3313" t="inlineStr">
        <is>
          <t>S06</t>
        </is>
      </c>
      <c r="D3313" t="inlineStr">
        <is>
          <t>P202</t>
        </is>
      </c>
      <c r="E3313" t="n">
        <v>2</v>
      </c>
      <c r="F3313" t="n">
        <v>79</v>
      </c>
      <c r="G3313" t="n">
        <v>0</v>
      </c>
      <c r="H3313">
        <f>E3313*F3313*(1-G3313)</f>
        <v/>
      </c>
      <c r="I3313">
        <f>XLOOKUP(D3313,Products!$A$2:$A$15,Products!$B$2:$B$15,"Not found")</f>
        <v/>
      </c>
    </row>
    <row r="3314">
      <c r="A3314" t="n">
        <v>107633</v>
      </c>
      <c r="B3314" s="1" t="n">
        <v>45954</v>
      </c>
      <c r="C3314" t="inlineStr">
        <is>
          <t>S01</t>
        </is>
      </c>
      <c r="D3314" t="inlineStr">
        <is>
          <t>P401</t>
        </is>
      </c>
      <c r="E3314" t="n">
        <v>1</v>
      </c>
      <c r="F3314" t="n">
        <v>549</v>
      </c>
      <c r="G3314" t="n">
        <v>0</v>
      </c>
      <c r="H3314">
        <f>E3314*F3314*(1-G3314)</f>
        <v/>
      </c>
      <c r="I3314">
        <f>XLOOKUP(D3314,Products!$A$2:$A$15,Products!$B$2:$B$15,"Not found")</f>
        <v/>
      </c>
    </row>
    <row r="3315">
      <c r="A3315" t="n">
        <v>107634</v>
      </c>
      <c r="B3315" s="1" t="n">
        <v>45954</v>
      </c>
      <c r="C3315" t="inlineStr">
        <is>
          <t>S01</t>
        </is>
      </c>
      <c r="D3315" t="inlineStr">
        <is>
          <t>P303</t>
        </is>
      </c>
      <c r="E3315" t="n">
        <v>1</v>
      </c>
      <c r="F3315" t="n">
        <v>12</v>
      </c>
      <c r="G3315" t="n">
        <v>0</v>
      </c>
      <c r="H3315">
        <f>E3315*F3315*(1-G3315)</f>
        <v/>
      </c>
      <c r="I3315">
        <f>XLOOKUP(D3315,Products!$A$2:$A$15,Products!$B$2:$B$15,"Not found")</f>
        <v/>
      </c>
    </row>
    <row r="3316">
      <c r="A3316" t="n">
        <v>107635</v>
      </c>
      <c r="B3316" s="1" t="n">
        <v>45954</v>
      </c>
      <c r="C3316" t="inlineStr">
        <is>
          <t>S02</t>
        </is>
      </c>
      <c r="D3316" t="inlineStr">
        <is>
          <t>P303</t>
        </is>
      </c>
      <c r="E3316" t="n">
        <v>2</v>
      </c>
      <c r="F3316" t="n">
        <v>12</v>
      </c>
      <c r="G3316" t="n">
        <v>0</v>
      </c>
      <c r="H3316">
        <f>E3316*F3316*(1-G3316)</f>
        <v/>
      </c>
      <c r="I3316">
        <f>XLOOKUP(D3316,Products!$A$2:$A$15,Products!$B$2:$B$15,"Not found")</f>
        <v/>
      </c>
    </row>
    <row r="3317">
      <c r="A3317" t="n">
        <v>107636</v>
      </c>
      <c r="B3317" s="1" t="n">
        <v>45954</v>
      </c>
      <c r="C3317" t="inlineStr">
        <is>
          <t>S03</t>
        </is>
      </c>
      <c r="D3317" t="inlineStr">
        <is>
          <t>P303</t>
        </is>
      </c>
      <c r="E3317" t="n">
        <v>3</v>
      </c>
      <c r="F3317" t="n">
        <v>12</v>
      </c>
      <c r="G3317" t="n">
        <v>0</v>
      </c>
      <c r="H3317">
        <f>E3317*F3317*(1-G3317)</f>
        <v/>
      </c>
      <c r="I3317">
        <f>XLOOKUP(D3317,Products!$A$2:$A$15,Products!$B$2:$B$15,"Not found")</f>
        <v/>
      </c>
    </row>
    <row r="3318">
      <c r="A3318" t="n">
        <v>107637</v>
      </c>
      <c r="B3318" s="1" t="n">
        <v>45954</v>
      </c>
      <c r="C3318" t="inlineStr">
        <is>
          <t>S04</t>
        </is>
      </c>
      <c r="D3318" t="inlineStr">
        <is>
          <t>P403</t>
        </is>
      </c>
      <c r="E3318" t="n">
        <v>2</v>
      </c>
      <c r="F3318" t="n">
        <v>89</v>
      </c>
      <c r="G3318" t="n">
        <v>0</v>
      </c>
      <c r="H3318">
        <f>E3318*F3318*(1-G3318)</f>
        <v/>
      </c>
      <c r="I3318">
        <f>XLOOKUP(D3318,Products!$A$2:$A$15,Products!$B$2:$B$15,"Not found")</f>
        <v/>
      </c>
    </row>
    <row r="3319">
      <c r="A3319" t="n">
        <v>107638</v>
      </c>
      <c r="B3319" s="1" t="n">
        <v>45954</v>
      </c>
      <c r="C3319" t="inlineStr">
        <is>
          <t>S04</t>
        </is>
      </c>
      <c r="D3319" t="inlineStr">
        <is>
          <t>P101</t>
        </is>
      </c>
      <c r="E3319" t="n">
        <v>3</v>
      </c>
      <c r="F3319" t="n">
        <v>39</v>
      </c>
      <c r="G3319" t="n">
        <v>0</v>
      </c>
      <c r="H3319">
        <f>E3319*F3319*(1-G3319)</f>
        <v/>
      </c>
      <c r="I3319">
        <f>XLOOKUP(D3319,Products!$A$2:$A$15,Products!$B$2:$B$15,"Not found")</f>
        <v/>
      </c>
    </row>
    <row r="3320">
      <c r="A3320" t="n">
        <v>107639</v>
      </c>
      <c r="B3320" s="1" t="n">
        <v>45954</v>
      </c>
      <c r="C3320" t="inlineStr">
        <is>
          <t>S04</t>
        </is>
      </c>
      <c r="D3320" t="inlineStr">
        <is>
          <t>P301</t>
        </is>
      </c>
      <c r="E3320" t="n">
        <v>1</v>
      </c>
      <c r="F3320" t="n">
        <v>119</v>
      </c>
      <c r="G3320" t="n">
        <v>0</v>
      </c>
      <c r="H3320">
        <f>E3320*F3320*(1-G3320)</f>
        <v/>
      </c>
      <c r="I3320">
        <f>XLOOKUP(D3320,Products!$A$2:$A$15,Products!$B$2:$B$15,"Not found")</f>
        <v/>
      </c>
    </row>
    <row r="3321">
      <c r="A3321" t="n">
        <v>107640</v>
      </c>
      <c r="B3321" s="1" t="n">
        <v>45954</v>
      </c>
      <c r="C3321" t="inlineStr">
        <is>
          <t>S04</t>
        </is>
      </c>
      <c r="D3321" t="inlineStr">
        <is>
          <t>P302</t>
        </is>
      </c>
      <c r="E3321" t="n">
        <v>4</v>
      </c>
      <c r="F3321" t="n">
        <v>24</v>
      </c>
      <c r="G3321" t="n">
        <v>0</v>
      </c>
      <c r="H3321">
        <f>E3321*F3321*(1-G3321)</f>
        <v/>
      </c>
      <c r="I3321">
        <f>XLOOKUP(D3321,Products!$A$2:$A$15,Products!$B$2:$B$15,"Not found")</f>
        <v/>
      </c>
    </row>
    <row r="3322">
      <c r="A3322" t="n">
        <v>107641</v>
      </c>
      <c r="B3322" s="1" t="n">
        <v>45954</v>
      </c>
      <c r="C3322" t="inlineStr">
        <is>
          <t>S05</t>
        </is>
      </c>
      <c r="D3322" t="inlineStr">
        <is>
          <t>P302</t>
        </is>
      </c>
      <c r="E3322" t="n">
        <v>2</v>
      </c>
      <c r="F3322" t="n">
        <v>24</v>
      </c>
      <c r="G3322" t="n">
        <v>0.1</v>
      </c>
      <c r="H3322">
        <f>E3322*F3322*(1-G3322)</f>
        <v/>
      </c>
      <c r="I3322">
        <f>XLOOKUP(D3322,Products!$A$2:$A$15,Products!$B$2:$B$15,"Not found")</f>
        <v/>
      </c>
    </row>
    <row r="3323">
      <c r="A3323" t="n">
        <v>107642</v>
      </c>
      <c r="B3323" s="1" t="n">
        <v>45954</v>
      </c>
      <c r="C3323" t="inlineStr">
        <is>
          <t>S05</t>
        </is>
      </c>
      <c r="D3323" t="inlineStr">
        <is>
          <t>P202</t>
        </is>
      </c>
      <c r="E3323" t="n">
        <v>2</v>
      </c>
      <c r="F3323" t="n">
        <v>79</v>
      </c>
      <c r="G3323" t="n">
        <v>0.1</v>
      </c>
      <c r="H3323">
        <f>E3323*F3323*(1-G3323)</f>
        <v/>
      </c>
      <c r="I3323">
        <f>XLOOKUP(D3323,Products!$A$2:$A$15,Products!$B$2:$B$15,"Not found")</f>
        <v/>
      </c>
    </row>
    <row r="3324">
      <c r="A3324" t="n">
        <v>107643</v>
      </c>
      <c r="B3324" s="1" t="n">
        <v>45954</v>
      </c>
      <c r="C3324" t="inlineStr">
        <is>
          <t>S06</t>
        </is>
      </c>
      <c r="D3324" t="inlineStr">
        <is>
          <t>P102</t>
        </is>
      </c>
      <c r="E3324" t="n">
        <v>2</v>
      </c>
      <c r="F3324" t="n">
        <v>14.5</v>
      </c>
      <c r="G3324" t="n">
        <v>0.15</v>
      </c>
      <c r="H3324">
        <f>E3324*F3324*(1-G3324)</f>
        <v/>
      </c>
      <c r="I3324">
        <f>XLOOKUP(D3324,Products!$A$2:$A$15,Products!$B$2:$B$15,"Not found")</f>
        <v/>
      </c>
    </row>
    <row r="3325">
      <c r="A3325" t="n">
        <v>107644</v>
      </c>
      <c r="B3325" s="1" t="n">
        <v>45954</v>
      </c>
      <c r="C3325" t="inlineStr">
        <is>
          <t>S06</t>
        </is>
      </c>
      <c r="D3325" t="inlineStr">
        <is>
          <t>P102</t>
        </is>
      </c>
      <c r="E3325" t="n">
        <v>3</v>
      </c>
      <c r="F3325" t="n">
        <v>14.5</v>
      </c>
      <c r="G3325" t="n">
        <v>0.2</v>
      </c>
      <c r="H3325">
        <f>E3325*F3325*(1-G3325)</f>
        <v/>
      </c>
      <c r="I3325">
        <f>XLOOKUP(D3325,Products!$A$2:$A$15,Products!$B$2:$B$15,"Not found")</f>
        <v/>
      </c>
    </row>
    <row r="3326">
      <c r="A3326" t="n">
        <v>107645</v>
      </c>
      <c r="B3326" s="1" t="n">
        <v>45955</v>
      </c>
      <c r="C3326" t="inlineStr">
        <is>
          <t>S01</t>
        </is>
      </c>
      <c r="D3326" t="inlineStr">
        <is>
          <t>P303</t>
        </is>
      </c>
      <c r="E3326" t="n">
        <v>1</v>
      </c>
      <c r="F3326" t="n">
        <v>12</v>
      </c>
      <c r="G3326" t="n">
        <v>0.1</v>
      </c>
      <c r="H3326">
        <f>E3326*F3326*(1-G3326)</f>
        <v/>
      </c>
      <c r="I3326">
        <f>XLOOKUP(D3326,Products!$A$2:$A$15,Products!$B$2:$B$15,"Not found")</f>
        <v/>
      </c>
    </row>
    <row r="3327">
      <c r="A3327" t="n">
        <v>107646</v>
      </c>
      <c r="B3327" s="1" t="n">
        <v>45955</v>
      </c>
      <c r="C3327" t="inlineStr">
        <is>
          <t>S01</t>
        </is>
      </c>
      <c r="D3327" t="inlineStr">
        <is>
          <t>P201</t>
        </is>
      </c>
      <c r="E3327" t="n">
        <v>1</v>
      </c>
      <c r="F3327" t="n">
        <v>149</v>
      </c>
      <c r="G3327" t="n">
        <v>0.1</v>
      </c>
      <c r="H3327">
        <f>E3327*F3327*(1-G3327)</f>
        <v/>
      </c>
      <c r="I3327">
        <f>XLOOKUP(D3327,Products!$A$2:$A$15,Products!$B$2:$B$15,"Not found")</f>
        <v/>
      </c>
    </row>
    <row r="3328">
      <c r="A3328" t="n">
        <v>107647</v>
      </c>
      <c r="B3328" s="1" t="n">
        <v>45955</v>
      </c>
      <c r="C3328" t="inlineStr">
        <is>
          <t>S01</t>
        </is>
      </c>
      <c r="D3328" t="inlineStr">
        <is>
          <t>P303</t>
        </is>
      </c>
      <c r="E3328" t="n">
        <v>1</v>
      </c>
      <c r="F3328" t="n">
        <v>12</v>
      </c>
      <c r="G3328" t="n">
        <v>0</v>
      </c>
      <c r="H3328">
        <f>E3328*F3328*(1-G3328)</f>
        <v/>
      </c>
      <c r="I3328">
        <f>XLOOKUP(D3328,Products!$A$2:$A$15,Products!$B$2:$B$15,"Not found")</f>
        <v/>
      </c>
    </row>
    <row r="3329">
      <c r="A3329" t="n">
        <v>107648</v>
      </c>
      <c r="B3329" s="1" t="n">
        <v>45955</v>
      </c>
      <c r="C3329" t="inlineStr">
        <is>
          <t>S01</t>
        </is>
      </c>
      <c r="D3329" t="inlineStr">
        <is>
          <t>P203</t>
        </is>
      </c>
      <c r="E3329" t="n">
        <v>3</v>
      </c>
      <c r="F3329" t="n">
        <v>19.5</v>
      </c>
      <c r="G3329" t="n">
        <v>0.15</v>
      </c>
      <c r="H3329">
        <f>E3329*F3329*(1-G3329)</f>
        <v/>
      </c>
      <c r="I3329">
        <f>XLOOKUP(D3329,Products!$A$2:$A$15,Products!$B$2:$B$15,"Not found")</f>
        <v/>
      </c>
    </row>
    <row r="3330">
      <c r="A3330" t="n">
        <v>107649</v>
      </c>
      <c r="B3330" s="1" t="n">
        <v>45955</v>
      </c>
      <c r="C3330" t="inlineStr">
        <is>
          <t>S02</t>
        </is>
      </c>
      <c r="D3330" t="inlineStr">
        <is>
          <t>P202</t>
        </is>
      </c>
      <c r="E3330" t="n">
        <v>1</v>
      </c>
      <c r="F3330" t="n">
        <v>79</v>
      </c>
      <c r="G3330" t="n">
        <v>0</v>
      </c>
      <c r="H3330">
        <f>E3330*F3330*(1-G3330)</f>
        <v/>
      </c>
      <c r="I3330">
        <f>XLOOKUP(D3330,Products!$A$2:$A$15,Products!$B$2:$B$15,"Not found")</f>
        <v/>
      </c>
    </row>
    <row r="3331">
      <c r="A3331" t="n">
        <v>107650</v>
      </c>
      <c r="B3331" s="1" t="n">
        <v>45955</v>
      </c>
      <c r="C3331" t="inlineStr">
        <is>
          <t>S02</t>
        </is>
      </c>
      <c r="D3331" t="inlineStr">
        <is>
          <t>P102</t>
        </is>
      </c>
      <c r="E3331" t="n">
        <v>1</v>
      </c>
      <c r="F3331" t="n">
        <v>14.5</v>
      </c>
      <c r="G3331" t="n">
        <v>0</v>
      </c>
      <c r="H3331">
        <f>E3331*F3331*(1-G3331)</f>
        <v/>
      </c>
      <c r="I3331">
        <f>XLOOKUP(D3331,Products!$A$2:$A$15,Products!$B$2:$B$15,"Not found")</f>
        <v/>
      </c>
    </row>
    <row r="3332">
      <c r="A3332" t="n">
        <v>107651</v>
      </c>
      <c r="B3332" s="1" t="n">
        <v>45955</v>
      </c>
      <c r="C3332" t="inlineStr">
        <is>
          <t>S03</t>
        </is>
      </c>
      <c r="D3332" t="inlineStr">
        <is>
          <t>P203</t>
        </is>
      </c>
      <c r="E3332" t="n">
        <v>4</v>
      </c>
      <c r="F3332" t="n">
        <v>19.5</v>
      </c>
      <c r="G3332" t="n">
        <v>0</v>
      </c>
      <c r="H3332">
        <f>E3332*F3332*(1-G3332)</f>
        <v/>
      </c>
      <c r="I3332">
        <f>XLOOKUP(D3332,Products!$A$2:$A$15,Products!$B$2:$B$15,"Not found")</f>
        <v/>
      </c>
    </row>
    <row r="3333">
      <c r="A3333" t="n">
        <v>107652</v>
      </c>
      <c r="B3333" s="1" t="n">
        <v>45955</v>
      </c>
      <c r="C3333" t="inlineStr">
        <is>
          <t>S03</t>
        </is>
      </c>
      <c r="D3333" t="inlineStr">
        <is>
          <t>P201</t>
        </is>
      </c>
      <c r="E3333" t="n">
        <v>1</v>
      </c>
      <c r="F3333" t="n">
        <v>149</v>
      </c>
      <c r="G3333" t="n">
        <v>0</v>
      </c>
      <c r="H3333">
        <f>E3333*F3333*(1-G3333)</f>
        <v/>
      </c>
      <c r="I3333">
        <f>XLOOKUP(D3333,Products!$A$2:$A$15,Products!$B$2:$B$15,"Not found")</f>
        <v/>
      </c>
    </row>
    <row r="3334">
      <c r="A3334" t="n">
        <v>107653</v>
      </c>
      <c r="B3334" s="1" t="n">
        <v>45955</v>
      </c>
      <c r="C3334" t="inlineStr">
        <is>
          <t>S03</t>
        </is>
      </c>
      <c r="D3334" t="inlineStr">
        <is>
          <t>P102</t>
        </is>
      </c>
      <c r="E3334" t="n">
        <v>3</v>
      </c>
      <c r="F3334" t="n">
        <v>14.5</v>
      </c>
      <c r="G3334" t="n">
        <v>0.2</v>
      </c>
      <c r="H3334">
        <f>E3334*F3334*(1-G3334)</f>
        <v/>
      </c>
      <c r="I3334">
        <f>XLOOKUP(D3334,Products!$A$2:$A$15,Products!$B$2:$B$15,"Not found")</f>
        <v/>
      </c>
    </row>
    <row r="3335">
      <c r="A3335" t="n">
        <v>107654</v>
      </c>
      <c r="B3335" s="1" t="n">
        <v>45955</v>
      </c>
      <c r="C3335" t="inlineStr">
        <is>
          <t>S04</t>
        </is>
      </c>
      <c r="D3335" t="inlineStr">
        <is>
          <t>P102</t>
        </is>
      </c>
      <c r="E3335" t="n">
        <v>1</v>
      </c>
      <c r="F3335" t="n">
        <v>14.5</v>
      </c>
      <c r="G3335" t="n">
        <v>0</v>
      </c>
      <c r="H3335">
        <f>E3335*F3335*(1-G3335)</f>
        <v/>
      </c>
      <c r="I3335">
        <f>XLOOKUP(D3335,Products!$A$2:$A$15,Products!$B$2:$B$15,"Not found")</f>
        <v/>
      </c>
    </row>
    <row r="3336">
      <c r="A3336" t="n">
        <v>107655</v>
      </c>
      <c r="B3336" s="1" t="n">
        <v>45955</v>
      </c>
      <c r="C3336" t="inlineStr">
        <is>
          <t>S04</t>
        </is>
      </c>
      <c r="D3336" t="inlineStr">
        <is>
          <t>P201</t>
        </is>
      </c>
      <c r="E3336" t="n">
        <v>1</v>
      </c>
      <c r="F3336" t="n">
        <v>149</v>
      </c>
      <c r="G3336" t="n">
        <v>0</v>
      </c>
      <c r="H3336">
        <f>E3336*F3336*(1-G3336)</f>
        <v/>
      </c>
      <c r="I3336">
        <f>XLOOKUP(D3336,Products!$A$2:$A$15,Products!$B$2:$B$15,"Not found")</f>
        <v/>
      </c>
    </row>
    <row r="3337">
      <c r="A3337" t="n">
        <v>107656</v>
      </c>
      <c r="B3337" s="1" t="n">
        <v>45955</v>
      </c>
      <c r="C3337" t="inlineStr">
        <is>
          <t>S04</t>
        </is>
      </c>
      <c r="D3337" t="inlineStr">
        <is>
          <t>P202</t>
        </is>
      </c>
      <c r="E3337" t="n">
        <v>1</v>
      </c>
      <c r="F3337" t="n">
        <v>79</v>
      </c>
      <c r="G3337" t="n">
        <v>0</v>
      </c>
      <c r="H3337">
        <f>E3337*F3337*(1-G3337)</f>
        <v/>
      </c>
      <c r="I3337">
        <f>XLOOKUP(D3337,Products!$A$2:$A$15,Products!$B$2:$B$15,"Not found")</f>
        <v/>
      </c>
    </row>
    <row r="3338">
      <c r="A3338" t="n">
        <v>107657</v>
      </c>
      <c r="B3338" s="1" t="n">
        <v>45955</v>
      </c>
      <c r="C3338" t="inlineStr">
        <is>
          <t>S04</t>
        </is>
      </c>
      <c r="D3338" t="inlineStr">
        <is>
          <t>P301</t>
        </is>
      </c>
      <c r="E3338" t="n">
        <v>1</v>
      </c>
      <c r="F3338" t="n">
        <v>119</v>
      </c>
      <c r="G3338" t="n">
        <v>0</v>
      </c>
      <c r="H3338">
        <f>E3338*F3338*(1-G3338)</f>
        <v/>
      </c>
      <c r="I3338">
        <f>XLOOKUP(D3338,Products!$A$2:$A$15,Products!$B$2:$B$15,"Not found")</f>
        <v/>
      </c>
    </row>
    <row r="3339">
      <c r="A3339" t="n">
        <v>107658</v>
      </c>
      <c r="B3339" s="1" t="n">
        <v>45955</v>
      </c>
      <c r="C3339" t="inlineStr">
        <is>
          <t>S05</t>
        </is>
      </c>
      <c r="D3339" t="inlineStr">
        <is>
          <t>P203</t>
        </is>
      </c>
      <c r="E3339" t="n">
        <v>3</v>
      </c>
      <c r="F3339" t="n">
        <v>19.5</v>
      </c>
      <c r="G3339" t="n">
        <v>0.2</v>
      </c>
      <c r="H3339">
        <f>E3339*F3339*(1-G3339)</f>
        <v/>
      </c>
      <c r="I3339">
        <f>XLOOKUP(D3339,Products!$A$2:$A$15,Products!$B$2:$B$15,"Not found")</f>
        <v/>
      </c>
    </row>
    <row r="3340">
      <c r="A3340" t="n">
        <v>107659</v>
      </c>
      <c r="B3340" s="1" t="n">
        <v>45955</v>
      </c>
      <c r="C3340" t="inlineStr">
        <is>
          <t>S05</t>
        </is>
      </c>
      <c r="D3340" t="inlineStr">
        <is>
          <t>P101</t>
        </is>
      </c>
      <c r="E3340" t="n">
        <v>1</v>
      </c>
      <c r="F3340" t="n">
        <v>39</v>
      </c>
      <c r="G3340" t="n">
        <v>0.15</v>
      </c>
      <c r="H3340">
        <f>E3340*F3340*(1-G3340)</f>
        <v/>
      </c>
      <c r="I3340">
        <f>XLOOKUP(D3340,Products!$A$2:$A$15,Products!$B$2:$B$15,"Not found")</f>
        <v/>
      </c>
    </row>
    <row r="3341">
      <c r="A3341" t="n">
        <v>107660</v>
      </c>
      <c r="B3341" s="1" t="n">
        <v>45955</v>
      </c>
      <c r="C3341" t="inlineStr">
        <is>
          <t>S05</t>
        </is>
      </c>
      <c r="D3341" t="inlineStr">
        <is>
          <t>P403</t>
        </is>
      </c>
      <c r="E3341" t="n">
        <v>2</v>
      </c>
      <c r="F3341" t="n">
        <v>89</v>
      </c>
      <c r="G3341" t="n">
        <v>0</v>
      </c>
      <c r="H3341">
        <f>E3341*F3341*(1-G3341)</f>
        <v/>
      </c>
      <c r="I3341">
        <f>XLOOKUP(D3341,Products!$A$2:$A$15,Products!$B$2:$B$15,"Not found")</f>
        <v/>
      </c>
    </row>
    <row r="3342">
      <c r="A3342" t="n">
        <v>107661</v>
      </c>
      <c r="B3342" s="1" t="n">
        <v>45955</v>
      </c>
      <c r="C3342" t="inlineStr">
        <is>
          <t>S06</t>
        </is>
      </c>
      <c r="D3342" t="inlineStr">
        <is>
          <t>P203</t>
        </is>
      </c>
      <c r="E3342" t="n">
        <v>2</v>
      </c>
      <c r="F3342" t="n">
        <v>19.5</v>
      </c>
      <c r="G3342" t="n">
        <v>0.15</v>
      </c>
      <c r="H3342">
        <f>E3342*F3342*(1-G3342)</f>
        <v/>
      </c>
      <c r="I3342">
        <f>XLOOKUP(D3342,Products!$A$2:$A$15,Products!$B$2:$B$15,"Not found")</f>
        <v/>
      </c>
    </row>
    <row r="3343">
      <c r="A3343" t="n">
        <v>107662</v>
      </c>
      <c r="B3343" s="1" t="n">
        <v>45955</v>
      </c>
      <c r="C3343" t="inlineStr">
        <is>
          <t>S06</t>
        </is>
      </c>
      <c r="D3343" t="inlineStr">
        <is>
          <t>P202</t>
        </is>
      </c>
      <c r="E3343" t="n">
        <v>4</v>
      </c>
      <c r="F3343" t="n">
        <v>79</v>
      </c>
      <c r="G3343" t="n">
        <v>0.1</v>
      </c>
      <c r="H3343">
        <f>E3343*F3343*(1-G3343)</f>
        <v/>
      </c>
      <c r="I3343">
        <f>XLOOKUP(D3343,Products!$A$2:$A$15,Products!$B$2:$B$15,"Not found")</f>
        <v/>
      </c>
    </row>
    <row r="3344">
      <c r="A3344" t="n">
        <v>107663</v>
      </c>
      <c r="B3344" s="1" t="n">
        <v>45956</v>
      </c>
      <c r="C3344" t="inlineStr">
        <is>
          <t>S01</t>
        </is>
      </c>
      <c r="D3344" t="inlineStr">
        <is>
          <t>P401</t>
        </is>
      </c>
      <c r="E3344" t="n">
        <v>1</v>
      </c>
      <c r="F3344" t="n">
        <v>549</v>
      </c>
      <c r="G3344" t="n">
        <v>0</v>
      </c>
      <c r="H3344">
        <f>E3344*F3344*(1-G3344)</f>
        <v/>
      </c>
      <c r="I3344">
        <f>XLOOKUP(D3344,Products!$A$2:$A$15,Products!$B$2:$B$15,"Not found")</f>
        <v/>
      </c>
    </row>
    <row r="3345">
      <c r="A3345" t="n">
        <v>107664</v>
      </c>
      <c r="B3345" s="1" t="n">
        <v>45956</v>
      </c>
      <c r="C3345" t="inlineStr">
        <is>
          <t>S01</t>
        </is>
      </c>
      <c r="D3345" t="inlineStr">
        <is>
          <t>P102</t>
        </is>
      </c>
      <c r="E3345" t="n">
        <v>2</v>
      </c>
      <c r="F3345" t="n">
        <v>14.5</v>
      </c>
      <c r="G3345" t="n">
        <v>0.15</v>
      </c>
      <c r="H3345">
        <f>E3345*F3345*(1-G3345)</f>
        <v/>
      </c>
      <c r="I3345">
        <f>XLOOKUP(D3345,Products!$A$2:$A$15,Products!$B$2:$B$15,"Not found")</f>
        <v/>
      </c>
    </row>
    <row r="3346">
      <c r="A3346" t="n">
        <v>107665</v>
      </c>
      <c r="B3346" s="1" t="n">
        <v>45956</v>
      </c>
      <c r="C3346" t="inlineStr">
        <is>
          <t>S01</t>
        </is>
      </c>
      <c r="D3346" t="inlineStr">
        <is>
          <t>P302</t>
        </is>
      </c>
      <c r="E3346" t="n">
        <v>1</v>
      </c>
      <c r="F3346" t="n">
        <v>24</v>
      </c>
      <c r="G3346" t="n">
        <v>0.2</v>
      </c>
      <c r="H3346">
        <f>E3346*F3346*(1-G3346)</f>
        <v/>
      </c>
      <c r="I3346">
        <f>XLOOKUP(D3346,Products!$A$2:$A$15,Products!$B$2:$B$15,"Not found")</f>
        <v/>
      </c>
    </row>
    <row r="3347">
      <c r="A3347" t="n">
        <v>107666</v>
      </c>
      <c r="B3347" s="1" t="n">
        <v>45956</v>
      </c>
      <c r="C3347" t="inlineStr">
        <is>
          <t>S01</t>
        </is>
      </c>
      <c r="D3347" t="inlineStr">
        <is>
          <t>P303</t>
        </is>
      </c>
      <c r="E3347" t="n">
        <v>3</v>
      </c>
      <c r="F3347" t="n">
        <v>12</v>
      </c>
      <c r="G3347" t="n">
        <v>0.15</v>
      </c>
      <c r="H3347">
        <f>E3347*F3347*(1-G3347)</f>
        <v/>
      </c>
      <c r="I3347">
        <f>XLOOKUP(D3347,Products!$A$2:$A$15,Products!$B$2:$B$15,"Not found")</f>
        <v/>
      </c>
    </row>
    <row r="3348">
      <c r="A3348" t="n">
        <v>107667</v>
      </c>
      <c r="B3348" s="1" t="n">
        <v>45956</v>
      </c>
      <c r="C3348" t="inlineStr">
        <is>
          <t>S02</t>
        </is>
      </c>
      <c r="D3348" t="inlineStr">
        <is>
          <t>P104</t>
        </is>
      </c>
      <c r="E3348" t="n">
        <v>1</v>
      </c>
      <c r="F3348" t="n">
        <v>189</v>
      </c>
      <c r="G3348" t="n">
        <v>0</v>
      </c>
      <c r="H3348">
        <f>E3348*F3348*(1-G3348)</f>
        <v/>
      </c>
      <c r="I3348">
        <f>XLOOKUP(D3348,Products!$A$2:$A$15,Products!$B$2:$B$15,"Not found")</f>
        <v/>
      </c>
    </row>
    <row r="3349">
      <c r="A3349" t="n">
        <v>107668</v>
      </c>
      <c r="B3349" s="1" t="n">
        <v>45956</v>
      </c>
      <c r="C3349" t="inlineStr">
        <is>
          <t>S02</t>
        </is>
      </c>
      <c r="D3349" t="inlineStr">
        <is>
          <t>P302</t>
        </is>
      </c>
      <c r="E3349" t="n">
        <v>1</v>
      </c>
      <c r="F3349" t="n">
        <v>24</v>
      </c>
      <c r="G3349" t="n">
        <v>0</v>
      </c>
      <c r="H3349">
        <f>E3349*F3349*(1-G3349)</f>
        <v/>
      </c>
      <c r="I3349">
        <f>XLOOKUP(D3349,Products!$A$2:$A$15,Products!$B$2:$B$15,"Not found")</f>
        <v/>
      </c>
    </row>
    <row r="3350">
      <c r="A3350" t="n">
        <v>107669</v>
      </c>
      <c r="B3350" s="1" t="n">
        <v>45956</v>
      </c>
      <c r="C3350" t="inlineStr">
        <is>
          <t>S02</t>
        </is>
      </c>
      <c r="D3350" t="inlineStr">
        <is>
          <t>P104</t>
        </is>
      </c>
      <c r="E3350" t="n">
        <v>1</v>
      </c>
      <c r="F3350" t="n">
        <v>189</v>
      </c>
      <c r="G3350" t="n">
        <v>0.15</v>
      </c>
      <c r="H3350">
        <f>E3350*F3350*(1-G3350)</f>
        <v/>
      </c>
      <c r="I3350">
        <f>XLOOKUP(D3350,Products!$A$2:$A$15,Products!$B$2:$B$15,"Not found")</f>
        <v/>
      </c>
    </row>
    <row r="3351">
      <c r="A3351" t="n">
        <v>107670</v>
      </c>
      <c r="B3351" s="1" t="n">
        <v>45956</v>
      </c>
      <c r="C3351" t="inlineStr">
        <is>
          <t>S02</t>
        </is>
      </c>
      <c r="D3351" t="inlineStr">
        <is>
          <t>P102</t>
        </is>
      </c>
      <c r="E3351" t="n">
        <v>1</v>
      </c>
      <c r="F3351" t="n">
        <v>14.5</v>
      </c>
      <c r="G3351" t="n">
        <v>0</v>
      </c>
      <c r="H3351">
        <f>E3351*F3351*(1-G3351)</f>
        <v/>
      </c>
      <c r="I3351">
        <f>XLOOKUP(D3351,Products!$A$2:$A$15,Products!$B$2:$B$15,"Not found")</f>
        <v/>
      </c>
    </row>
    <row r="3352">
      <c r="A3352" t="n">
        <v>107671</v>
      </c>
      <c r="B3352" s="1" t="n">
        <v>45956</v>
      </c>
      <c r="C3352" t="inlineStr">
        <is>
          <t>S03</t>
        </is>
      </c>
      <c r="D3352" t="inlineStr">
        <is>
          <t>P101</t>
        </is>
      </c>
      <c r="E3352" t="n">
        <v>2</v>
      </c>
      <c r="F3352" t="n">
        <v>39</v>
      </c>
      <c r="G3352" t="n">
        <v>0</v>
      </c>
      <c r="H3352">
        <f>E3352*F3352*(1-G3352)</f>
        <v/>
      </c>
      <c r="I3352">
        <f>XLOOKUP(D3352,Products!$A$2:$A$15,Products!$B$2:$B$15,"Not found")</f>
        <v/>
      </c>
    </row>
    <row r="3353">
      <c r="A3353" t="n">
        <v>107672</v>
      </c>
      <c r="B3353" s="1" t="n">
        <v>45956</v>
      </c>
      <c r="C3353" t="inlineStr">
        <is>
          <t>S04</t>
        </is>
      </c>
      <c r="D3353" t="inlineStr">
        <is>
          <t>P102</t>
        </is>
      </c>
      <c r="E3353" t="n">
        <v>4</v>
      </c>
      <c r="F3353" t="n">
        <v>14.5</v>
      </c>
      <c r="G3353" t="n">
        <v>0</v>
      </c>
      <c r="H3353">
        <f>E3353*F3353*(1-G3353)</f>
        <v/>
      </c>
      <c r="I3353">
        <f>XLOOKUP(D3353,Products!$A$2:$A$15,Products!$B$2:$B$15,"Not found")</f>
        <v/>
      </c>
    </row>
    <row r="3354">
      <c r="A3354" t="n">
        <v>107673</v>
      </c>
      <c r="B3354" s="1" t="n">
        <v>45956</v>
      </c>
      <c r="C3354" t="inlineStr">
        <is>
          <t>S04</t>
        </is>
      </c>
      <c r="D3354" t="inlineStr">
        <is>
          <t>P403</t>
        </is>
      </c>
      <c r="E3354" t="n">
        <v>4</v>
      </c>
      <c r="F3354" t="n">
        <v>89</v>
      </c>
      <c r="G3354" t="n">
        <v>0.15</v>
      </c>
      <c r="H3354">
        <f>E3354*F3354*(1-G3354)</f>
        <v/>
      </c>
      <c r="I3354">
        <f>XLOOKUP(D3354,Products!$A$2:$A$15,Products!$B$2:$B$15,"Not found")</f>
        <v/>
      </c>
    </row>
    <row r="3355">
      <c r="A3355" t="n">
        <v>107674</v>
      </c>
      <c r="B3355" s="1" t="n">
        <v>45956</v>
      </c>
      <c r="C3355" t="inlineStr">
        <is>
          <t>S04</t>
        </is>
      </c>
      <c r="D3355" t="inlineStr">
        <is>
          <t>P102</t>
        </is>
      </c>
      <c r="E3355" t="n">
        <v>2</v>
      </c>
      <c r="F3355" t="n">
        <v>14.5</v>
      </c>
      <c r="G3355" t="n">
        <v>0</v>
      </c>
      <c r="H3355">
        <f>E3355*F3355*(1-G3355)</f>
        <v/>
      </c>
      <c r="I3355">
        <f>XLOOKUP(D3355,Products!$A$2:$A$15,Products!$B$2:$B$15,"Not found")</f>
        <v/>
      </c>
    </row>
    <row r="3356">
      <c r="A3356" t="n">
        <v>107675</v>
      </c>
      <c r="B3356" s="1" t="n">
        <v>45956</v>
      </c>
      <c r="C3356" t="inlineStr">
        <is>
          <t>S04</t>
        </is>
      </c>
      <c r="D3356" t="inlineStr">
        <is>
          <t>P203</t>
        </is>
      </c>
      <c r="E3356" t="n">
        <v>4</v>
      </c>
      <c r="F3356" t="n">
        <v>19.5</v>
      </c>
      <c r="G3356" t="n">
        <v>0.1</v>
      </c>
      <c r="H3356">
        <f>E3356*F3356*(1-G3356)</f>
        <v/>
      </c>
      <c r="I3356">
        <f>XLOOKUP(D3356,Products!$A$2:$A$15,Products!$B$2:$B$15,"Not found")</f>
        <v/>
      </c>
    </row>
    <row r="3357">
      <c r="A3357" t="n">
        <v>107676</v>
      </c>
      <c r="B3357" s="1" t="n">
        <v>45956</v>
      </c>
      <c r="C3357" t="inlineStr">
        <is>
          <t>S04</t>
        </is>
      </c>
      <c r="D3357" t="inlineStr">
        <is>
          <t>P102</t>
        </is>
      </c>
      <c r="E3357" t="n">
        <v>2</v>
      </c>
      <c r="F3357" t="n">
        <v>14.5</v>
      </c>
      <c r="G3357" t="n">
        <v>0</v>
      </c>
      <c r="H3357">
        <f>E3357*F3357*(1-G3357)</f>
        <v/>
      </c>
      <c r="I3357">
        <f>XLOOKUP(D3357,Products!$A$2:$A$15,Products!$B$2:$B$15,"Not found")</f>
        <v/>
      </c>
    </row>
    <row r="3358">
      <c r="A3358" t="n">
        <v>107677</v>
      </c>
      <c r="B3358" s="1" t="n">
        <v>45956</v>
      </c>
      <c r="C3358" t="inlineStr">
        <is>
          <t>S04</t>
        </is>
      </c>
      <c r="D3358" t="inlineStr">
        <is>
          <t>P102</t>
        </is>
      </c>
      <c r="E3358" t="n">
        <v>2</v>
      </c>
      <c r="F3358" t="n">
        <v>14.5</v>
      </c>
      <c r="G3358" t="n">
        <v>0.2</v>
      </c>
      <c r="H3358">
        <f>E3358*F3358*(1-G3358)</f>
        <v/>
      </c>
      <c r="I3358">
        <f>XLOOKUP(D3358,Products!$A$2:$A$15,Products!$B$2:$B$15,"Not found")</f>
        <v/>
      </c>
    </row>
    <row r="3359">
      <c r="A3359" t="n">
        <v>107678</v>
      </c>
      <c r="B3359" s="1" t="n">
        <v>45956</v>
      </c>
      <c r="C3359" t="inlineStr">
        <is>
          <t>S05</t>
        </is>
      </c>
      <c r="D3359" t="inlineStr">
        <is>
          <t>P301</t>
        </is>
      </c>
      <c r="E3359" t="n">
        <v>1</v>
      </c>
      <c r="F3359" t="n">
        <v>119</v>
      </c>
      <c r="G3359" t="n">
        <v>0.15</v>
      </c>
      <c r="H3359">
        <f>E3359*F3359*(1-G3359)</f>
        <v/>
      </c>
      <c r="I3359">
        <f>XLOOKUP(D3359,Products!$A$2:$A$15,Products!$B$2:$B$15,"Not found")</f>
        <v/>
      </c>
    </row>
    <row r="3360">
      <c r="A3360" t="n">
        <v>107679</v>
      </c>
      <c r="B3360" s="1" t="n">
        <v>45956</v>
      </c>
      <c r="C3360" t="inlineStr">
        <is>
          <t>S05</t>
        </is>
      </c>
      <c r="D3360" t="inlineStr">
        <is>
          <t>P202</t>
        </is>
      </c>
      <c r="E3360" t="n">
        <v>2</v>
      </c>
      <c r="F3360" t="n">
        <v>79</v>
      </c>
      <c r="G3360" t="n">
        <v>0</v>
      </c>
      <c r="H3360">
        <f>E3360*F3360*(1-G3360)</f>
        <v/>
      </c>
      <c r="I3360">
        <f>XLOOKUP(D3360,Products!$A$2:$A$15,Products!$B$2:$B$15,"Not found")</f>
        <v/>
      </c>
    </row>
    <row r="3361">
      <c r="A3361" t="n">
        <v>107680</v>
      </c>
      <c r="B3361" s="1" t="n">
        <v>45956</v>
      </c>
      <c r="C3361" t="inlineStr">
        <is>
          <t>S05</t>
        </is>
      </c>
      <c r="D3361" t="inlineStr">
        <is>
          <t>P204</t>
        </is>
      </c>
      <c r="E3361" t="n">
        <v>1</v>
      </c>
      <c r="F3361" t="n">
        <v>229</v>
      </c>
      <c r="G3361" t="n">
        <v>0</v>
      </c>
      <c r="H3361">
        <f>E3361*F3361*(1-G3361)</f>
        <v/>
      </c>
      <c r="I3361">
        <f>XLOOKUP(D3361,Products!$A$2:$A$15,Products!$B$2:$B$15,"Not found")</f>
        <v/>
      </c>
    </row>
    <row r="3362">
      <c r="A3362" t="n">
        <v>107681</v>
      </c>
      <c r="B3362" s="1" t="n">
        <v>45956</v>
      </c>
      <c r="C3362" t="inlineStr">
        <is>
          <t>S05</t>
        </is>
      </c>
      <c r="D3362" t="inlineStr">
        <is>
          <t>P102</t>
        </is>
      </c>
      <c r="E3362" t="n">
        <v>2</v>
      </c>
      <c r="F3362" t="n">
        <v>14.5</v>
      </c>
      <c r="G3362" t="n">
        <v>0</v>
      </c>
      <c r="H3362">
        <f>E3362*F3362*(1-G3362)</f>
        <v/>
      </c>
      <c r="I3362">
        <f>XLOOKUP(D3362,Products!$A$2:$A$15,Products!$B$2:$B$15,"Not found")</f>
        <v/>
      </c>
    </row>
    <row r="3363">
      <c r="A3363" t="n">
        <v>107682</v>
      </c>
      <c r="B3363" s="1" t="n">
        <v>45956</v>
      </c>
      <c r="C3363" t="inlineStr">
        <is>
          <t>S06</t>
        </is>
      </c>
      <c r="D3363" t="inlineStr">
        <is>
          <t>P101</t>
        </is>
      </c>
      <c r="E3363" t="n">
        <v>2</v>
      </c>
      <c r="F3363" t="n">
        <v>39</v>
      </c>
      <c r="G3363" t="n">
        <v>0.2</v>
      </c>
      <c r="H3363">
        <f>E3363*F3363*(1-G3363)</f>
        <v/>
      </c>
      <c r="I3363">
        <f>XLOOKUP(D3363,Products!$A$2:$A$15,Products!$B$2:$B$15,"Not found")</f>
        <v/>
      </c>
    </row>
    <row r="3364">
      <c r="A3364" t="n">
        <v>107683</v>
      </c>
      <c r="B3364" s="1" t="n">
        <v>45956</v>
      </c>
      <c r="C3364" t="inlineStr">
        <is>
          <t>S06</t>
        </is>
      </c>
      <c r="D3364" t="inlineStr">
        <is>
          <t>P401</t>
        </is>
      </c>
      <c r="E3364" t="n">
        <v>1</v>
      </c>
      <c r="F3364" t="n">
        <v>549</v>
      </c>
      <c r="G3364" t="n">
        <v>0.2</v>
      </c>
      <c r="H3364">
        <f>E3364*F3364*(1-G3364)</f>
        <v/>
      </c>
      <c r="I3364">
        <f>XLOOKUP(D3364,Products!$A$2:$A$15,Products!$B$2:$B$15,"Not found")</f>
        <v/>
      </c>
    </row>
    <row r="3365">
      <c r="A3365" t="n">
        <v>107684</v>
      </c>
      <c r="B3365" s="1" t="n">
        <v>45957</v>
      </c>
      <c r="C3365" t="inlineStr">
        <is>
          <t>S01</t>
        </is>
      </c>
      <c r="D3365" t="inlineStr">
        <is>
          <t>P203</t>
        </is>
      </c>
      <c r="E3365" t="n">
        <v>2</v>
      </c>
      <c r="F3365" t="n">
        <v>19.5</v>
      </c>
      <c r="G3365" t="n">
        <v>0.2</v>
      </c>
      <c r="H3365">
        <f>E3365*F3365*(1-G3365)</f>
        <v/>
      </c>
      <c r="I3365">
        <f>XLOOKUP(D3365,Products!$A$2:$A$15,Products!$B$2:$B$15,"Not found")</f>
        <v/>
      </c>
    </row>
    <row r="3366">
      <c r="A3366" t="n">
        <v>107685</v>
      </c>
      <c r="B3366" s="1" t="n">
        <v>45957</v>
      </c>
      <c r="C3366" t="inlineStr">
        <is>
          <t>S01</t>
        </is>
      </c>
      <c r="D3366" t="inlineStr">
        <is>
          <t>P203</t>
        </is>
      </c>
      <c r="E3366" t="n">
        <v>4</v>
      </c>
      <c r="F3366" t="n">
        <v>19.5</v>
      </c>
      <c r="G3366" t="n">
        <v>0</v>
      </c>
      <c r="H3366">
        <f>E3366*F3366*(1-G3366)</f>
        <v/>
      </c>
      <c r="I3366">
        <f>XLOOKUP(D3366,Products!$A$2:$A$15,Products!$B$2:$B$15,"Not found")</f>
        <v/>
      </c>
    </row>
    <row r="3367">
      <c r="A3367" t="n">
        <v>107686</v>
      </c>
      <c r="B3367" s="1" t="n">
        <v>45957</v>
      </c>
      <c r="C3367" t="inlineStr">
        <is>
          <t>S02</t>
        </is>
      </c>
      <c r="D3367" t="inlineStr">
        <is>
          <t>P302</t>
        </is>
      </c>
      <c r="E3367" t="n">
        <v>3</v>
      </c>
      <c r="F3367" t="n">
        <v>24</v>
      </c>
      <c r="G3367" t="n">
        <v>0</v>
      </c>
      <c r="H3367">
        <f>E3367*F3367*(1-G3367)</f>
        <v/>
      </c>
      <c r="I3367">
        <f>XLOOKUP(D3367,Products!$A$2:$A$15,Products!$B$2:$B$15,"Not found")</f>
        <v/>
      </c>
    </row>
    <row r="3368">
      <c r="A3368" t="n">
        <v>107687</v>
      </c>
      <c r="B3368" s="1" t="n">
        <v>45957</v>
      </c>
      <c r="C3368" t="inlineStr">
        <is>
          <t>S02</t>
        </is>
      </c>
      <c r="D3368" t="inlineStr">
        <is>
          <t>P102</t>
        </is>
      </c>
      <c r="E3368" t="n">
        <v>1</v>
      </c>
      <c r="F3368" t="n">
        <v>14.5</v>
      </c>
      <c r="G3368" t="n">
        <v>0</v>
      </c>
      <c r="H3368">
        <f>E3368*F3368*(1-G3368)</f>
        <v/>
      </c>
      <c r="I3368">
        <f>XLOOKUP(D3368,Products!$A$2:$A$15,Products!$B$2:$B$15,"Not found")</f>
        <v/>
      </c>
    </row>
    <row r="3369">
      <c r="A3369" t="n">
        <v>107688</v>
      </c>
      <c r="B3369" s="1" t="n">
        <v>45957</v>
      </c>
      <c r="C3369" t="inlineStr">
        <is>
          <t>S03</t>
        </is>
      </c>
      <c r="D3369" t="inlineStr">
        <is>
          <t>P203</t>
        </is>
      </c>
      <c r="E3369" t="n">
        <v>1</v>
      </c>
      <c r="F3369" t="n">
        <v>19.5</v>
      </c>
      <c r="G3369" t="n">
        <v>0.1</v>
      </c>
      <c r="H3369">
        <f>E3369*F3369*(1-G3369)</f>
        <v/>
      </c>
      <c r="I3369">
        <f>XLOOKUP(D3369,Products!$A$2:$A$15,Products!$B$2:$B$15,"Not found")</f>
        <v/>
      </c>
    </row>
    <row r="3370">
      <c r="A3370" t="n">
        <v>107689</v>
      </c>
      <c r="B3370" s="1" t="n">
        <v>45957</v>
      </c>
      <c r="C3370" t="inlineStr">
        <is>
          <t>S03</t>
        </is>
      </c>
      <c r="D3370" t="inlineStr">
        <is>
          <t>P202</t>
        </is>
      </c>
      <c r="E3370" t="n">
        <v>1</v>
      </c>
      <c r="F3370" t="n">
        <v>79</v>
      </c>
      <c r="G3370" t="n">
        <v>0.15</v>
      </c>
      <c r="H3370">
        <f>E3370*F3370*(1-G3370)</f>
        <v/>
      </c>
      <c r="I3370">
        <f>XLOOKUP(D3370,Products!$A$2:$A$15,Products!$B$2:$B$15,"Not found")</f>
        <v/>
      </c>
    </row>
    <row r="3371">
      <c r="A3371" t="n">
        <v>107690</v>
      </c>
      <c r="B3371" s="1" t="n">
        <v>45957</v>
      </c>
      <c r="C3371" t="inlineStr">
        <is>
          <t>S03</t>
        </is>
      </c>
      <c r="D3371" t="inlineStr">
        <is>
          <t>P201</t>
        </is>
      </c>
      <c r="E3371" t="n">
        <v>1</v>
      </c>
      <c r="F3371" t="n">
        <v>149</v>
      </c>
      <c r="G3371" t="n">
        <v>0</v>
      </c>
      <c r="H3371">
        <f>E3371*F3371*(1-G3371)</f>
        <v/>
      </c>
      <c r="I3371">
        <f>XLOOKUP(D3371,Products!$A$2:$A$15,Products!$B$2:$B$15,"Not found")</f>
        <v/>
      </c>
    </row>
    <row r="3372">
      <c r="A3372" t="n">
        <v>107691</v>
      </c>
      <c r="B3372" s="1" t="n">
        <v>45957</v>
      </c>
      <c r="C3372" t="inlineStr">
        <is>
          <t>S04</t>
        </is>
      </c>
      <c r="D3372" t="inlineStr">
        <is>
          <t>P301</t>
        </is>
      </c>
      <c r="E3372" t="n">
        <v>1</v>
      </c>
      <c r="F3372" t="n">
        <v>119</v>
      </c>
      <c r="G3372" t="n">
        <v>0</v>
      </c>
      <c r="H3372">
        <f>E3372*F3372*(1-G3372)</f>
        <v/>
      </c>
      <c r="I3372">
        <f>XLOOKUP(D3372,Products!$A$2:$A$15,Products!$B$2:$B$15,"Not found")</f>
        <v/>
      </c>
    </row>
    <row r="3373">
      <c r="A3373" t="n">
        <v>107692</v>
      </c>
      <c r="B3373" s="1" t="n">
        <v>45957</v>
      </c>
      <c r="C3373" t="inlineStr">
        <is>
          <t>S04</t>
        </is>
      </c>
      <c r="D3373" t="inlineStr">
        <is>
          <t>P101</t>
        </is>
      </c>
      <c r="E3373" t="n">
        <v>2</v>
      </c>
      <c r="F3373" t="n">
        <v>39</v>
      </c>
      <c r="G3373" t="n">
        <v>0</v>
      </c>
      <c r="H3373">
        <f>E3373*F3373*(1-G3373)</f>
        <v/>
      </c>
      <c r="I3373">
        <f>XLOOKUP(D3373,Products!$A$2:$A$15,Products!$B$2:$B$15,"Not found")</f>
        <v/>
      </c>
    </row>
    <row r="3374">
      <c r="A3374" t="n">
        <v>107693</v>
      </c>
      <c r="B3374" s="1" t="n">
        <v>45957</v>
      </c>
      <c r="C3374" t="inlineStr">
        <is>
          <t>S05</t>
        </is>
      </c>
      <c r="D3374" t="inlineStr">
        <is>
          <t>P202</t>
        </is>
      </c>
      <c r="E3374" t="n">
        <v>1</v>
      </c>
      <c r="F3374" t="n">
        <v>79</v>
      </c>
      <c r="G3374" t="n">
        <v>0</v>
      </c>
      <c r="H3374">
        <f>E3374*F3374*(1-G3374)</f>
        <v/>
      </c>
      <c r="I3374">
        <f>XLOOKUP(D3374,Products!$A$2:$A$15,Products!$B$2:$B$15,"Not found")</f>
        <v/>
      </c>
    </row>
    <row r="3375">
      <c r="A3375" t="n">
        <v>107694</v>
      </c>
      <c r="B3375" s="1" t="n">
        <v>45957</v>
      </c>
      <c r="C3375" t="inlineStr">
        <is>
          <t>S06</t>
        </is>
      </c>
      <c r="D3375" t="inlineStr">
        <is>
          <t>P101</t>
        </is>
      </c>
      <c r="E3375" t="n">
        <v>1</v>
      </c>
      <c r="F3375" t="n">
        <v>39</v>
      </c>
      <c r="G3375" t="n">
        <v>0.15</v>
      </c>
      <c r="H3375">
        <f>E3375*F3375*(1-G3375)</f>
        <v/>
      </c>
      <c r="I3375">
        <f>XLOOKUP(D3375,Products!$A$2:$A$15,Products!$B$2:$B$15,"Not found")</f>
        <v/>
      </c>
    </row>
    <row r="3376">
      <c r="A3376" t="n">
        <v>107695</v>
      </c>
      <c r="B3376" s="1" t="n">
        <v>45957</v>
      </c>
      <c r="C3376" t="inlineStr">
        <is>
          <t>S06</t>
        </is>
      </c>
      <c r="D3376" t="inlineStr">
        <is>
          <t>P101</t>
        </is>
      </c>
      <c r="E3376" t="n">
        <v>1</v>
      </c>
      <c r="F3376" t="n">
        <v>39</v>
      </c>
      <c r="G3376" t="n">
        <v>0.2</v>
      </c>
      <c r="H3376">
        <f>E3376*F3376*(1-G3376)</f>
        <v/>
      </c>
      <c r="I3376">
        <f>XLOOKUP(D3376,Products!$A$2:$A$15,Products!$B$2:$B$15,"Not found")</f>
        <v/>
      </c>
    </row>
    <row r="3377">
      <c r="A3377" t="n">
        <v>107696</v>
      </c>
      <c r="B3377" s="1" t="n">
        <v>45957</v>
      </c>
      <c r="C3377" t="inlineStr">
        <is>
          <t>S06</t>
        </is>
      </c>
      <c r="D3377" t="inlineStr">
        <is>
          <t>P301</t>
        </is>
      </c>
      <c r="E3377" t="n">
        <v>1</v>
      </c>
      <c r="F3377" t="n">
        <v>119</v>
      </c>
      <c r="G3377" t="n">
        <v>0.1</v>
      </c>
      <c r="H3377">
        <f>E3377*F3377*(1-G3377)</f>
        <v/>
      </c>
      <c r="I3377">
        <f>XLOOKUP(D3377,Products!$A$2:$A$15,Products!$B$2:$B$15,"Not found")</f>
        <v/>
      </c>
    </row>
    <row r="3378">
      <c r="A3378" t="n">
        <v>107697</v>
      </c>
      <c r="B3378" s="1" t="n">
        <v>45957</v>
      </c>
      <c r="C3378" t="inlineStr">
        <is>
          <t>S06</t>
        </is>
      </c>
      <c r="D3378" t="inlineStr">
        <is>
          <t>P201</t>
        </is>
      </c>
      <c r="E3378" t="n">
        <v>1</v>
      </c>
      <c r="F3378" t="n">
        <v>149</v>
      </c>
      <c r="G3378" t="n">
        <v>0</v>
      </c>
      <c r="H3378">
        <f>E3378*F3378*(1-G3378)</f>
        <v/>
      </c>
      <c r="I3378">
        <f>XLOOKUP(D3378,Products!$A$2:$A$15,Products!$B$2:$B$15,"Not found")</f>
        <v/>
      </c>
    </row>
    <row r="3379">
      <c r="A3379" t="n">
        <v>107698</v>
      </c>
      <c r="B3379" s="1" t="n">
        <v>45958</v>
      </c>
      <c r="C3379" t="inlineStr">
        <is>
          <t>S01</t>
        </is>
      </c>
      <c r="D3379" t="inlineStr">
        <is>
          <t>P103</t>
        </is>
      </c>
      <c r="E3379" t="n">
        <v>3</v>
      </c>
      <c r="F3379" t="n">
        <v>29</v>
      </c>
      <c r="G3379" t="n">
        <v>0</v>
      </c>
      <c r="H3379">
        <f>E3379*F3379*(1-G3379)</f>
        <v/>
      </c>
      <c r="I3379">
        <f>XLOOKUP(D3379,Products!$A$2:$A$15,Products!$B$2:$B$15,"Not found")</f>
        <v/>
      </c>
    </row>
    <row r="3380">
      <c r="A3380" t="n">
        <v>107699</v>
      </c>
      <c r="B3380" s="1" t="n">
        <v>45958</v>
      </c>
      <c r="C3380" t="inlineStr">
        <is>
          <t>S01</t>
        </is>
      </c>
      <c r="D3380" t="inlineStr">
        <is>
          <t>P403</t>
        </is>
      </c>
      <c r="E3380" t="n">
        <v>3</v>
      </c>
      <c r="F3380" t="n">
        <v>89</v>
      </c>
      <c r="G3380" t="n">
        <v>0.2</v>
      </c>
      <c r="H3380">
        <f>E3380*F3380*(1-G3380)</f>
        <v/>
      </c>
      <c r="I3380">
        <f>XLOOKUP(D3380,Products!$A$2:$A$15,Products!$B$2:$B$15,"Not found")</f>
        <v/>
      </c>
    </row>
    <row r="3381">
      <c r="A3381" t="n">
        <v>107700</v>
      </c>
      <c r="B3381" s="1" t="n">
        <v>45958</v>
      </c>
      <c r="C3381" t="inlineStr">
        <is>
          <t>S01</t>
        </is>
      </c>
      <c r="D3381" t="inlineStr">
        <is>
          <t>P201</t>
        </is>
      </c>
      <c r="E3381" t="n">
        <v>1</v>
      </c>
      <c r="F3381" t="n">
        <v>149</v>
      </c>
      <c r="G3381" t="n">
        <v>0.2</v>
      </c>
      <c r="H3381">
        <f>E3381*F3381*(1-G3381)</f>
        <v/>
      </c>
      <c r="I3381">
        <f>XLOOKUP(D3381,Products!$A$2:$A$15,Products!$B$2:$B$15,"Not found")</f>
        <v/>
      </c>
    </row>
    <row r="3382">
      <c r="A3382" t="n">
        <v>107701</v>
      </c>
      <c r="B3382" s="1" t="n">
        <v>45958</v>
      </c>
      <c r="C3382" t="inlineStr">
        <is>
          <t>S01</t>
        </is>
      </c>
      <c r="D3382" t="inlineStr">
        <is>
          <t>P103</t>
        </is>
      </c>
      <c r="E3382" t="n">
        <v>2</v>
      </c>
      <c r="F3382" t="n">
        <v>29</v>
      </c>
      <c r="G3382" t="n">
        <v>0.2</v>
      </c>
      <c r="H3382">
        <f>E3382*F3382*(1-G3382)</f>
        <v/>
      </c>
      <c r="I3382">
        <f>XLOOKUP(D3382,Products!$A$2:$A$15,Products!$B$2:$B$15,"Not found")</f>
        <v/>
      </c>
    </row>
    <row r="3383">
      <c r="A3383" t="n">
        <v>107702</v>
      </c>
      <c r="B3383" s="1" t="n">
        <v>45958</v>
      </c>
      <c r="C3383" t="inlineStr">
        <is>
          <t>S01</t>
        </is>
      </c>
      <c r="D3383" t="inlineStr">
        <is>
          <t>P103</t>
        </is>
      </c>
      <c r="E3383" t="n">
        <v>1</v>
      </c>
      <c r="F3383" t="n">
        <v>29</v>
      </c>
      <c r="G3383" t="n">
        <v>0</v>
      </c>
      <c r="H3383">
        <f>E3383*F3383*(1-G3383)</f>
        <v/>
      </c>
      <c r="I3383">
        <f>XLOOKUP(D3383,Products!$A$2:$A$15,Products!$B$2:$B$15,"Not found")</f>
        <v/>
      </c>
    </row>
    <row r="3384">
      <c r="A3384" t="n">
        <v>107703</v>
      </c>
      <c r="B3384" s="1" t="n">
        <v>45958</v>
      </c>
      <c r="C3384" t="inlineStr">
        <is>
          <t>S01</t>
        </is>
      </c>
      <c r="D3384" t="inlineStr">
        <is>
          <t>P203</t>
        </is>
      </c>
      <c r="E3384" t="n">
        <v>1</v>
      </c>
      <c r="F3384" t="n">
        <v>19.5</v>
      </c>
      <c r="G3384" t="n">
        <v>0</v>
      </c>
      <c r="H3384">
        <f>E3384*F3384*(1-G3384)</f>
        <v/>
      </c>
      <c r="I3384">
        <f>XLOOKUP(D3384,Products!$A$2:$A$15,Products!$B$2:$B$15,"Not found")</f>
        <v/>
      </c>
    </row>
    <row r="3385">
      <c r="A3385" t="n">
        <v>107704</v>
      </c>
      <c r="B3385" s="1" t="n">
        <v>45958</v>
      </c>
      <c r="C3385" t="inlineStr">
        <is>
          <t>S01</t>
        </is>
      </c>
      <c r="D3385" t="inlineStr">
        <is>
          <t>P104</t>
        </is>
      </c>
      <c r="E3385" t="n">
        <v>1</v>
      </c>
      <c r="F3385" t="n">
        <v>189</v>
      </c>
      <c r="G3385" t="n">
        <v>0.1</v>
      </c>
      <c r="H3385">
        <f>E3385*F3385*(1-G3385)</f>
        <v/>
      </c>
      <c r="I3385">
        <f>XLOOKUP(D3385,Products!$A$2:$A$15,Products!$B$2:$B$15,"Not found")</f>
        <v/>
      </c>
    </row>
    <row r="3386">
      <c r="A3386" t="n">
        <v>107705</v>
      </c>
      <c r="B3386" s="1" t="n">
        <v>45958</v>
      </c>
      <c r="C3386" t="inlineStr">
        <is>
          <t>S02</t>
        </is>
      </c>
      <c r="D3386" t="inlineStr">
        <is>
          <t>P301</t>
        </is>
      </c>
      <c r="E3386" t="n">
        <v>1</v>
      </c>
      <c r="F3386" t="n">
        <v>119</v>
      </c>
      <c r="G3386" t="n">
        <v>0.2</v>
      </c>
      <c r="H3386">
        <f>E3386*F3386*(1-G3386)</f>
        <v/>
      </c>
      <c r="I3386">
        <f>XLOOKUP(D3386,Products!$A$2:$A$15,Products!$B$2:$B$15,"Not found")</f>
        <v/>
      </c>
    </row>
    <row r="3387">
      <c r="A3387" t="n">
        <v>107706</v>
      </c>
      <c r="B3387" s="1" t="n">
        <v>45958</v>
      </c>
      <c r="C3387" t="inlineStr">
        <is>
          <t>S02</t>
        </is>
      </c>
      <c r="D3387" t="inlineStr">
        <is>
          <t>P301</t>
        </is>
      </c>
      <c r="E3387" t="n">
        <v>1</v>
      </c>
      <c r="F3387" t="n">
        <v>119</v>
      </c>
      <c r="G3387" t="n">
        <v>0</v>
      </c>
      <c r="H3387">
        <f>E3387*F3387*(1-G3387)</f>
        <v/>
      </c>
      <c r="I3387">
        <f>XLOOKUP(D3387,Products!$A$2:$A$15,Products!$B$2:$B$15,"Not found")</f>
        <v/>
      </c>
    </row>
    <row r="3388">
      <c r="A3388" t="n">
        <v>107707</v>
      </c>
      <c r="B3388" s="1" t="n">
        <v>45958</v>
      </c>
      <c r="C3388" t="inlineStr">
        <is>
          <t>S02</t>
        </is>
      </c>
      <c r="D3388" t="inlineStr">
        <is>
          <t>P302</t>
        </is>
      </c>
      <c r="E3388" t="n">
        <v>1</v>
      </c>
      <c r="F3388" t="n">
        <v>24</v>
      </c>
      <c r="G3388" t="n">
        <v>0.15</v>
      </c>
      <c r="H3388">
        <f>E3388*F3388*(1-G3388)</f>
        <v/>
      </c>
      <c r="I3388">
        <f>XLOOKUP(D3388,Products!$A$2:$A$15,Products!$B$2:$B$15,"Not found")</f>
        <v/>
      </c>
    </row>
    <row r="3389">
      <c r="A3389" t="n">
        <v>107708</v>
      </c>
      <c r="B3389" s="1" t="n">
        <v>45958</v>
      </c>
      <c r="C3389" t="inlineStr">
        <is>
          <t>S02</t>
        </is>
      </c>
      <c r="D3389" t="inlineStr">
        <is>
          <t>P101</t>
        </is>
      </c>
      <c r="E3389" t="n">
        <v>1</v>
      </c>
      <c r="F3389" t="n">
        <v>39</v>
      </c>
      <c r="G3389" t="n">
        <v>0</v>
      </c>
      <c r="H3389">
        <f>E3389*F3389*(1-G3389)</f>
        <v/>
      </c>
      <c r="I3389">
        <f>XLOOKUP(D3389,Products!$A$2:$A$15,Products!$B$2:$B$15,"Not found")</f>
        <v/>
      </c>
    </row>
    <row r="3390">
      <c r="A3390" t="n">
        <v>107709</v>
      </c>
      <c r="B3390" s="1" t="n">
        <v>45958</v>
      </c>
      <c r="C3390" t="inlineStr">
        <is>
          <t>S03</t>
        </is>
      </c>
      <c r="D3390" t="inlineStr">
        <is>
          <t>P101</t>
        </is>
      </c>
      <c r="E3390" t="n">
        <v>1</v>
      </c>
      <c r="F3390" t="n">
        <v>39</v>
      </c>
      <c r="G3390" t="n">
        <v>0.15</v>
      </c>
      <c r="H3390">
        <f>E3390*F3390*(1-G3390)</f>
        <v/>
      </c>
      <c r="I3390">
        <f>XLOOKUP(D3390,Products!$A$2:$A$15,Products!$B$2:$B$15,"Not found")</f>
        <v/>
      </c>
    </row>
    <row r="3391">
      <c r="A3391" t="n">
        <v>107710</v>
      </c>
      <c r="B3391" s="1" t="n">
        <v>45958</v>
      </c>
      <c r="C3391" t="inlineStr">
        <is>
          <t>S03</t>
        </is>
      </c>
      <c r="D3391" t="inlineStr">
        <is>
          <t>P302</t>
        </is>
      </c>
      <c r="E3391" t="n">
        <v>3</v>
      </c>
      <c r="F3391" t="n">
        <v>24</v>
      </c>
      <c r="G3391" t="n">
        <v>0.1</v>
      </c>
      <c r="H3391">
        <f>E3391*F3391*(1-G3391)</f>
        <v/>
      </c>
      <c r="I3391">
        <f>XLOOKUP(D3391,Products!$A$2:$A$15,Products!$B$2:$B$15,"Not found")</f>
        <v/>
      </c>
    </row>
    <row r="3392">
      <c r="A3392" t="n">
        <v>107711</v>
      </c>
      <c r="B3392" s="1" t="n">
        <v>45958</v>
      </c>
      <c r="C3392" t="inlineStr">
        <is>
          <t>S04</t>
        </is>
      </c>
      <c r="D3392" t="inlineStr">
        <is>
          <t>P202</t>
        </is>
      </c>
      <c r="E3392" t="n">
        <v>1</v>
      </c>
      <c r="F3392" t="n">
        <v>79</v>
      </c>
      <c r="G3392" t="n">
        <v>0.2</v>
      </c>
      <c r="H3392">
        <f>E3392*F3392*(1-G3392)</f>
        <v/>
      </c>
      <c r="I3392">
        <f>XLOOKUP(D3392,Products!$A$2:$A$15,Products!$B$2:$B$15,"Not found")</f>
        <v/>
      </c>
    </row>
    <row r="3393">
      <c r="A3393" t="n">
        <v>107712</v>
      </c>
      <c r="B3393" s="1" t="n">
        <v>45958</v>
      </c>
      <c r="C3393" t="inlineStr">
        <is>
          <t>S04</t>
        </is>
      </c>
      <c r="D3393" t="inlineStr">
        <is>
          <t>P201</t>
        </is>
      </c>
      <c r="E3393" t="n">
        <v>1</v>
      </c>
      <c r="F3393" t="n">
        <v>149</v>
      </c>
      <c r="G3393" t="n">
        <v>0</v>
      </c>
      <c r="H3393">
        <f>E3393*F3393*(1-G3393)</f>
        <v/>
      </c>
      <c r="I3393">
        <f>XLOOKUP(D3393,Products!$A$2:$A$15,Products!$B$2:$B$15,"Not found")</f>
        <v/>
      </c>
    </row>
    <row r="3394">
      <c r="A3394" t="n">
        <v>107713</v>
      </c>
      <c r="B3394" s="1" t="n">
        <v>45958</v>
      </c>
      <c r="C3394" t="inlineStr">
        <is>
          <t>S04</t>
        </is>
      </c>
      <c r="D3394" t="inlineStr">
        <is>
          <t>P202</t>
        </is>
      </c>
      <c r="E3394" t="n">
        <v>4</v>
      </c>
      <c r="F3394" t="n">
        <v>79</v>
      </c>
      <c r="G3394" t="n">
        <v>0</v>
      </c>
      <c r="H3394">
        <f>E3394*F3394*(1-G3394)</f>
        <v/>
      </c>
      <c r="I3394">
        <f>XLOOKUP(D3394,Products!$A$2:$A$15,Products!$B$2:$B$15,"Not found")</f>
        <v/>
      </c>
    </row>
    <row r="3395">
      <c r="A3395" t="n">
        <v>107714</v>
      </c>
      <c r="B3395" s="1" t="n">
        <v>45958</v>
      </c>
      <c r="C3395" t="inlineStr">
        <is>
          <t>S04</t>
        </is>
      </c>
      <c r="D3395" t="inlineStr">
        <is>
          <t>P301</t>
        </is>
      </c>
      <c r="E3395" t="n">
        <v>1</v>
      </c>
      <c r="F3395" t="n">
        <v>119</v>
      </c>
      <c r="G3395" t="n">
        <v>0</v>
      </c>
      <c r="H3395">
        <f>E3395*F3395*(1-G3395)</f>
        <v/>
      </c>
      <c r="I3395">
        <f>XLOOKUP(D3395,Products!$A$2:$A$15,Products!$B$2:$B$15,"Not found")</f>
        <v/>
      </c>
    </row>
    <row r="3396">
      <c r="A3396" t="n">
        <v>107715</v>
      </c>
      <c r="B3396" s="1" t="n">
        <v>45958</v>
      </c>
      <c r="C3396" t="inlineStr">
        <is>
          <t>S05</t>
        </is>
      </c>
      <c r="D3396" t="inlineStr">
        <is>
          <t>P103</t>
        </is>
      </c>
      <c r="E3396" t="n">
        <v>2</v>
      </c>
      <c r="F3396" t="n">
        <v>29</v>
      </c>
      <c r="G3396" t="n">
        <v>0</v>
      </c>
      <c r="H3396">
        <f>E3396*F3396*(1-G3396)</f>
        <v/>
      </c>
      <c r="I3396">
        <f>XLOOKUP(D3396,Products!$A$2:$A$15,Products!$B$2:$B$15,"Not found")</f>
        <v/>
      </c>
    </row>
    <row r="3397">
      <c r="A3397" t="n">
        <v>107716</v>
      </c>
      <c r="B3397" s="1" t="n">
        <v>45958</v>
      </c>
      <c r="C3397" t="inlineStr">
        <is>
          <t>S05</t>
        </is>
      </c>
      <c r="D3397" t="inlineStr">
        <is>
          <t>P303</t>
        </is>
      </c>
      <c r="E3397" t="n">
        <v>1</v>
      </c>
      <c r="F3397" t="n">
        <v>12</v>
      </c>
      <c r="G3397" t="n">
        <v>0</v>
      </c>
      <c r="H3397">
        <f>E3397*F3397*(1-G3397)</f>
        <v/>
      </c>
      <c r="I3397">
        <f>XLOOKUP(D3397,Products!$A$2:$A$15,Products!$B$2:$B$15,"Not found")</f>
        <v/>
      </c>
    </row>
    <row r="3398">
      <c r="A3398" t="n">
        <v>107717</v>
      </c>
      <c r="B3398" s="1" t="n">
        <v>45958</v>
      </c>
      <c r="C3398" t="inlineStr">
        <is>
          <t>S05</t>
        </is>
      </c>
      <c r="D3398" t="inlineStr">
        <is>
          <t>P102</t>
        </is>
      </c>
      <c r="E3398" t="n">
        <v>3</v>
      </c>
      <c r="F3398" t="n">
        <v>14.5</v>
      </c>
      <c r="G3398" t="n">
        <v>0</v>
      </c>
      <c r="H3398">
        <f>E3398*F3398*(1-G3398)</f>
        <v/>
      </c>
      <c r="I3398">
        <f>XLOOKUP(D3398,Products!$A$2:$A$15,Products!$B$2:$B$15,"Not found")</f>
        <v/>
      </c>
    </row>
    <row r="3399">
      <c r="A3399" t="n">
        <v>107718</v>
      </c>
      <c r="B3399" s="1" t="n">
        <v>45958</v>
      </c>
      <c r="C3399" t="inlineStr">
        <is>
          <t>S05</t>
        </is>
      </c>
      <c r="D3399" t="inlineStr">
        <is>
          <t>P302</t>
        </is>
      </c>
      <c r="E3399" t="n">
        <v>2</v>
      </c>
      <c r="F3399" t="n">
        <v>24</v>
      </c>
      <c r="G3399" t="n">
        <v>0.15</v>
      </c>
      <c r="H3399">
        <f>E3399*F3399*(1-G3399)</f>
        <v/>
      </c>
      <c r="I3399">
        <f>XLOOKUP(D3399,Products!$A$2:$A$15,Products!$B$2:$B$15,"Not found")</f>
        <v/>
      </c>
    </row>
    <row r="3400">
      <c r="A3400" t="n">
        <v>107719</v>
      </c>
      <c r="B3400" s="1" t="n">
        <v>45958</v>
      </c>
      <c r="C3400" t="inlineStr">
        <is>
          <t>S06</t>
        </is>
      </c>
      <c r="D3400" t="inlineStr">
        <is>
          <t>P102</t>
        </is>
      </c>
      <c r="E3400" t="n">
        <v>3</v>
      </c>
      <c r="F3400" t="n">
        <v>14.5</v>
      </c>
      <c r="G3400" t="n">
        <v>0.1</v>
      </c>
      <c r="H3400">
        <f>E3400*F3400*(1-G3400)</f>
        <v/>
      </c>
      <c r="I3400">
        <f>XLOOKUP(D3400,Products!$A$2:$A$15,Products!$B$2:$B$15,"Not found")</f>
        <v/>
      </c>
    </row>
    <row r="3401">
      <c r="A3401" t="n">
        <v>107720</v>
      </c>
      <c r="B3401" s="1" t="n">
        <v>45958</v>
      </c>
      <c r="C3401" t="inlineStr">
        <is>
          <t>S06</t>
        </is>
      </c>
      <c r="D3401" t="inlineStr">
        <is>
          <t>P301</t>
        </is>
      </c>
      <c r="E3401" t="n">
        <v>1</v>
      </c>
      <c r="F3401" t="n">
        <v>119</v>
      </c>
      <c r="G3401" t="n">
        <v>0</v>
      </c>
      <c r="H3401">
        <f>E3401*F3401*(1-G3401)</f>
        <v/>
      </c>
      <c r="I3401">
        <f>XLOOKUP(D3401,Products!$A$2:$A$15,Products!$B$2:$B$15,"Not found")</f>
        <v/>
      </c>
    </row>
    <row r="3402">
      <c r="A3402" t="n">
        <v>107721</v>
      </c>
      <c r="B3402" s="1" t="n">
        <v>45959</v>
      </c>
      <c r="C3402" t="inlineStr">
        <is>
          <t>S01</t>
        </is>
      </c>
      <c r="D3402" t="inlineStr">
        <is>
          <t>P202</t>
        </is>
      </c>
      <c r="E3402" t="n">
        <v>1</v>
      </c>
      <c r="F3402" t="n">
        <v>79</v>
      </c>
      <c r="G3402" t="n">
        <v>0</v>
      </c>
      <c r="H3402">
        <f>E3402*F3402*(1-G3402)</f>
        <v/>
      </c>
      <c r="I3402">
        <f>XLOOKUP(D3402,Products!$A$2:$A$15,Products!$B$2:$B$15,"Not found")</f>
        <v/>
      </c>
    </row>
    <row r="3403">
      <c r="A3403" t="n">
        <v>107722</v>
      </c>
      <c r="B3403" s="1" t="n">
        <v>45959</v>
      </c>
      <c r="C3403" t="inlineStr">
        <is>
          <t>S01</t>
        </is>
      </c>
      <c r="D3403" t="inlineStr">
        <is>
          <t>P303</t>
        </is>
      </c>
      <c r="E3403" t="n">
        <v>4</v>
      </c>
      <c r="F3403" t="n">
        <v>12</v>
      </c>
      <c r="G3403" t="n">
        <v>0.1</v>
      </c>
      <c r="H3403">
        <f>E3403*F3403*(1-G3403)</f>
        <v/>
      </c>
      <c r="I3403">
        <f>XLOOKUP(D3403,Products!$A$2:$A$15,Products!$B$2:$B$15,"Not found")</f>
        <v/>
      </c>
    </row>
    <row r="3404">
      <c r="A3404" t="n">
        <v>107723</v>
      </c>
      <c r="B3404" s="1" t="n">
        <v>45959</v>
      </c>
      <c r="C3404" t="inlineStr">
        <is>
          <t>S01</t>
        </is>
      </c>
      <c r="D3404" t="inlineStr">
        <is>
          <t>P101</t>
        </is>
      </c>
      <c r="E3404" t="n">
        <v>1</v>
      </c>
      <c r="F3404" t="n">
        <v>39</v>
      </c>
      <c r="G3404" t="n">
        <v>0</v>
      </c>
      <c r="H3404">
        <f>E3404*F3404*(1-G3404)</f>
        <v/>
      </c>
      <c r="I3404">
        <f>XLOOKUP(D3404,Products!$A$2:$A$15,Products!$B$2:$B$15,"Not found")</f>
        <v/>
      </c>
    </row>
    <row r="3405">
      <c r="A3405" t="n">
        <v>107724</v>
      </c>
      <c r="B3405" s="1" t="n">
        <v>45959</v>
      </c>
      <c r="C3405" t="inlineStr">
        <is>
          <t>S02</t>
        </is>
      </c>
      <c r="D3405" t="inlineStr">
        <is>
          <t>P102</t>
        </is>
      </c>
      <c r="E3405" t="n">
        <v>2</v>
      </c>
      <c r="F3405" t="n">
        <v>14.5</v>
      </c>
      <c r="G3405" t="n">
        <v>0.2</v>
      </c>
      <c r="H3405">
        <f>E3405*F3405*(1-G3405)</f>
        <v/>
      </c>
      <c r="I3405">
        <f>XLOOKUP(D3405,Products!$A$2:$A$15,Products!$B$2:$B$15,"Not found")</f>
        <v/>
      </c>
    </row>
    <row r="3406">
      <c r="A3406" t="n">
        <v>107725</v>
      </c>
      <c r="B3406" s="1" t="n">
        <v>45959</v>
      </c>
      <c r="C3406" t="inlineStr">
        <is>
          <t>S02</t>
        </is>
      </c>
      <c r="D3406" t="inlineStr">
        <is>
          <t>P201</t>
        </is>
      </c>
      <c r="E3406" t="n">
        <v>1</v>
      </c>
      <c r="F3406" t="n">
        <v>149</v>
      </c>
      <c r="G3406" t="n">
        <v>0.15</v>
      </c>
      <c r="H3406">
        <f>E3406*F3406*(1-G3406)</f>
        <v/>
      </c>
      <c r="I3406">
        <f>XLOOKUP(D3406,Products!$A$2:$A$15,Products!$B$2:$B$15,"Not found")</f>
        <v/>
      </c>
    </row>
    <row r="3407">
      <c r="A3407" t="n">
        <v>107726</v>
      </c>
      <c r="B3407" s="1" t="n">
        <v>45959</v>
      </c>
      <c r="C3407" t="inlineStr">
        <is>
          <t>S03</t>
        </is>
      </c>
      <c r="D3407" t="inlineStr">
        <is>
          <t>P403</t>
        </is>
      </c>
      <c r="E3407" t="n">
        <v>1</v>
      </c>
      <c r="F3407" t="n">
        <v>89</v>
      </c>
      <c r="G3407" t="n">
        <v>0</v>
      </c>
      <c r="H3407">
        <f>E3407*F3407*(1-G3407)</f>
        <v/>
      </c>
      <c r="I3407">
        <f>XLOOKUP(D3407,Products!$A$2:$A$15,Products!$B$2:$B$15,"Not found")</f>
        <v/>
      </c>
    </row>
    <row r="3408">
      <c r="A3408" t="n">
        <v>107727</v>
      </c>
      <c r="B3408" s="1" t="n">
        <v>45959</v>
      </c>
      <c r="C3408" t="inlineStr">
        <is>
          <t>S03</t>
        </is>
      </c>
      <c r="D3408" t="inlineStr">
        <is>
          <t>P302</t>
        </is>
      </c>
      <c r="E3408" t="n">
        <v>1</v>
      </c>
      <c r="F3408" t="n">
        <v>24</v>
      </c>
      <c r="G3408" t="n">
        <v>0.15</v>
      </c>
      <c r="H3408">
        <f>E3408*F3408*(1-G3408)</f>
        <v/>
      </c>
      <c r="I3408">
        <f>XLOOKUP(D3408,Products!$A$2:$A$15,Products!$B$2:$B$15,"Not found")</f>
        <v/>
      </c>
    </row>
    <row r="3409">
      <c r="A3409" t="n">
        <v>107728</v>
      </c>
      <c r="B3409" s="1" t="n">
        <v>45959</v>
      </c>
      <c r="C3409" t="inlineStr">
        <is>
          <t>S04</t>
        </is>
      </c>
      <c r="D3409" t="inlineStr">
        <is>
          <t>P202</t>
        </is>
      </c>
      <c r="E3409" t="n">
        <v>1</v>
      </c>
      <c r="F3409" t="n">
        <v>79</v>
      </c>
      <c r="G3409" t="n">
        <v>0.2</v>
      </c>
      <c r="H3409">
        <f>E3409*F3409*(1-G3409)</f>
        <v/>
      </c>
      <c r="I3409">
        <f>XLOOKUP(D3409,Products!$A$2:$A$15,Products!$B$2:$B$15,"Not found")</f>
        <v/>
      </c>
    </row>
    <row r="3410">
      <c r="A3410" t="n">
        <v>107729</v>
      </c>
      <c r="B3410" s="1" t="n">
        <v>45959</v>
      </c>
      <c r="C3410" t="inlineStr">
        <is>
          <t>S04</t>
        </is>
      </c>
      <c r="D3410" t="inlineStr">
        <is>
          <t>P204</t>
        </is>
      </c>
      <c r="E3410" t="n">
        <v>1</v>
      </c>
      <c r="F3410" t="n">
        <v>229</v>
      </c>
      <c r="G3410" t="n">
        <v>0.15</v>
      </c>
      <c r="H3410">
        <f>E3410*F3410*(1-G3410)</f>
        <v/>
      </c>
      <c r="I3410">
        <f>XLOOKUP(D3410,Products!$A$2:$A$15,Products!$B$2:$B$15,"Not found")</f>
        <v/>
      </c>
    </row>
    <row r="3411">
      <c r="A3411" t="n">
        <v>107730</v>
      </c>
      <c r="B3411" s="1" t="n">
        <v>45959</v>
      </c>
      <c r="C3411" t="inlineStr">
        <is>
          <t>S04</t>
        </is>
      </c>
      <c r="D3411" t="inlineStr">
        <is>
          <t>P303</t>
        </is>
      </c>
      <c r="E3411" t="n">
        <v>2</v>
      </c>
      <c r="F3411" t="n">
        <v>12</v>
      </c>
      <c r="G3411" t="n">
        <v>0.2</v>
      </c>
      <c r="H3411">
        <f>E3411*F3411*(1-G3411)</f>
        <v/>
      </c>
      <c r="I3411">
        <f>XLOOKUP(D3411,Products!$A$2:$A$15,Products!$B$2:$B$15,"Not found")</f>
        <v/>
      </c>
    </row>
    <row r="3412">
      <c r="A3412" t="n">
        <v>107731</v>
      </c>
      <c r="B3412" s="1" t="n">
        <v>45959</v>
      </c>
      <c r="C3412" t="inlineStr">
        <is>
          <t>S05</t>
        </is>
      </c>
      <c r="D3412" t="inlineStr">
        <is>
          <t>P102</t>
        </is>
      </c>
      <c r="E3412" t="n">
        <v>1</v>
      </c>
      <c r="F3412" t="n">
        <v>14.5</v>
      </c>
      <c r="G3412" t="n">
        <v>0.2</v>
      </c>
      <c r="H3412">
        <f>E3412*F3412*(1-G3412)</f>
        <v/>
      </c>
      <c r="I3412">
        <f>XLOOKUP(D3412,Products!$A$2:$A$15,Products!$B$2:$B$15,"Not found")</f>
        <v/>
      </c>
    </row>
    <row r="3413">
      <c r="A3413" t="n">
        <v>107732</v>
      </c>
      <c r="B3413" s="1" t="n">
        <v>45959</v>
      </c>
      <c r="C3413" t="inlineStr">
        <is>
          <t>S05</t>
        </is>
      </c>
      <c r="D3413" t="inlineStr">
        <is>
          <t>P101</t>
        </is>
      </c>
      <c r="E3413" t="n">
        <v>4</v>
      </c>
      <c r="F3413" t="n">
        <v>39</v>
      </c>
      <c r="G3413" t="n">
        <v>0</v>
      </c>
      <c r="H3413">
        <f>E3413*F3413*(1-G3413)</f>
        <v/>
      </c>
      <c r="I3413">
        <f>XLOOKUP(D3413,Products!$A$2:$A$15,Products!$B$2:$B$15,"Not found")</f>
        <v/>
      </c>
    </row>
    <row r="3414">
      <c r="A3414" t="n">
        <v>107733</v>
      </c>
      <c r="B3414" s="1" t="n">
        <v>45959</v>
      </c>
      <c r="C3414" t="inlineStr">
        <is>
          <t>S05</t>
        </is>
      </c>
      <c r="D3414" t="inlineStr">
        <is>
          <t>P303</t>
        </is>
      </c>
      <c r="E3414" t="n">
        <v>4</v>
      </c>
      <c r="F3414" t="n">
        <v>12</v>
      </c>
      <c r="G3414" t="n">
        <v>0.15</v>
      </c>
      <c r="H3414">
        <f>E3414*F3414*(1-G3414)</f>
        <v/>
      </c>
      <c r="I3414">
        <f>XLOOKUP(D3414,Products!$A$2:$A$15,Products!$B$2:$B$15,"Not found")</f>
        <v/>
      </c>
    </row>
    <row r="3415">
      <c r="A3415" t="n">
        <v>107734</v>
      </c>
      <c r="B3415" s="1" t="n">
        <v>45959</v>
      </c>
      <c r="C3415" t="inlineStr">
        <is>
          <t>S06</t>
        </is>
      </c>
      <c r="D3415" t="inlineStr">
        <is>
          <t>P302</t>
        </is>
      </c>
      <c r="E3415" t="n">
        <v>3</v>
      </c>
      <c r="F3415" t="n">
        <v>24</v>
      </c>
      <c r="G3415" t="n">
        <v>0.15</v>
      </c>
      <c r="H3415">
        <f>E3415*F3415*(1-G3415)</f>
        <v/>
      </c>
      <c r="I3415">
        <f>XLOOKUP(D3415,Products!$A$2:$A$15,Products!$B$2:$B$15,"Not found")</f>
        <v/>
      </c>
    </row>
    <row r="3416">
      <c r="A3416" t="n">
        <v>107735</v>
      </c>
      <c r="B3416" s="1" t="n">
        <v>45959</v>
      </c>
      <c r="C3416" t="inlineStr">
        <is>
          <t>S06</t>
        </is>
      </c>
      <c r="D3416" t="inlineStr">
        <is>
          <t>P202</t>
        </is>
      </c>
      <c r="E3416" t="n">
        <v>2</v>
      </c>
      <c r="F3416" t="n">
        <v>79</v>
      </c>
      <c r="G3416" t="n">
        <v>0</v>
      </c>
      <c r="H3416">
        <f>E3416*F3416*(1-G3416)</f>
        <v/>
      </c>
      <c r="I3416">
        <f>XLOOKUP(D3416,Products!$A$2:$A$15,Products!$B$2:$B$15,"Not found")</f>
        <v/>
      </c>
    </row>
    <row r="3417">
      <c r="A3417" t="n">
        <v>107736</v>
      </c>
      <c r="B3417" s="1" t="n">
        <v>45960</v>
      </c>
      <c r="C3417" t="inlineStr">
        <is>
          <t>S01</t>
        </is>
      </c>
      <c r="D3417" t="inlineStr">
        <is>
          <t>P303</t>
        </is>
      </c>
      <c r="E3417" t="n">
        <v>2</v>
      </c>
      <c r="F3417" t="n">
        <v>12</v>
      </c>
      <c r="G3417" t="n">
        <v>0.15</v>
      </c>
      <c r="H3417">
        <f>E3417*F3417*(1-G3417)</f>
        <v/>
      </c>
      <c r="I3417">
        <f>XLOOKUP(D3417,Products!$A$2:$A$15,Products!$B$2:$B$15,"Not found")</f>
        <v/>
      </c>
    </row>
    <row r="3418">
      <c r="A3418" t="n">
        <v>107737</v>
      </c>
      <c r="B3418" s="1" t="n">
        <v>45960</v>
      </c>
      <c r="C3418" t="inlineStr">
        <is>
          <t>S01</t>
        </is>
      </c>
      <c r="D3418" t="inlineStr">
        <is>
          <t>P201</t>
        </is>
      </c>
      <c r="E3418" t="n">
        <v>1</v>
      </c>
      <c r="F3418" t="n">
        <v>149</v>
      </c>
      <c r="G3418" t="n">
        <v>0</v>
      </c>
      <c r="H3418">
        <f>E3418*F3418*(1-G3418)</f>
        <v/>
      </c>
      <c r="I3418">
        <f>XLOOKUP(D3418,Products!$A$2:$A$15,Products!$B$2:$B$15,"Not found")</f>
        <v/>
      </c>
    </row>
    <row r="3419">
      <c r="A3419" t="n">
        <v>107738</v>
      </c>
      <c r="B3419" s="1" t="n">
        <v>45960</v>
      </c>
      <c r="C3419" t="inlineStr">
        <is>
          <t>S01</t>
        </is>
      </c>
      <c r="D3419" t="inlineStr">
        <is>
          <t>P102</t>
        </is>
      </c>
      <c r="E3419" t="n">
        <v>4</v>
      </c>
      <c r="F3419" t="n">
        <v>14.5</v>
      </c>
      <c r="G3419" t="n">
        <v>0</v>
      </c>
      <c r="H3419">
        <f>E3419*F3419*(1-G3419)</f>
        <v/>
      </c>
      <c r="I3419">
        <f>XLOOKUP(D3419,Products!$A$2:$A$15,Products!$B$2:$B$15,"Not found")</f>
        <v/>
      </c>
    </row>
    <row r="3420">
      <c r="A3420" t="n">
        <v>107739</v>
      </c>
      <c r="B3420" s="1" t="n">
        <v>45960</v>
      </c>
      <c r="C3420" t="inlineStr">
        <is>
          <t>S02</t>
        </is>
      </c>
      <c r="D3420" t="inlineStr">
        <is>
          <t>P102</t>
        </is>
      </c>
      <c r="E3420" t="n">
        <v>3</v>
      </c>
      <c r="F3420" t="n">
        <v>14.5</v>
      </c>
      <c r="G3420" t="n">
        <v>0</v>
      </c>
      <c r="H3420">
        <f>E3420*F3420*(1-G3420)</f>
        <v/>
      </c>
      <c r="I3420">
        <f>XLOOKUP(D3420,Products!$A$2:$A$15,Products!$B$2:$B$15,"Not found")</f>
        <v/>
      </c>
    </row>
    <row r="3421">
      <c r="A3421" t="n">
        <v>107740</v>
      </c>
      <c r="B3421" s="1" t="n">
        <v>45960</v>
      </c>
      <c r="C3421" t="inlineStr">
        <is>
          <t>S02</t>
        </is>
      </c>
      <c r="D3421" t="inlineStr">
        <is>
          <t>P104</t>
        </is>
      </c>
      <c r="E3421" t="n">
        <v>1</v>
      </c>
      <c r="F3421" t="n">
        <v>189</v>
      </c>
      <c r="G3421" t="n">
        <v>0.1</v>
      </c>
      <c r="H3421">
        <f>E3421*F3421*(1-G3421)</f>
        <v/>
      </c>
      <c r="I3421">
        <f>XLOOKUP(D3421,Products!$A$2:$A$15,Products!$B$2:$B$15,"Not found")</f>
        <v/>
      </c>
    </row>
    <row r="3422">
      <c r="A3422" t="n">
        <v>107741</v>
      </c>
      <c r="B3422" s="1" t="n">
        <v>45960</v>
      </c>
      <c r="C3422" t="inlineStr">
        <is>
          <t>S02</t>
        </is>
      </c>
      <c r="D3422" t="inlineStr">
        <is>
          <t>P403</t>
        </is>
      </c>
      <c r="E3422" t="n">
        <v>1</v>
      </c>
      <c r="F3422" t="n">
        <v>89</v>
      </c>
      <c r="G3422" t="n">
        <v>0.2</v>
      </c>
      <c r="H3422">
        <f>E3422*F3422*(1-G3422)</f>
        <v/>
      </c>
      <c r="I3422">
        <f>XLOOKUP(D3422,Products!$A$2:$A$15,Products!$B$2:$B$15,"Not found")</f>
        <v/>
      </c>
    </row>
    <row r="3423">
      <c r="A3423" t="n">
        <v>107742</v>
      </c>
      <c r="B3423" s="1" t="n">
        <v>45960</v>
      </c>
      <c r="C3423" t="inlineStr">
        <is>
          <t>S03</t>
        </is>
      </c>
      <c r="D3423" t="inlineStr">
        <is>
          <t>P204</t>
        </is>
      </c>
      <c r="E3423" t="n">
        <v>1</v>
      </c>
      <c r="F3423" t="n">
        <v>229</v>
      </c>
      <c r="G3423" t="n">
        <v>0.15</v>
      </c>
      <c r="H3423">
        <f>E3423*F3423*(1-G3423)</f>
        <v/>
      </c>
      <c r="I3423">
        <f>XLOOKUP(D3423,Products!$A$2:$A$15,Products!$B$2:$B$15,"Not found")</f>
        <v/>
      </c>
    </row>
    <row r="3424">
      <c r="A3424" t="n">
        <v>107743</v>
      </c>
      <c r="B3424" s="1" t="n">
        <v>45960</v>
      </c>
      <c r="C3424" t="inlineStr">
        <is>
          <t>S03</t>
        </is>
      </c>
      <c r="D3424" t="inlineStr">
        <is>
          <t>P303</t>
        </is>
      </c>
      <c r="E3424" t="n">
        <v>1</v>
      </c>
      <c r="F3424" t="n">
        <v>12</v>
      </c>
      <c r="G3424" t="n">
        <v>0.1</v>
      </c>
      <c r="H3424">
        <f>E3424*F3424*(1-G3424)</f>
        <v/>
      </c>
      <c r="I3424">
        <f>XLOOKUP(D3424,Products!$A$2:$A$15,Products!$B$2:$B$15,"Not found")</f>
        <v/>
      </c>
    </row>
    <row r="3425">
      <c r="A3425" t="n">
        <v>107744</v>
      </c>
      <c r="B3425" s="1" t="n">
        <v>45960</v>
      </c>
      <c r="C3425" t="inlineStr">
        <is>
          <t>S03</t>
        </is>
      </c>
      <c r="D3425" t="inlineStr">
        <is>
          <t>P303</t>
        </is>
      </c>
      <c r="E3425" t="n">
        <v>4</v>
      </c>
      <c r="F3425" t="n">
        <v>12</v>
      </c>
      <c r="G3425" t="n">
        <v>0.1</v>
      </c>
      <c r="H3425">
        <f>E3425*F3425*(1-G3425)</f>
        <v/>
      </c>
      <c r="I3425">
        <f>XLOOKUP(D3425,Products!$A$2:$A$15,Products!$B$2:$B$15,"Not found")</f>
        <v/>
      </c>
    </row>
    <row r="3426">
      <c r="A3426" t="n">
        <v>107745</v>
      </c>
      <c r="B3426" s="1" t="n">
        <v>45960</v>
      </c>
      <c r="C3426" t="inlineStr">
        <is>
          <t>S04</t>
        </is>
      </c>
      <c r="D3426" t="inlineStr">
        <is>
          <t>P101</t>
        </is>
      </c>
      <c r="E3426" t="n">
        <v>1</v>
      </c>
      <c r="F3426" t="n">
        <v>39</v>
      </c>
      <c r="G3426" t="n">
        <v>0</v>
      </c>
      <c r="H3426">
        <f>E3426*F3426*(1-G3426)</f>
        <v/>
      </c>
      <c r="I3426">
        <f>XLOOKUP(D3426,Products!$A$2:$A$15,Products!$B$2:$B$15,"Not found")</f>
        <v/>
      </c>
    </row>
    <row r="3427">
      <c r="A3427" t="n">
        <v>107746</v>
      </c>
      <c r="B3427" s="1" t="n">
        <v>45960</v>
      </c>
      <c r="C3427" t="inlineStr">
        <is>
          <t>S04</t>
        </is>
      </c>
      <c r="D3427" t="inlineStr">
        <is>
          <t>P203</t>
        </is>
      </c>
      <c r="E3427" t="n">
        <v>4</v>
      </c>
      <c r="F3427" t="n">
        <v>19.5</v>
      </c>
      <c r="G3427" t="n">
        <v>0</v>
      </c>
      <c r="H3427">
        <f>E3427*F3427*(1-G3427)</f>
        <v/>
      </c>
      <c r="I3427">
        <f>XLOOKUP(D3427,Products!$A$2:$A$15,Products!$B$2:$B$15,"Not found")</f>
        <v/>
      </c>
    </row>
    <row r="3428">
      <c r="A3428" t="n">
        <v>107747</v>
      </c>
      <c r="B3428" s="1" t="n">
        <v>45960</v>
      </c>
      <c r="C3428" t="inlineStr">
        <is>
          <t>S04</t>
        </is>
      </c>
      <c r="D3428" t="inlineStr">
        <is>
          <t>P102</t>
        </is>
      </c>
      <c r="E3428" t="n">
        <v>2</v>
      </c>
      <c r="F3428" t="n">
        <v>14.5</v>
      </c>
      <c r="G3428" t="n">
        <v>0.15</v>
      </c>
      <c r="H3428">
        <f>E3428*F3428*(1-G3428)</f>
        <v/>
      </c>
      <c r="I3428">
        <f>XLOOKUP(D3428,Products!$A$2:$A$15,Products!$B$2:$B$15,"Not found")</f>
        <v/>
      </c>
    </row>
    <row r="3429">
      <c r="A3429" t="n">
        <v>107748</v>
      </c>
      <c r="B3429" s="1" t="n">
        <v>45960</v>
      </c>
      <c r="C3429" t="inlineStr">
        <is>
          <t>S05</t>
        </is>
      </c>
      <c r="D3429" t="inlineStr">
        <is>
          <t>P102</t>
        </is>
      </c>
      <c r="E3429" t="n">
        <v>3</v>
      </c>
      <c r="F3429" t="n">
        <v>14.5</v>
      </c>
      <c r="G3429" t="n">
        <v>0.1</v>
      </c>
      <c r="H3429">
        <f>E3429*F3429*(1-G3429)</f>
        <v/>
      </c>
      <c r="I3429">
        <f>XLOOKUP(D3429,Products!$A$2:$A$15,Products!$B$2:$B$15,"Not found")</f>
        <v/>
      </c>
    </row>
    <row r="3430">
      <c r="A3430" t="n">
        <v>107749</v>
      </c>
      <c r="B3430" s="1" t="n">
        <v>45960</v>
      </c>
      <c r="C3430" t="inlineStr">
        <is>
          <t>S05</t>
        </is>
      </c>
      <c r="D3430" t="inlineStr">
        <is>
          <t>P203</t>
        </is>
      </c>
      <c r="E3430" t="n">
        <v>3</v>
      </c>
      <c r="F3430" t="n">
        <v>19.5</v>
      </c>
      <c r="G3430" t="n">
        <v>0</v>
      </c>
      <c r="H3430">
        <f>E3430*F3430*(1-G3430)</f>
        <v/>
      </c>
      <c r="I3430">
        <f>XLOOKUP(D3430,Products!$A$2:$A$15,Products!$B$2:$B$15,"Not found")</f>
        <v/>
      </c>
    </row>
    <row r="3431">
      <c r="A3431" t="n">
        <v>107750</v>
      </c>
      <c r="B3431" s="1" t="n">
        <v>45960</v>
      </c>
      <c r="C3431" t="inlineStr">
        <is>
          <t>S05</t>
        </is>
      </c>
      <c r="D3431" t="inlineStr">
        <is>
          <t>P201</t>
        </is>
      </c>
      <c r="E3431" t="n">
        <v>1</v>
      </c>
      <c r="F3431" t="n">
        <v>149</v>
      </c>
      <c r="G3431" t="n">
        <v>0.1</v>
      </c>
      <c r="H3431">
        <f>E3431*F3431*(1-G3431)</f>
        <v/>
      </c>
      <c r="I3431">
        <f>XLOOKUP(D3431,Products!$A$2:$A$15,Products!$B$2:$B$15,"Not found")</f>
        <v/>
      </c>
    </row>
    <row r="3432">
      <c r="A3432" t="n">
        <v>107751</v>
      </c>
      <c r="B3432" s="1" t="n">
        <v>45960</v>
      </c>
      <c r="C3432" t="inlineStr">
        <is>
          <t>S06</t>
        </is>
      </c>
      <c r="D3432" t="inlineStr">
        <is>
          <t>P102</t>
        </is>
      </c>
      <c r="E3432" t="n">
        <v>4</v>
      </c>
      <c r="F3432" t="n">
        <v>14.5</v>
      </c>
      <c r="G3432" t="n">
        <v>0.1</v>
      </c>
      <c r="H3432">
        <f>E3432*F3432*(1-G3432)</f>
        <v/>
      </c>
      <c r="I3432">
        <f>XLOOKUP(D3432,Products!$A$2:$A$15,Products!$B$2:$B$15,"Not found")</f>
        <v/>
      </c>
    </row>
    <row r="3433">
      <c r="A3433" t="n">
        <v>107752</v>
      </c>
      <c r="B3433" s="1" t="n">
        <v>45961</v>
      </c>
      <c r="C3433" t="inlineStr">
        <is>
          <t>S01</t>
        </is>
      </c>
      <c r="D3433" t="inlineStr">
        <is>
          <t>P202</t>
        </is>
      </c>
      <c r="E3433" t="n">
        <v>2</v>
      </c>
      <c r="F3433" t="n">
        <v>79</v>
      </c>
      <c r="G3433" t="n">
        <v>0.15</v>
      </c>
      <c r="H3433">
        <f>E3433*F3433*(1-G3433)</f>
        <v/>
      </c>
      <c r="I3433">
        <f>XLOOKUP(D3433,Products!$A$2:$A$15,Products!$B$2:$B$15,"Not found")</f>
        <v/>
      </c>
    </row>
    <row r="3434">
      <c r="A3434" t="n">
        <v>107753</v>
      </c>
      <c r="B3434" s="1" t="n">
        <v>45961</v>
      </c>
      <c r="C3434" t="inlineStr">
        <is>
          <t>S01</t>
        </is>
      </c>
      <c r="D3434" t="inlineStr">
        <is>
          <t>P202</t>
        </is>
      </c>
      <c r="E3434" t="n">
        <v>3</v>
      </c>
      <c r="F3434" t="n">
        <v>79</v>
      </c>
      <c r="G3434" t="n">
        <v>0</v>
      </c>
      <c r="H3434">
        <f>E3434*F3434*(1-G3434)</f>
        <v/>
      </c>
      <c r="I3434">
        <f>XLOOKUP(D3434,Products!$A$2:$A$15,Products!$B$2:$B$15,"Not found")</f>
        <v/>
      </c>
    </row>
    <row r="3435">
      <c r="A3435" t="n">
        <v>107754</v>
      </c>
      <c r="B3435" s="1" t="n">
        <v>45961</v>
      </c>
      <c r="C3435" t="inlineStr">
        <is>
          <t>S02</t>
        </is>
      </c>
      <c r="D3435" t="inlineStr">
        <is>
          <t>P301</t>
        </is>
      </c>
      <c r="E3435" t="n">
        <v>1</v>
      </c>
      <c r="F3435" t="n">
        <v>119</v>
      </c>
      <c r="G3435" t="n">
        <v>0</v>
      </c>
      <c r="H3435">
        <f>E3435*F3435*(1-G3435)</f>
        <v/>
      </c>
      <c r="I3435">
        <f>XLOOKUP(D3435,Products!$A$2:$A$15,Products!$B$2:$B$15,"Not found")</f>
        <v/>
      </c>
    </row>
    <row r="3436">
      <c r="A3436" t="n">
        <v>107755</v>
      </c>
      <c r="B3436" s="1" t="n">
        <v>45961</v>
      </c>
      <c r="C3436" t="inlineStr">
        <is>
          <t>S02</t>
        </is>
      </c>
      <c r="D3436" t="inlineStr">
        <is>
          <t>P101</t>
        </is>
      </c>
      <c r="E3436" t="n">
        <v>2</v>
      </c>
      <c r="F3436" t="n">
        <v>39</v>
      </c>
      <c r="G3436" t="n">
        <v>0</v>
      </c>
      <c r="H3436">
        <f>E3436*F3436*(1-G3436)</f>
        <v/>
      </c>
      <c r="I3436">
        <f>XLOOKUP(D3436,Products!$A$2:$A$15,Products!$B$2:$B$15,"Not found")</f>
        <v/>
      </c>
    </row>
    <row r="3437">
      <c r="A3437" t="n">
        <v>107756</v>
      </c>
      <c r="B3437" s="1" t="n">
        <v>45961</v>
      </c>
      <c r="C3437" t="inlineStr">
        <is>
          <t>S02</t>
        </is>
      </c>
      <c r="D3437" t="inlineStr">
        <is>
          <t>P403</t>
        </is>
      </c>
      <c r="E3437" t="n">
        <v>1</v>
      </c>
      <c r="F3437" t="n">
        <v>89</v>
      </c>
      <c r="G3437" t="n">
        <v>0.15</v>
      </c>
      <c r="H3437">
        <f>E3437*F3437*(1-G3437)</f>
        <v/>
      </c>
      <c r="I3437">
        <f>XLOOKUP(D3437,Products!$A$2:$A$15,Products!$B$2:$B$15,"Not found")</f>
        <v/>
      </c>
    </row>
    <row r="3438">
      <c r="A3438" t="n">
        <v>107757</v>
      </c>
      <c r="B3438" s="1" t="n">
        <v>45961</v>
      </c>
      <c r="C3438" t="inlineStr">
        <is>
          <t>S03</t>
        </is>
      </c>
      <c r="D3438" t="inlineStr">
        <is>
          <t>P102</t>
        </is>
      </c>
      <c r="E3438" t="n">
        <v>4</v>
      </c>
      <c r="F3438" t="n">
        <v>14.5</v>
      </c>
      <c r="G3438" t="n">
        <v>0</v>
      </c>
      <c r="H3438">
        <f>E3438*F3438*(1-G3438)</f>
        <v/>
      </c>
      <c r="I3438">
        <f>XLOOKUP(D3438,Products!$A$2:$A$15,Products!$B$2:$B$15,"Not found")</f>
        <v/>
      </c>
    </row>
    <row r="3439">
      <c r="A3439" t="n">
        <v>107758</v>
      </c>
      <c r="B3439" s="1" t="n">
        <v>45961</v>
      </c>
      <c r="C3439" t="inlineStr">
        <is>
          <t>S03</t>
        </is>
      </c>
      <c r="D3439" t="inlineStr">
        <is>
          <t>P203</t>
        </is>
      </c>
      <c r="E3439" t="n">
        <v>3</v>
      </c>
      <c r="F3439" t="n">
        <v>19.5</v>
      </c>
      <c r="G3439" t="n">
        <v>0</v>
      </c>
      <c r="H3439">
        <f>E3439*F3439*(1-G3439)</f>
        <v/>
      </c>
      <c r="I3439">
        <f>XLOOKUP(D3439,Products!$A$2:$A$15,Products!$B$2:$B$15,"Not found")</f>
        <v/>
      </c>
    </row>
    <row r="3440">
      <c r="A3440" t="n">
        <v>107759</v>
      </c>
      <c r="B3440" s="1" t="n">
        <v>45961</v>
      </c>
      <c r="C3440" t="inlineStr">
        <is>
          <t>S04</t>
        </is>
      </c>
      <c r="D3440" t="inlineStr">
        <is>
          <t>P102</t>
        </is>
      </c>
      <c r="E3440" t="n">
        <v>3</v>
      </c>
      <c r="F3440" t="n">
        <v>14.5</v>
      </c>
      <c r="G3440" t="n">
        <v>0.15</v>
      </c>
      <c r="H3440">
        <f>E3440*F3440*(1-G3440)</f>
        <v/>
      </c>
      <c r="I3440">
        <f>XLOOKUP(D3440,Products!$A$2:$A$15,Products!$B$2:$B$15,"Not found")</f>
        <v/>
      </c>
    </row>
    <row r="3441">
      <c r="A3441" t="n">
        <v>107760</v>
      </c>
      <c r="B3441" s="1" t="n">
        <v>45961</v>
      </c>
      <c r="C3441" t="inlineStr">
        <is>
          <t>S04</t>
        </is>
      </c>
      <c r="D3441" t="inlineStr">
        <is>
          <t>P202</t>
        </is>
      </c>
      <c r="E3441" t="n">
        <v>1</v>
      </c>
      <c r="F3441" t="n">
        <v>79</v>
      </c>
      <c r="G3441" t="n">
        <v>0</v>
      </c>
      <c r="H3441">
        <f>E3441*F3441*(1-G3441)</f>
        <v/>
      </c>
      <c r="I3441">
        <f>XLOOKUP(D3441,Products!$A$2:$A$15,Products!$B$2:$B$15,"Not found")</f>
        <v/>
      </c>
    </row>
    <row r="3442">
      <c r="A3442" t="n">
        <v>107761</v>
      </c>
      <c r="B3442" s="1" t="n">
        <v>45961</v>
      </c>
      <c r="C3442" t="inlineStr">
        <is>
          <t>S04</t>
        </is>
      </c>
      <c r="D3442" t="inlineStr">
        <is>
          <t>P102</t>
        </is>
      </c>
      <c r="E3442" t="n">
        <v>3</v>
      </c>
      <c r="F3442" t="n">
        <v>14.5</v>
      </c>
      <c r="G3442" t="n">
        <v>0</v>
      </c>
      <c r="H3442">
        <f>E3442*F3442*(1-G3442)</f>
        <v/>
      </c>
      <c r="I3442">
        <f>XLOOKUP(D3442,Products!$A$2:$A$15,Products!$B$2:$B$15,"Not found")</f>
        <v/>
      </c>
    </row>
    <row r="3443">
      <c r="A3443" t="n">
        <v>107762</v>
      </c>
      <c r="B3443" s="1" t="n">
        <v>45961</v>
      </c>
      <c r="C3443" t="inlineStr">
        <is>
          <t>S04</t>
        </is>
      </c>
      <c r="D3443" t="inlineStr">
        <is>
          <t>P403</t>
        </is>
      </c>
      <c r="E3443" t="n">
        <v>4</v>
      </c>
      <c r="F3443" t="n">
        <v>89</v>
      </c>
      <c r="G3443" t="n">
        <v>0.15</v>
      </c>
      <c r="H3443">
        <f>E3443*F3443*(1-G3443)</f>
        <v/>
      </c>
      <c r="I3443">
        <f>XLOOKUP(D3443,Products!$A$2:$A$15,Products!$B$2:$B$15,"Not found")</f>
        <v/>
      </c>
    </row>
    <row r="3444">
      <c r="A3444" t="n">
        <v>107763</v>
      </c>
      <c r="B3444" s="1" t="n">
        <v>45961</v>
      </c>
      <c r="C3444" t="inlineStr">
        <is>
          <t>S05</t>
        </is>
      </c>
      <c r="D3444" t="inlineStr">
        <is>
          <t>P301</t>
        </is>
      </c>
      <c r="E3444" t="n">
        <v>1</v>
      </c>
      <c r="F3444" t="n">
        <v>119</v>
      </c>
      <c r="G3444" t="n">
        <v>0.1</v>
      </c>
      <c r="H3444">
        <f>E3444*F3444*(1-G3444)</f>
        <v/>
      </c>
      <c r="I3444">
        <f>XLOOKUP(D3444,Products!$A$2:$A$15,Products!$B$2:$B$15,"Not found")</f>
        <v/>
      </c>
    </row>
    <row r="3445">
      <c r="A3445" t="n">
        <v>107764</v>
      </c>
      <c r="B3445" s="1" t="n">
        <v>45961</v>
      </c>
      <c r="C3445" t="inlineStr">
        <is>
          <t>S05</t>
        </is>
      </c>
      <c r="D3445" t="inlineStr">
        <is>
          <t>P101</t>
        </is>
      </c>
      <c r="E3445" t="n">
        <v>4</v>
      </c>
      <c r="F3445" t="n">
        <v>39</v>
      </c>
      <c r="G3445" t="n">
        <v>0.15</v>
      </c>
      <c r="H3445">
        <f>E3445*F3445*(1-G3445)</f>
        <v/>
      </c>
      <c r="I3445">
        <f>XLOOKUP(D3445,Products!$A$2:$A$15,Products!$B$2:$B$15,"Not found")</f>
        <v/>
      </c>
    </row>
    <row r="3446">
      <c r="A3446" t="n">
        <v>107765</v>
      </c>
      <c r="B3446" s="1" t="n">
        <v>45961</v>
      </c>
      <c r="C3446" t="inlineStr">
        <is>
          <t>S05</t>
        </is>
      </c>
      <c r="D3446" t="inlineStr">
        <is>
          <t>P201</t>
        </is>
      </c>
      <c r="E3446" t="n">
        <v>1</v>
      </c>
      <c r="F3446" t="n">
        <v>149</v>
      </c>
      <c r="G3446" t="n">
        <v>0</v>
      </c>
      <c r="H3446">
        <f>E3446*F3446*(1-G3446)</f>
        <v/>
      </c>
      <c r="I3446">
        <f>XLOOKUP(D3446,Products!$A$2:$A$15,Products!$B$2:$B$15,"Not found")</f>
        <v/>
      </c>
    </row>
    <row r="3447">
      <c r="A3447" t="n">
        <v>107766</v>
      </c>
      <c r="B3447" s="1" t="n">
        <v>45961</v>
      </c>
      <c r="C3447" t="inlineStr">
        <is>
          <t>S05</t>
        </is>
      </c>
      <c r="D3447" t="inlineStr">
        <is>
          <t>P302</t>
        </is>
      </c>
      <c r="E3447" t="n">
        <v>1</v>
      </c>
      <c r="F3447" t="n">
        <v>24</v>
      </c>
      <c r="G3447" t="n">
        <v>0</v>
      </c>
      <c r="H3447">
        <f>E3447*F3447*(1-G3447)</f>
        <v/>
      </c>
      <c r="I3447">
        <f>XLOOKUP(D3447,Products!$A$2:$A$15,Products!$B$2:$B$15,"Not found")</f>
        <v/>
      </c>
    </row>
    <row r="3448">
      <c r="A3448" t="n">
        <v>107767</v>
      </c>
      <c r="B3448" s="1" t="n">
        <v>45961</v>
      </c>
      <c r="C3448" t="inlineStr">
        <is>
          <t>S06</t>
        </is>
      </c>
      <c r="D3448" t="inlineStr">
        <is>
          <t>P102</t>
        </is>
      </c>
      <c r="E3448" t="n">
        <v>4</v>
      </c>
      <c r="F3448" t="n">
        <v>14.5</v>
      </c>
      <c r="G3448" t="n">
        <v>0.15</v>
      </c>
      <c r="H3448">
        <f>E3448*F3448*(1-G3448)</f>
        <v/>
      </c>
      <c r="I3448">
        <f>XLOOKUP(D3448,Products!$A$2:$A$15,Products!$B$2:$B$15,"Not found")</f>
        <v/>
      </c>
    </row>
    <row r="3449">
      <c r="A3449" t="n">
        <v>107768</v>
      </c>
      <c r="B3449" s="1" t="n">
        <v>45962</v>
      </c>
      <c r="C3449" t="inlineStr">
        <is>
          <t>S01</t>
        </is>
      </c>
      <c r="D3449" t="inlineStr">
        <is>
          <t>P303</t>
        </is>
      </c>
      <c r="E3449" t="n">
        <v>1</v>
      </c>
      <c r="F3449" t="n">
        <v>12</v>
      </c>
      <c r="G3449" t="n">
        <v>0.15</v>
      </c>
      <c r="H3449">
        <f>E3449*F3449*(1-G3449)</f>
        <v/>
      </c>
      <c r="I3449">
        <f>XLOOKUP(D3449,Products!$A$2:$A$15,Products!$B$2:$B$15,"Not found")</f>
        <v/>
      </c>
    </row>
    <row r="3450">
      <c r="A3450" t="n">
        <v>107769</v>
      </c>
      <c r="B3450" s="1" t="n">
        <v>45962</v>
      </c>
      <c r="C3450" t="inlineStr">
        <is>
          <t>S01</t>
        </is>
      </c>
      <c r="D3450" t="inlineStr">
        <is>
          <t>P303</t>
        </is>
      </c>
      <c r="E3450" t="n">
        <v>1</v>
      </c>
      <c r="F3450" t="n">
        <v>12</v>
      </c>
      <c r="G3450" t="n">
        <v>0.2</v>
      </c>
      <c r="H3450">
        <f>E3450*F3450*(1-G3450)</f>
        <v/>
      </c>
      <c r="I3450">
        <f>XLOOKUP(D3450,Products!$A$2:$A$15,Products!$B$2:$B$15,"Not found")</f>
        <v/>
      </c>
    </row>
    <row r="3451">
      <c r="A3451" t="n">
        <v>107770</v>
      </c>
      <c r="B3451" s="1" t="n">
        <v>45962</v>
      </c>
      <c r="C3451" t="inlineStr">
        <is>
          <t>S01</t>
        </is>
      </c>
      <c r="D3451" t="inlineStr">
        <is>
          <t>P203</t>
        </is>
      </c>
      <c r="E3451" t="n">
        <v>3</v>
      </c>
      <c r="F3451" t="n">
        <v>19.5</v>
      </c>
      <c r="G3451" t="n">
        <v>0</v>
      </c>
      <c r="H3451">
        <f>E3451*F3451*(1-G3451)</f>
        <v/>
      </c>
      <c r="I3451">
        <f>XLOOKUP(D3451,Products!$A$2:$A$15,Products!$B$2:$B$15,"Not found")</f>
        <v/>
      </c>
    </row>
    <row r="3452">
      <c r="A3452" t="n">
        <v>107771</v>
      </c>
      <c r="B3452" s="1" t="n">
        <v>45962</v>
      </c>
      <c r="C3452" t="inlineStr">
        <is>
          <t>S01</t>
        </is>
      </c>
      <c r="D3452" t="inlineStr">
        <is>
          <t>P104</t>
        </is>
      </c>
      <c r="E3452" t="n">
        <v>1</v>
      </c>
      <c r="F3452" t="n">
        <v>189</v>
      </c>
      <c r="G3452" t="n">
        <v>0</v>
      </c>
      <c r="H3452">
        <f>E3452*F3452*(1-G3452)</f>
        <v/>
      </c>
      <c r="I3452">
        <f>XLOOKUP(D3452,Products!$A$2:$A$15,Products!$B$2:$B$15,"Not found")</f>
        <v/>
      </c>
    </row>
    <row r="3453">
      <c r="A3453" t="n">
        <v>107772</v>
      </c>
      <c r="B3453" s="1" t="n">
        <v>45962</v>
      </c>
      <c r="C3453" t="inlineStr">
        <is>
          <t>S01</t>
        </is>
      </c>
      <c r="D3453" t="inlineStr">
        <is>
          <t>P102</t>
        </is>
      </c>
      <c r="E3453" t="n">
        <v>3</v>
      </c>
      <c r="F3453" t="n">
        <v>14.5</v>
      </c>
      <c r="G3453" t="n">
        <v>0.15</v>
      </c>
      <c r="H3453">
        <f>E3453*F3453*(1-G3453)</f>
        <v/>
      </c>
      <c r="I3453">
        <f>XLOOKUP(D3453,Products!$A$2:$A$15,Products!$B$2:$B$15,"Not found")</f>
        <v/>
      </c>
    </row>
    <row r="3454">
      <c r="A3454" t="n">
        <v>107773</v>
      </c>
      <c r="B3454" s="1" t="n">
        <v>45962</v>
      </c>
      <c r="C3454" t="inlineStr">
        <is>
          <t>S01</t>
        </is>
      </c>
      <c r="D3454" t="inlineStr">
        <is>
          <t>P303</t>
        </is>
      </c>
      <c r="E3454" t="n">
        <v>3</v>
      </c>
      <c r="F3454" t="n">
        <v>12</v>
      </c>
      <c r="G3454" t="n">
        <v>0.15</v>
      </c>
      <c r="H3454">
        <f>E3454*F3454*(1-G3454)</f>
        <v/>
      </c>
      <c r="I3454">
        <f>XLOOKUP(D3454,Products!$A$2:$A$15,Products!$B$2:$B$15,"Not found")</f>
        <v/>
      </c>
    </row>
    <row r="3455">
      <c r="A3455" t="n">
        <v>107774</v>
      </c>
      <c r="B3455" s="1" t="n">
        <v>45962</v>
      </c>
      <c r="C3455" t="inlineStr">
        <is>
          <t>S02</t>
        </is>
      </c>
      <c r="D3455" t="inlineStr">
        <is>
          <t>P301</t>
        </is>
      </c>
      <c r="E3455" t="n">
        <v>1</v>
      </c>
      <c r="F3455" t="n">
        <v>119</v>
      </c>
      <c r="G3455" t="n">
        <v>0</v>
      </c>
      <c r="H3455">
        <f>E3455*F3455*(1-G3455)</f>
        <v/>
      </c>
      <c r="I3455">
        <f>XLOOKUP(D3455,Products!$A$2:$A$15,Products!$B$2:$B$15,"Not found")</f>
        <v/>
      </c>
    </row>
    <row r="3456">
      <c r="A3456" t="n">
        <v>107775</v>
      </c>
      <c r="B3456" s="1" t="n">
        <v>45962</v>
      </c>
      <c r="C3456" t="inlineStr">
        <is>
          <t>S02</t>
        </is>
      </c>
      <c r="D3456" t="inlineStr">
        <is>
          <t>P102</t>
        </is>
      </c>
      <c r="E3456" t="n">
        <v>2</v>
      </c>
      <c r="F3456" t="n">
        <v>14.5</v>
      </c>
      <c r="G3456" t="n">
        <v>0</v>
      </c>
      <c r="H3456">
        <f>E3456*F3456*(1-G3456)</f>
        <v/>
      </c>
      <c r="I3456">
        <f>XLOOKUP(D3456,Products!$A$2:$A$15,Products!$B$2:$B$15,"Not found")</f>
        <v/>
      </c>
    </row>
    <row r="3457">
      <c r="A3457" t="n">
        <v>107776</v>
      </c>
      <c r="B3457" s="1" t="n">
        <v>45962</v>
      </c>
      <c r="C3457" t="inlineStr">
        <is>
          <t>S03</t>
        </is>
      </c>
      <c r="D3457" t="inlineStr">
        <is>
          <t>P302</t>
        </is>
      </c>
      <c r="E3457" t="n">
        <v>2</v>
      </c>
      <c r="F3457" t="n">
        <v>24</v>
      </c>
      <c r="G3457" t="n">
        <v>0</v>
      </c>
      <c r="H3457">
        <f>E3457*F3457*(1-G3457)</f>
        <v/>
      </c>
      <c r="I3457">
        <f>XLOOKUP(D3457,Products!$A$2:$A$15,Products!$B$2:$B$15,"Not found")</f>
        <v/>
      </c>
    </row>
    <row r="3458">
      <c r="A3458" t="n">
        <v>107777</v>
      </c>
      <c r="B3458" s="1" t="n">
        <v>45962</v>
      </c>
      <c r="C3458" t="inlineStr">
        <is>
          <t>S03</t>
        </is>
      </c>
      <c r="D3458" t="inlineStr">
        <is>
          <t>P403</t>
        </is>
      </c>
      <c r="E3458" t="n">
        <v>1</v>
      </c>
      <c r="F3458" t="n">
        <v>89</v>
      </c>
      <c r="G3458" t="n">
        <v>0.2</v>
      </c>
      <c r="H3458">
        <f>E3458*F3458*(1-G3458)</f>
        <v/>
      </c>
      <c r="I3458">
        <f>XLOOKUP(D3458,Products!$A$2:$A$15,Products!$B$2:$B$15,"Not found")</f>
        <v/>
      </c>
    </row>
    <row r="3459">
      <c r="A3459" t="n">
        <v>107778</v>
      </c>
      <c r="B3459" s="1" t="n">
        <v>45962</v>
      </c>
      <c r="C3459" t="inlineStr">
        <is>
          <t>S03</t>
        </is>
      </c>
      <c r="D3459" t="inlineStr">
        <is>
          <t>P104</t>
        </is>
      </c>
      <c r="E3459" t="n">
        <v>1</v>
      </c>
      <c r="F3459" t="n">
        <v>189</v>
      </c>
      <c r="G3459" t="n">
        <v>0</v>
      </c>
      <c r="H3459">
        <f>E3459*F3459*(1-G3459)</f>
        <v/>
      </c>
      <c r="I3459">
        <f>XLOOKUP(D3459,Products!$A$2:$A$15,Products!$B$2:$B$15,"Not found")</f>
        <v/>
      </c>
    </row>
    <row r="3460">
      <c r="A3460" t="n">
        <v>107779</v>
      </c>
      <c r="B3460" s="1" t="n">
        <v>45962</v>
      </c>
      <c r="C3460" t="inlineStr">
        <is>
          <t>S04</t>
        </is>
      </c>
      <c r="D3460" t="inlineStr">
        <is>
          <t>P101</t>
        </is>
      </c>
      <c r="E3460" t="n">
        <v>1</v>
      </c>
      <c r="F3460" t="n">
        <v>39</v>
      </c>
      <c r="G3460" t="n">
        <v>0.2</v>
      </c>
      <c r="H3460">
        <f>E3460*F3460*(1-G3460)</f>
        <v/>
      </c>
      <c r="I3460">
        <f>XLOOKUP(D3460,Products!$A$2:$A$15,Products!$B$2:$B$15,"Not found")</f>
        <v/>
      </c>
    </row>
    <row r="3461">
      <c r="A3461" t="n">
        <v>107780</v>
      </c>
      <c r="B3461" s="1" t="n">
        <v>45962</v>
      </c>
      <c r="C3461" t="inlineStr">
        <is>
          <t>S04</t>
        </is>
      </c>
      <c r="D3461" t="inlineStr">
        <is>
          <t>P301</t>
        </is>
      </c>
      <c r="E3461" t="n">
        <v>1</v>
      </c>
      <c r="F3461" t="n">
        <v>119</v>
      </c>
      <c r="G3461" t="n">
        <v>0</v>
      </c>
      <c r="H3461">
        <f>E3461*F3461*(1-G3461)</f>
        <v/>
      </c>
      <c r="I3461">
        <f>XLOOKUP(D3461,Products!$A$2:$A$15,Products!$B$2:$B$15,"Not found")</f>
        <v/>
      </c>
    </row>
    <row r="3462">
      <c r="A3462" t="n">
        <v>107781</v>
      </c>
      <c r="B3462" s="1" t="n">
        <v>45962</v>
      </c>
      <c r="C3462" t="inlineStr">
        <is>
          <t>S04</t>
        </is>
      </c>
      <c r="D3462" t="inlineStr">
        <is>
          <t>P103</t>
        </is>
      </c>
      <c r="E3462" t="n">
        <v>1</v>
      </c>
      <c r="F3462" t="n">
        <v>29</v>
      </c>
      <c r="G3462" t="n">
        <v>0</v>
      </c>
      <c r="H3462">
        <f>E3462*F3462*(1-G3462)</f>
        <v/>
      </c>
      <c r="I3462">
        <f>XLOOKUP(D3462,Products!$A$2:$A$15,Products!$B$2:$B$15,"Not found")</f>
        <v/>
      </c>
    </row>
    <row r="3463">
      <c r="A3463" t="n">
        <v>107782</v>
      </c>
      <c r="B3463" s="1" t="n">
        <v>45962</v>
      </c>
      <c r="C3463" t="inlineStr">
        <is>
          <t>S04</t>
        </is>
      </c>
      <c r="D3463" t="inlineStr">
        <is>
          <t>P303</t>
        </is>
      </c>
      <c r="E3463" t="n">
        <v>4</v>
      </c>
      <c r="F3463" t="n">
        <v>12</v>
      </c>
      <c r="G3463" t="n">
        <v>0.15</v>
      </c>
      <c r="H3463">
        <f>E3463*F3463*(1-G3463)</f>
        <v/>
      </c>
      <c r="I3463">
        <f>XLOOKUP(D3463,Products!$A$2:$A$15,Products!$B$2:$B$15,"Not found")</f>
        <v/>
      </c>
    </row>
    <row r="3464">
      <c r="A3464" t="n">
        <v>107783</v>
      </c>
      <c r="B3464" s="1" t="n">
        <v>45962</v>
      </c>
      <c r="C3464" t="inlineStr">
        <is>
          <t>S04</t>
        </is>
      </c>
      <c r="D3464" t="inlineStr">
        <is>
          <t>P101</t>
        </is>
      </c>
      <c r="E3464" t="n">
        <v>1</v>
      </c>
      <c r="F3464" t="n">
        <v>39</v>
      </c>
      <c r="G3464" t="n">
        <v>0.1</v>
      </c>
      <c r="H3464">
        <f>E3464*F3464*(1-G3464)</f>
        <v/>
      </c>
      <c r="I3464">
        <f>XLOOKUP(D3464,Products!$A$2:$A$15,Products!$B$2:$B$15,"Not found")</f>
        <v/>
      </c>
    </row>
    <row r="3465">
      <c r="A3465" t="n">
        <v>107784</v>
      </c>
      <c r="B3465" s="1" t="n">
        <v>45962</v>
      </c>
      <c r="C3465" t="inlineStr">
        <is>
          <t>S05</t>
        </is>
      </c>
      <c r="D3465" t="inlineStr">
        <is>
          <t>P203</t>
        </is>
      </c>
      <c r="E3465" t="n">
        <v>3</v>
      </c>
      <c r="F3465" t="n">
        <v>19.5</v>
      </c>
      <c r="G3465" t="n">
        <v>0.15</v>
      </c>
      <c r="H3465">
        <f>E3465*F3465*(1-G3465)</f>
        <v/>
      </c>
      <c r="I3465">
        <f>XLOOKUP(D3465,Products!$A$2:$A$15,Products!$B$2:$B$15,"Not found")</f>
        <v/>
      </c>
    </row>
    <row r="3466">
      <c r="A3466" t="n">
        <v>107785</v>
      </c>
      <c r="B3466" s="1" t="n">
        <v>45962</v>
      </c>
      <c r="C3466" t="inlineStr">
        <is>
          <t>S05</t>
        </is>
      </c>
      <c r="D3466" t="inlineStr">
        <is>
          <t>P303</t>
        </is>
      </c>
      <c r="E3466" t="n">
        <v>1</v>
      </c>
      <c r="F3466" t="n">
        <v>12</v>
      </c>
      <c r="G3466" t="n">
        <v>0</v>
      </c>
      <c r="H3466">
        <f>E3466*F3466*(1-G3466)</f>
        <v/>
      </c>
      <c r="I3466">
        <f>XLOOKUP(D3466,Products!$A$2:$A$15,Products!$B$2:$B$15,"Not found")</f>
        <v/>
      </c>
    </row>
    <row r="3467">
      <c r="A3467" t="n">
        <v>107786</v>
      </c>
      <c r="B3467" s="1" t="n">
        <v>45962</v>
      </c>
      <c r="C3467" t="inlineStr">
        <is>
          <t>S06</t>
        </is>
      </c>
      <c r="D3467" t="inlineStr">
        <is>
          <t>P302</t>
        </is>
      </c>
      <c r="E3467" t="n">
        <v>1</v>
      </c>
      <c r="F3467" t="n">
        <v>24</v>
      </c>
      <c r="G3467" t="n">
        <v>0</v>
      </c>
      <c r="H3467">
        <f>E3467*F3467*(1-G3467)</f>
        <v/>
      </c>
      <c r="I3467">
        <f>XLOOKUP(D3467,Products!$A$2:$A$15,Products!$B$2:$B$15,"Not found")</f>
        <v/>
      </c>
    </row>
    <row r="3468">
      <c r="A3468" t="n">
        <v>107787</v>
      </c>
      <c r="B3468" s="1" t="n">
        <v>45962</v>
      </c>
      <c r="C3468" t="inlineStr">
        <is>
          <t>S06</t>
        </is>
      </c>
      <c r="D3468" t="inlineStr">
        <is>
          <t>P202</t>
        </is>
      </c>
      <c r="E3468" t="n">
        <v>2</v>
      </c>
      <c r="F3468" t="n">
        <v>79</v>
      </c>
      <c r="G3468" t="n">
        <v>0</v>
      </c>
      <c r="H3468">
        <f>E3468*F3468*(1-G3468)</f>
        <v/>
      </c>
      <c r="I3468">
        <f>XLOOKUP(D3468,Products!$A$2:$A$15,Products!$B$2:$B$15,"Not found")</f>
        <v/>
      </c>
    </row>
    <row r="3469">
      <c r="A3469" t="n">
        <v>107788</v>
      </c>
      <c r="B3469" s="1" t="n">
        <v>45962</v>
      </c>
      <c r="C3469" t="inlineStr">
        <is>
          <t>S06</t>
        </is>
      </c>
      <c r="D3469" t="inlineStr">
        <is>
          <t>P204</t>
        </is>
      </c>
      <c r="E3469" t="n">
        <v>1</v>
      </c>
      <c r="F3469" t="n">
        <v>229</v>
      </c>
      <c r="G3469" t="n">
        <v>0.2</v>
      </c>
      <c r="H3469">
        <f>E3469*F3469*(1-G3469)</f>
        <v/>
      </c>
      <c r="I3469">
        <f>XLOOKUP(D3469,Products!$A$2:$A$15,Products!$B$2:$B$15,"Not found")</f>
        <v/>
      </c>
    </row>
    <row r="3470">
      <c r="A3470" t="n">
        <v>107789</v>
      </c>
      <c r="B3470" s="1" t="n">
        <v>45962</v>
      </c>
      <c r="C3470" t="inlineStr">
        <is>
          <t>S06</t>
        </is>
      </c>
      <c r="D3470" t="inlineStr">
        <is>
          <t>P101</t>
        </is>
      </c>
      <c r="E3470" t="n">
        <v>1</v>
      </c>
      <c r="F3470" t="n">
        <v>39</v>
      </c>
      <c r="G3470" t="n">
        <v>0.1</v>
      </c>
      <c r="H3470">
        <f>E3470*F3470*(1-G3470)</f>
        <v/>
      </c>
      <c r="I3470">
        <f>XLOOKUP(D3470,Products!$A$2:$A$15,Products!$B$2:$B$15,"Not found")</f>
        <v/>
      </c>
    </row>
    <row r="3471">
      <c r="A3471" t="n">
        <v>107790</v>
      </c>
      <c r="B3471" s="1" t="n">
        <v>45963</v>
      </c>
      <c r="C3471" t="inlineStr">
        <is>
          <t>S01</t>
        </is>
      </c>
      <c r="D3471" t="inlineStr">
        <is>
          <t>P101</t>
        </is>
      </c>
      <c r="E3471" t="n">
        <v>1</v>
      </c>
      <c r="F3471" t="n">
        <v>39</v>
      </c>
      <c r="G3471" t="n">
        <v>0</v>
      </c>
      <c r="H3471">
        <f>E3471*F3471*(1-G3471)</f>
        <v/>
      </c>
      <c r="I3471">
        <f>XLOOKUP(D3471,Products!$A$2:$A$15,Products!$B$2:$B$15,"Not found")</f>
        <v/>
      </c>
    </row>
    <row r="3472">
      <c r="A3472" t="n">
        <v>107791</v>
      </c>
      <c r="B3472" s="1" t="n">
        <v>45963</v>
      </c>
      <c r="C3472" t="inlineStr">
        <is>
          <t>S01</t>
        </is>
      </c>
      <c r="D3472" t="inlineStr">
        <is>
          <t>P301</t>
        </is>
      </c>
      <c r="E3472" t="n">
        <v>1</v>
      </c>
      <c r="F3472" t="n">
        <v>119</v>
      </c>
      <c r="G3472" t="n">
        <v>0</v>
      </c>
      <c r="H3472">
        <f>E3472*F3472*(1-G3472)</f>
        <v/>
      </c>
      <c r="I3472">
        <f>XLOOKUP(D3472,Products!$A$2:$A$15,Products!$B$2:$B$15,"Not found")</f>
        <v/>
      </c>
    </row>
    <row r="3473">
      <c r="A3473" t="n">
        <v>107792</v>
      </c>
      <c r="B3473" s="1" t="n">
        <v>45963</v>
      </c>
      <c r="C3473" t="inlineStr">
        <is>
          <t>S01</t>
        </is>
      </c>
      <c r="D3473" t="inlineStr">
        <is>
          <t>P303</t>
        </is>
      </c>
      <c r="E3473" t="n">
        <v>3</v>
      </c>
      <c r="F3473" t="n">
        <v>12</v>
      </c>
      <c r="G3473" t="n">
        <v>0</v>
      </c>
      <c r="H3473">
        <f>E3473*F3473*(1-G3473)</f>
        <v/>
      </c>
      <c r="I3473">
        <f>XLOOKUP(D3473,Products!$A$2:$A$15,Products!$B$2:$B$15,"Not found")</f>
        <v/>
      </c>
    </row>
    <row r="3474">
      <c r="A3474" t="n">
        <v>107793</v>
      </c>
      <c r="B3474" s="1" t="n">
        <v>45963</v>
      </c>
      <c r="C3474" t="inlineStr">
        <is>
          <t>S02</t>
        </is>
      </c>
      <c r="D3474" t="inlineStr">
        <is>
          <t>P104</t>
        </is>
      </c>
      <c r="E3474" t="n">
        <v>1</v>
      </c>
      <c r="F3474" t="n">
        <v>189</v>
      </c>
      <c r="G3474" t="n">
        <v>0.2</v>
      </c>
      <c r="H3474">
        <f>E3474*F3474*(1-G3474)</f>
        <v/>
      </c>
      <c r="I3474">
        <f>XLOOKUP(D3474,Products!$A$2:$A$15,Products!$B$2:$B$15,"Not found")</f>
        <v/>
      </c>
    </row>
    <row r="3475">
      <c r="A3475" t="n">
        <v>107794</v>
      </c>
      <c r="B3475" s="1" t="n">
        <v>45963</v>
      </c>
      <c r="C3475" t="inlineStr">
        <is>
          <t>S03</t>
        </is>
      </c>
      <c r="D3475" t="inlineStr">
        <is>
          <t>P302</t>
        </is>
      </c>
      <c r="E3475" t="n">
        <v>3</v>
      </c>
      <c r="F3475" t="n">
        <v>24</v>
      </c>
      <c r="G3475" t="n">
        <v>0.2</v>
      </c>
      <c r="H3475">
        <f>E3475*F3475*(1-G3475)</f>
        <v/>
      </c>
      <c r="I3475">
        <f>XLOOKUP(D3475,Products!$A$2:$A$15,Products!$B$2:$B$15,"Not found")</f>
        <v/>
      </c>
    </row>
    <row r="3476">
      <c r="A3476" t="n">
        <v>107795</v>
      </c>
      <c r="B3476" s="1" t="n">
        <v>45963</v>
      </c>
      <c r="C3476" t="inlineStr">
        <is>
          <t>S04</t>
        </is>
      </c>
      <c r="D3476" t="inlineStr">
        <is>
          <t>P201</t>
        </is>
      </c>
      <c r="E3476" t="n">
        <v>1</v>
      </c>
      <c r="F3476" t="n">
        <v>149</v>
      </c>
      <c r="G3476" t="n">
        <v>0</v>
      </c>
      <c r="H3476">
        <f>E3476*F3476*(1-G3476)</f>
        <v/>
      </c>
      <c r="I3476">
        <f>XLOOKUP(D3476,Products!$A$2:$A$15,Products!$B$2:$B$15,"Not found")</f>
        <v/>
      </c>
    </row>
    <row r="3477">
      <c r="A3477" t="n">
        <v>107796</v>
      </c>
      <c r="B3477" s="1" t="n">
        <v>45963</v>
      </c>
      <c r="C3477" t="inlineStr">
        <is>
          <t>S04</t>
        </is>
      </c>
      <c r="D3477" t="inlineStr">
        <is>
          <t>P403</t>
        </is>
      </c>
      <c r="E3477" t="n">
        <v>2</v>
      </c>
      <c r="F3477" t="n">
        <v>89</v>
      </c>
      <c r="G3477" t="n">
        <v>0</v>
      </c>
      <c r="H3477">
        <f>E3477*F3477*(1-G3477)</f>
        <v/>
      </c>
      <c r="I3477">
        <f>XLOOKUP(D3477,Products!$A$2:$A$15,Products!$B$2:$B$15,"Not found")</f>
        <v/>
      </c>
    </row>
    <row r="3478">
      <c r="A3478" t="n">
        <v>107797</v>
      </c>
      <c r="B3478" s="1" t="n">
        <v>45963</v>
      </c>
      <c r="C3478" t="inlineStr">
        <is>
          <t>S05</t>
        </is>
      </c>
      <c r="D3478" t="inlineStr">
        <is>
          <t>P102</t>
        </is>
      </c>
      <c r="E3478" t="n">
        <v>1</v>
      </c>
      <c r="F3478" t="n">
        <v>14.5</v>
      </c>
      <c r="G3478" t="n">
        <v>0</v>
      </c>
      <c r="H3478">
        <f>E3478*F3478*(1-G3478)</f>
        <v/>
      </c>
      <c r="I3478">
        <f>XLOOKUP(D3478,Products!$A$2:$A$15,Products!$B$2:$B$15,"Not found")</f>
        <v/>
      </c>
    </row>
    <row r="3479">
      <c r="A3479" t="n">
        <v>107798</v>
      </c>
      <c r="B3479" s="1" t="n">
        <v>45963</v>
      </c>
      <c r="C3479" t="inlineStr">
        <is>
          <t>S05</t>
        </is>
      </c>
      <c r="D3479" t="inlineStr">
        <is>
          <t>P103</t>
        </is>
      </c>
      <c r="E3479" t="n">
        <v>4</v>
      </c>
      <c r="F3479" t="n">
        <v>29</v>
      </c>
      <c r="G3479" t="n">
        <v>0.1</v>
      </c>
      <c r="H3479">
        <f>E3479*F3479*(1-G3479)</f>
        <v/>
      </c>
      <c r="I3479">
        <f>XLOOKUP(D3479,Products!$A$2:$A$15,Products!$B$2:$B$15,"Not found")</f>
        <v/>
      </c>
    </row>
    <row r="3480">
      <c r="A3480" t="n">
        <v>107799</v>
      </c>
      <c r="B3480" s="1" t="n">
        <v>45963</v>
      </c>
      <c r="C3480" t="inlineStr">
        <is>
          <t>S05</t>
        </is>
      </c>
      <c r="D3480" t="inlineStr">
        <is>
          <t>P301</t>
        </is>
      </c>
      <c r="E3480" t="n">
        <v>1</v>
      </c>
      <c r="F3480" t="n">
        <v>119</v>
      </c>
      <c r="G3480" t="n">
        <v>0</v>
      </c>
      <c r="H3480">
        <f>E3480*F3480*(1-G3480)</f>
        <v/>
      </c>
      <c r="I3480">
        <f>XLOOKUP(D3480,Products!$A$2:$A$15,Products!$B$2:$B$15,"Not found")</f>
        <v/>
      </c>
    </row>
    <row r="3481">
      <c r="A3481" t="n">
        <v>107800</v>
      </c>
      <c r="B3481" s="1" t="n">
        <v>45964</v>
      </c>
      <c r="C3481" t="inlineStr">
        <is>
          <t>S01</t>
        </is>
      </c>
      <c r="D3481" t="inlineStr">
        <is>
          <t>P403</t>
        </is>
      </c>
      <c r="E3481" t="n">
        <v>1</v>
      </c>
      <c r="F3481" t="n">
        <v>89</v>
      </c>
      <c r="G3481" t="n">
        <v>0.15</v>
      </c>
      <c r="H3481">
        <f>E3481*F3481*(1-G3481)</f>
        <v/>
      </c>
      <c r="I3481">
        <f>XLOOKUP(D3481,Products!$A$2:$A$15,Products!$B$2:$B$15,"Not found")</f>
        <v/>
      </c>
    </row>
    <row r="3482">
      <c r="A3482" t="n">
        <v>107801</v>
      </c>
      <c r="B3482" s="1" t="n">
        <v>45964</v>
      </c>
      <c r="C3482" t="inlineStr">
        <is>
          <t>S01</t>
        </is>
      </c>
      <c r="D3482" t="inlineStr">
        <is>
          <t>P203</t>
        </is>
      </c>
      <c r="E3482" t="n">
        <v>1</v>
      </c>
      <c r="F3482" t="n">
        <v>19.5</v>
      </c>
      <c r="G3482" t="n">
        <v>0</v>
      </c>
      <c r="H3482">
        <f>E3482*F3482*(1-G3482)</f>
        <v/>
      </c>
      <c r="I3482">
        <f>XLOOKUP(D3482,Products!$A$2:$A$15,Products!$B$2:$B$15,"Not found")</f>
        <v/>
      </c>
    </row>
    <row r="3483">
      <c r="A3483" t="n">
        <v>107802</v>
      </c>
      <c r="B3483" s="1" t="n">
        <v>45964</v>
      </c>
      <c r="C3483" t="inlineStr">
        <is>
          <t>S01</t>
        </is>
      </c>
      <c r="D3483" t="inlineStr">
        <is>
          <t>P301</t>
        </is>
      </c>
      <c r="E3483" t="n">
        <v>1</v>
      </c>
      <c r="F3483" t="n">
        <v>119</v>
      </c>
      <c r="G3483" t="n">
        <v>0.1</v>
      </c>
      <c r="H3483">
        <f>E3483*F3483*(1-G3483)</f>
        <v/>
      </c>
      <c r="I3483">
        <f>XLOOKUP(D3483,Products!$A$2:$A$15,Products!$B$2:$B$15,"Not found")</f>
        <v/>
      </c>
    </row>
    <row r="3484">
      <c r="A3484" t="n">
        <v>107803</v>
      </c>
      <c r="B3484" s="1" t="n">
        <v>45964</v>
      </c>
      <c r="C3484" t="inlineStr">
        <is>
          <t>S01</t>
        </is>
      </c>
      <c r="D3484" t="inlineStr">
        <is>
          <t>P102</t>
        </is>
      </c>
      <c r="E3484" t="n">
        <v>2</v>
      </c>
      <c r="F3484" t="n">
        <v>14.5</v>
      </c>
      <c r="G3484" t="n">
        <v>0</v>
      </c>
      <c r="H3484">
        <f>E3484*F3484*(1-G3484)</f>
        <v/>
      </c>
      <c r="I3484">
        <f>XLOOKUP(D3484,Products!$A$2:$A$15,Products!$B$2:$B$15,"Not found")</f>
        <v/>
      </c>
    </row>
    <row r="3485">
      <c r="A3485" t="n">
        <v>107804</v>
      </c>
      <c r="B3485" s="1" t="n">
        <v>45964</v>
      </c>
      <c r="C3485" t="inlineStr">
        <is>
          <t>S01</t>
        </is>
      </c>
      <c r="D3485" t="inlineStr">
        <is>
          <t>P101</t>
        </is>
      </c>
      <c r="E3485" t="n">
        <v>1</v>
      </c>
      <c r="F3485" t="n">
        <v>39</v>
      </c>
      <c r="G3485" t="n">
        <v>0</v>
      </c>
      <c r="H3485">
        <f>E3485*F3485*(1-G3485)</f>
        <v/>
      </c>
      <c r="I3485">
        <f>XLOOKUP(D3485,Products!$A$2:$A$15,Products!$B$2:$B$15,"Not found")</f>
        <v/>
      </c>
    </row>
    <row r="3486">
      <c r="A3486" t="n">
        <v>107805</v>
      </c>
      <c r="B3486" s="1" t="n">
        <v>45964</v>
      </c>
      <c r="C3486" t="inlineStr">
        <is>
          <t>S01</t>
        </is>
      </c>
      <c r="D3486" t="inlineStr">
        <is>
          <t>P204</t>
        </is>
      </c>
      <c r="E3486" t="n">
        <v>1</v>
      </c>
      <c r="F3486" t="n">
        <v>229</v>
      </c>
      <c r="G3486" t="n">
        <v>0.2</v>
      </c>
      <c r="H3486">
        <f>E3486*F3486*(1-G3486)</f>
        <v/>
      </c>
      <c r="I3486">
        <f>XLOOKUP(D3486,Products!$A$2:$A$15,Products!$B$2:$B$15,"Not found")</f>
        <v/>
      </c>
    </row>
    <row r="3487">
      <c r="A3487" t="n">
        <v>107806</v>
      </c>
      <c r="B3487" s="1" t="n">
        <v>45964</v>
      </c>
      <c r="C3487" t="inlineStr">
        <is>
          <t>S02</t>
        </is>
      </c>
      <c r="D3487" t="inlineStr">
        <is>
          <t>P202</t>
        </is>
      </c>
      <c r="E3487" t="n">
        <v>3</v>
      </c>
      <c r="F3487" t="n">
        <v>79</v>
      </c>
      <c r="G3487" t="n">
        <v>0</v>
      </c>
      <c r="H3487">
        <f>E3487*F3487*(1-G3487)</f>
        <v/>
      </c>
      <c r="I3487">
        <f>XLOOKUP(D3487,Products!$A$2:$A$15,Products!$B$2:$B$15,"Not found")</f>
        <v/>
      </c>
    </row>
    <row r="3488">
      <c r="A3488" t="n">
        <v>107807</v>
      </c>
      <c r="B3488" s="1" t="n">
        <v>45964</v>
      </c>
      <c r="C3488" t="inlineStr">
        <is>
          <t>S02</t>
        </is>
      </c>
      <c r="D3488" t="inlineStr">
        <is>
          <t>P101</t>
        </is>
      </c>
      <c r="E3488" t="n">
        <v>4</v>
      </c>
      <c r="F3488" t="n">
        <v>39</v>
      </c>
      <c r="G3488" t="n">
        <v>0</v>
      </c>
      <c r="H3488">
        <f>E3488*F3488*(1-G3488)</f>
        <v/>
      </c>
      <c r="I3488">
        <f>XLOOKUP(D3488,Products!$A$2:$A$15,Products!$B$2:$B$15,"Not found")</f>
        <v/>
      </c>
    </row>
    <row r="3489">
      <c r="A3489" t="n">
        <v>107808</v>
      </c>
      <c r="B3489" s="1" t="n">
        <v>45964</v>
      </c>
      <c r="C3489" t="inlineStr">
        <is>
          <t>S03</t>
        </is>
      </c>
      <c r="D3489" t="inlineStr">
        <is>
          <t>P302</t>
        </is>
      </c>
      <c r="E3489" t="n">
        <v>2</v>
      </c>
      <c r="F3489" t="n">
        <v>24</v>
      </c>
      <c r="G3489" t="n">
        <v>0.2</v>
      </c>
      <c r="H3489">
        <f>E3489*F3489*(1-G3489)</f>
        <v/>
      </c>
      <c r="I3489">
        <f>XLOOKUP(D3489,Products!$A$2:$A$15,Products!$B$2:$B$15,"Not found")</f>
        <v/>
      </c>
    </row>
    <row r="3490">
      <c r="A3490" t="n">
        <v>107809</v>
      </c>
      <c r="B3490" s="1" t="n">
        <v>45964</v>
      </c>
      <c r="C3490" t="inlineStr">
        <is>
          <t>S03</t>
        </is>
      </c>
      <c r="D3490" t="inlineStr">
        <is>
          <t>P102</t>
        </is>
      </c>
      <c r="E3490" t="n">
        <v>1</v>
      </c>
      <c r="F3490" t="n">
        <v>14.5</v>
      </c>
      <c r="G3490" t="n">
        <v>0.1</v>
      </c>
      <c r="H3490">
        <f>E3490*F3490*(1-G3490)</f>
        <v/>
      </c>
      <c r="I3490">
        <f>XLOOKUP(D3490,Products!$A$2:$A$15,Products!$B$2:$B$15,"Not found")</f>
        <v/>
      </c>
    </row>
    <row r="3491">
      <c r="A3491" t="n">
        <v>107810</v>
      </c>
      <c r="B3491" s="1" t="n">
        <v>45964</v>
      </c>
      <c r="C3491" t="inlineStr">
        <is>
          <t>S04</t>
        </is>
      </c>
      <c r="D3491" t="inlineStr">
        <is>
          <t>P203</t>
        </is>
      </c>
      <c r="E3491" t="n">
        <v>1</v>
      </c>
      <c r="F3491" t="n">
        <v>19.5</v>
      </c>
      <c r="G3491" t="n">
        <v>0.15</v>
      </c>
      <c r="H3491">
        <f>E3491*F3491*(1-G3491)</f>
        <v/>
      </c>
      <c r="I3491">
        <f>XLOOKUP(D3491,Products!$A$2:$A$15,Products!$B$2:$B$15,"Not found")</f>
        <v/>
      </c>
    </row>
    <row r="3492">
      <c r="A3492" t="n">
        <v>107811</v>
      </c>
      <c r="B3492" s="1" t="n">
        <v>45964</v>
      </c>
      <c r="C3492" t="inlineStr">
        <is>
          <t>S05</t>
        </is>
      </c>
      <c r="D3492" t="inlineStr">
        <is>
          <t>P104</t>
        </is>
      </c>
      <c r="E3492" t="n">
        <v>1</v>
      </c>
      <c r="F3492" t="n">
        <v>189</v>
      </c>
      <c r="G3492" t="n">
        <v>0.1</v>
      </c>
      <c r="H3492">
        <f>E3492*F3492*(1-G3492)</f>
        <v/>
      </c>
      <c r="I3492">
        <f>XLOOKUP(D3492,Products!$A$2:$A$15,Products!$B$2:$B$15,"Not found")</f>
        <v/>
      </c>
    </row>
    <row r="3493">
      <c r="A3493" t="n">
        <v>107812</v>
      </c>
      <c r="B3493" s="1" t="n">
        <v>45964</v>
      </c>
      <c r="C3493" t="inlineStr">
        <is>
          <t>S05</t>
        </is>
      </c>
      <c r="D3493" t="inlineStr">
        <is>
          <t>P301</t>
        </is>
      </c>
      <c r="E3493" t="n">
        <v>1</v>
      </c>
      <c r="F3493" t="n">
        <v>119</v>
      </c>
      <c r="G3493" t="n">
        <v>0.2</v>
      </c>
      <c r="H3493">
        <f>E3493*F3493*(1-G3493)</f>
        <v/>
      </c>
      <c r="I3493">
        <f>XLOOKUP(D3493,Products!$A$2:$A$15,Products!$B$2:$B$15,"Not found")</f>
        <v/>
      </c>
    </row>
    <row r="3494">
      <c r="A3494" t="n">
        <v>107813</v>
      </c>
      <c r="B3494" s="1" t="n">
        <v>45964</v>
      </c>
      <c r="C3494" t="inlineStr">
        <is>
          <t>S05</t>
        </is>
      </c>
      <c r="D3494" t="inlineStr">
        <is>
          <t>P102</t>
        </is>
      </c>
      <c r="E3494" t="n">
        <v>2</v>
      </c>
      <c r="F3494" t="n">
        <v>14.5</v>
      </c>
      <c r="G3494" t="n">
        <v>0</v>
      </c>
      <c r="H3494">
        <f>E3494*F3494*(1-G3494)</f>
        <v/>
      </c>
      <c r="I3494">
        <f>XLOOKUP(D3494,Products!$A$2:$A$15,Products!$B$2:$B$15,"Not found")</f>
        <v/>
      </c>
    </row>
    <row r="3495">
      <c r="A3495" t="n">
        <v>107814</v>
      </c>
      <c r="B3495" s="1" t="n">
        <v>45964</v>
      </c>
      <c r="C3495" t="inlineStr">
        <is>
          <t>S05</t>
        </is>
      </c>
      <c r="D3495" t="inlineStr">
        <is>
          <t>P104</t>
        </is>
      </c>
      <c r="E3495" t="n">
        <v>1</v>
      </c>
      <c r="F3495" t="n">
        <v>189</v>
      </c>
      <c r="G3495" t="n">
        <v>0</v>
      </c>
      <c r="H3495">
        <f>E3495*F3495*(1-G3495)</f>
        <v/>
      </c>
      <c r="I3495">
        <f>XLOOKUP(D3495,Products!$A$2:$A$15,Products!$B$2:$B$15,"Not found")</f>
        <v/>
      </c>
    </row>
    <row r="3496">
      <c r="A3496" t="n">
        <v>107815</v>
      </c>
      <c r="B3496" s="1" t="n">
        <v>45964</v>
      </c>
      <c r="C3496" t="inlineStr">
        <is>
          <t>S06</t>
        </is>
      </c>
      <c r="D3496" t="inlineStr">
        <is>
          <t>P103</t>
        </is>
      </c>
      <c r="E3496" t="n">
        <v>3</v>
      </c>
      <c r="F3496" t="n">
        <v>29</v>
      </c>
      <c r="G3496" t="n">
        <v>0</v>
      </c>
      <c r="H3496">
        <f>E3496*F3496*(1-G3496)</f>
        <v/>
      </c>
      <c r="I3496">
        <f>XLOOKUP(D3496,Products!$A$2:$A$15,Products!$B$2:$B$15,"Not found")</f>
        <v/>
      </c>
    </row>
    <row r="3497">
      <c r="A3497" t="n">
        <v>107816</v>
      </c>
      <c r="B3497" s="1" t="n">
        <v>45965</v>
      </c>
      <c r="C3497" t="inlineStr">
        <is>
          <t>S01</t>
        </is>
      </c>
      <c r="D3497" t="inlineStr">
        <is>
          <t>P101</t>
        </is>
      </c>
      <c r="E3497" t="n">
        <v>4</v>
      </c>
      <c r="F3497" t="n">
        <v>39</v>
      </c>
      <c r="G3497" t="n">
        <v>0</v>
      </c>
      <c r="H3497">
        <f>E3497*F3497*(1-G3497)</f>
        <v/>
      </c>
      <c r="I3497">
        <f>XLOOKUP(D3497,Products!$A$2:$A$15,Products!$B$2:$B$15,"Not found")</f>
        <v/>
      </c>
    </row>
    <row r="3498">
      <c r="A3498" t="n">
        <v>107817</v>
      </c>
      <c r="B3498" s="1" t="n">
        <v>45965</v>
      </c>
      <c r="C3498" t="inlineStr">
        <is>
          <t>S01</t>
        </is>
      </c>
      <c r="D3498" t="inlineStr">
        <is>
          <t>P303</t>
        </is>
      </c>
      <c r="E3498" t="n">
        <v>1</v>
      </c>
      <c r="F3498" t="n">
        <v>12</v>
      </c>
      <c r="G3498" t="n">
        <v>0.15</v>
      </c>
      <c r="H3498">
        <f>E3498*F3498*(1-G3498)</f>
        <v/>
      </c>
      <c r="I3498">
        <f>XLOOKUP(D3498,Products!$A$2:$A$15,Products!$B$2:$B$15,"Not found")</f>
        <v/>
      </c>
    </row>
    <row r="3499">
      <c r="A3499" t="n">
        <v>107818</v>
      </c>
      <c r="B3499" s="1" t="n">
        <v>45965</v>
      </c>
      <c r="C3499" t="inlineStr">
        <is>
          <t>S01</t>
        </is>
      </c>
      <c r="D3499" t="inlineStr">
        <is>
          <t>P302</t>
        </is>
      </c>
      <c r="E3499" t="n">
        <v>1</v>
      </c>
      <c r="F3499" t="n">
        <v>24</v>
      </c>
      <c r="G3499" t="n">
        <v>0</v>
      </c>
      <c r="H3499">
        <f>E3499*F3499*(1-G3499)</f>
        <v/>
      </c>
      <c r="I3499">
        <f>XLOOKUP(D3499,Products!$A$2:$A$15,Products!$B$2:$B$15,"Not found")</f>
        <v/>
      </c>
    </row>
    <row r="3500">
      <c r="A3500" t="n">
        <v>107819</v>
      </c>
      <c r="B3500" s="1" t="n">
        <v>45965</v>
      </c>
      <c r="C3500" t="inlineStr">
        <is>
          <t>S01</t>
        </is>
      </c>
      <c r="D3500" t="inlineStr">
        <is>
          <t>P204</t>
        </is>
      </c>
      <c r="E3500" t="n">
        <v>1</v>
      </c>
      <c r="F3500" t="n">
        <v>229</v>
      </c>
      <c r="G3500" t="n">
        <v>0</v>
      </c>
      <c r="H3500">
        <f>E3500*F3500*(1-G3500)</f>
        <v/>
      </c>
      <c r="I3500">
        <f>XLOOKUP(D3500,Products!$A$2:$A$15,Products!$B$2:$B$15,"Not found")</f>
        <v/>
      </c>
    </row>
    <row r="3501">
      <c r="A3501" t="n">
        <v>107820</v>
      </c>
      <c r="B3501" s="1" t="n">
        <v>45965</v>
      </c>
      <c r="C3501" t="inlineStr">
        <is>
          <t>S02</t>
        </is>
      </c>
      <c r="D3501" t="inlineStr">
        <is>
          <t>P302</t>
        </is>
      </c>
      <c r="E3501" t="n">
        <v>4</v>
      </c>
      <c r="F3501" t="n">
        <v>24</v>
      </c>
      <c r="G3501" t="n">
        <v>0.2</v>
      </c>
      <c r="H3501">
        <f>E3501*F3501*(1-G3501)</f>
        <v/>
      </c>
      <c r="I3501">
        <f>XLOOKUP(D3501,Products!$A$2:$A$15,Products!$B$2:$B$15,"Not found")</f>
        <v/>
      </c>
    </row>
    <row r="3502">
      <c r="A3502" t="n">
        <v>107821</v>
      </c>
      <c r="B3502" s="1" t="n">
        <v>45965</v>
      </c>
      <c r="C3502" t="inlineStr">
        <is>
          <t>S02</t>
        </is>
      </c>
      <c r="D3502" t="inlineStr">
        <is>
          <t>P201</t>
        </is>
      </c>
      <c r="E3502" t="n">
        <v>1</v>
      </c>
      <c r="F3502" t="n">
        <v>149</v>
      </c>
      <c r="G3502" t="n">
        <v>0.15</v>
      </c>
      <c r="H3502">
        <f>E3502*F3502*(1-G3502)</f>
        <v/>
      </c>
      <c r="I3502">
        <f>XLOOKUP(D3502,Products!$A$2:$A$15,Products!$B$2:$B$15,"Not found")</f>
        <v/>
      </c>
    </row>
    <row r="3503">
      <c r="A3503" t="n">
        <v>107822</v>
      </c>
      <c r="B3503" s="1" t="n">
        <v>45965</v>
      </c>
      <c r="C3503" t="inlineStr">
        <is>
          <t>S02</t>
        </is>
      </c>
      <c r="D3503" t="inlineStr">
        <is>
          <t>P101</t>
        </is>
      </c>
      <c r="E3503" t="n">
        <v>2</v>
      </c>
      <c r="F3503" t="n">
        <v>39</v>
      </c>
      <c r="G3503" t="n">
        <v>0.15</v>
      </c>
      <c r="H3503">
        <f>E3503*F3503*(1-G3503)</f>
        <v/>
      </c>
      <c r="I3503">
        <f>XLOOKUP(D3503,Products!$A$2:$A$15,Products!$B$2:$B$15,"Not found")</f>
        <v/>
      </c>
    </row>
    <row r="3504">
      <c r="A3504" t="n">
        <v>107823</v>
      </c>
      <c r="B3504" s="1" t="n">
        <v>45965</v>
      </c>
      <c r="C3504" t="inlineStr">
        <is>
          <t>S02</t>
        </is>
      </c>
      <c r="D3504" t="inlineStr">
        <is>
          <t>P203</t>
        </is>
      </c>
      <c r="E3504" t="n">
        <v>1</v>
      </c>
      <c r="F3504" t="n">
        <v>19.5</v>
      </c>
      <c r="G3504" t="n">
        <v>0.1</v>
      </c>
      <c r="H3504">
        <f>E3504*F3504*(1-G3504)</f>
        <v/>
      </c>
      <c r="I3504">
        <f>XLOOKUP(D3504,Products!$A$2:$A$15,Products!$B$2:$B$15,"Not found")</f>
        <v/>
      </c>
    </row>
    <row r="3505">
      <c r="A3505" t="n">
        <v>107824</v>
      </c>
      <c r="B3505" s="1" t="n">
        <v>45965</v>
      </c>
      <c r="C3505" t="inlineStr">
        <is>
          <t>S02</t>
        </is>
      </c>
      <c r="D3505" t="inlineStr">
        <is>
          <t>P303</t>
        </is>
      </c>
      <c r="E3505" t="n">
        <v>1</v>
      </c>
      <c r="F3505" t="n">
        <v>12</v>
      </c>
      <c r="G3505" t="n">
        <v>0</v>
      </c>
      <c r="H3505">
        <f>E3505*F3505*(1-G3505)</f>
        <v/>
      </c>
      <c r="I3505">
        <f>XLOOKUP(D3505,Products!$A$2:$A$15,Products!$B$2:$B$15,"Not found")</f>
        <v/>
      </c>
    </row>
    <row r="3506">
      <c r="A3506" t="n">
        <v>107825</v>
      </c>
      <c r="B3506" s="1" t="n">
        <v>45965</v>
      </c>
      <c r="C3506" t="inlineStr">
        <is>
          <t>S02</t>
        </is>
      </c>
      <c r="D3506" t="inlineStr">
        <is>
          <t>P301</t>
        </is>
      </c>
      <c r="E3506" t="n">
        <v>1</v>
      </c>
      <c r="F3506" t="n">
        <v>119</v>
      </c>
      <c r="G3506" t="n">
        <v>0</v>
      </c>
      <c r="H3506">
        <f>E3506*F3506*(1-G3506)</f>
        <v/>
      </c>
      <c r="I3506">
        <f>XLOOKUP(D3506,Products!$A$2:$A$15,Products!$B$2:$B$15,"Not found")</f>
        <v/>
      </c>
    </row>
    <row r="3507">
      <c r="A3507" t="n">
        <v>107826</v>
      </c>
      <c r="B3507" s="1" t="n">
        <v>45965</v>
      </c>
      <c r="C3507" t="inlineStr">
        <is>
          <t>S03</t>
        </is>
      </c>
      <c r="D3507" t="inlineStr">
        <is>
          <t>P101</t>
        </is>
      </c>
      <c r="E3507" t="n">
        <v>3</v>
      </c>
      <c r="F3507" t="n">
        <v>39</v>
      </c>
      <c r="G3507" t="n">
        <v>0</v>
      </c>
      <c r="H3507">
        <f>E3507*F3507*(1-G3507)</f>
        <v/>
      </c>
      <c r="I3507">
        <f>XLOOKUP(D3507,Products!$A$2:$A$15,Products!$B$2:$B$15,"Not found")</f>
        <v/>
      </c>
    </row>
    <row r="3508">
      <c r="A3508" t="n">
        <v>107827</v>
      </c>
      <c r="B3508" s="1" t="n">
        <v>45965</v>
      </c>
      <c r="C3508" t="inlineStr">
        <is>
          <t>S03</t>
        </is>
      </c>
      <c r="D3508" t="inlineStr">
        <is>
          <t>P403</t>
        </is>
      </c>
      <c r="E3508" t="n">
        <v>3</v>
      </c>
      <c r="F3508" t="n">
        <v>89</v>
      </c>
      <c r="G3508" t="n">
        <v>0.1</v>
      </c>
      <c r="H3508">
        <f>E3508*F3508*(1-G3508)</f>
        <v/>
      </c>
      <c r="I3508">
        <f>XLOOKUP(D3508,Products!$A$2:$A$15,Products!$B$2:$B$15,"Not found")</f>
        <v/>
      </c>
    </row>
    <row r="3509">
      <c r="A3509" t="n">
        <v>107828</v>
      </c>
      <c r="B3509" s="1" t="n">
        <v>45965</v>
      </c>
      <c r="C3509" t="inlineStr">
        <is>
          <t>S03</t>
        </is>
      </c>
      <c r="D3509" t="inlineStr">
        <is>
          <t>P104</t>
        </is>
      </c>
      <c r="E3509" t="n">
        <v>1</v>
      </c>
      <c r="F3509" t="n">
        <v>189</v>
      </c>
      <c r="G3509" t="n">
        <v>0.1</v>
      </c>
      <c r="H3509">
        <f>E3509*F3509*(1-G3509)</f>
        <v/>
      </c>
      <c r="I3509">
        <f>XLOOKUP(D3509,Products!$A$2:$A$15,Products!$B$2:$B$15,"Not found")</f>
        <v/>
      </c>
    </row>
    <row r="3510">
      <c r="A3510" t="n">
        <v>107829</v>
      </c>
      <c r="B3510" s="1" t="n">
        <v>45965</v>
      </c>
      <c r="C3510" t="inlineStr">
        <is>
          <t>S03</t>
        </is>
      </c>
      <c r="D3510" t="inlineStr">
        <is>
          <t>P203</t>
        </is>
      </c>
      <c r="E3510" t="n">
        <v>2</v>
      </c>
      <c r="F3510" t="n">
        <v>19.5</v>
      </c>
      <c r="G3510" t="n">
        <v>0</v>
      </c>
      <c r="H3510">
        <f>E3510*F3510*(1-G3510)</f>
        <v/>
      </c>
      <c r="I3510">
        <f>XLOOKUP(D3510,Products!$A$2:$A$15,Products!$B$2:$B$15,"Not found")</f>
        <v/>
      </c>
    </row>
    <row r="3511">
      <c r="A3511" t="n">
        <v>107830</v>
      </c>
      <c r="B3511" s="1" t="n">
        <v>45965</v>
      </c>
      <c r="C3511" t="inlineStr">
        <is>
          <t>S03</t>
        </is>
      </c>
      <c r="D3511" t="inlineStr">
        <is>
          <t>P101</t>
        </is>
      </c>
      <c r="E3511" t="n">
        <v>2</v>
      </c>
      <c r="F3511" t="n">
        <v>39</v>
      </c>
      <c r="G3511" t="n">
        <v>0.1</v>
      </c>
      <c r="H3511">
        <f>E3511*F3511*(1-G3511)</f>
        <v/>
      </c>
      <c r="I3511">
        <f>XLOOKUP(D3511,Products!$A$2:$A$15,Products!$B$2:$B$15,"Not found")</f>
        <v/>
      </c>
    </row>
    <row r="3512">
      <c r="A3512" t="n">
        <v>107831</v>
      </c>
      <c r="B3512" s="1" t="n">
        <v>45965</v>
      </c>
      <c r="C3512" t="inlineStr">
        <is>
          <t>S04</t>
        </is>
      </c>
      <c r="D3512" t="inlineStr">
        <is>
          <t>P101</t>
        </is>
      </c>
      <c r="E3512" t="n">
        <v>2</v>
      </c>
      <c r="F3512" t="n">
        <v>39</v>
      </c>
      <c r="G3512" t="n">
        <v>0.2</v>
      </c>
      <c r="H3512">
        <f>E3512*F3512*(1-G3512)</f>
        <v/>
      </c>
      <c r="I3512">
        <f>XLOOKUP(D3512,Products!$A$2:$A$15,Products!$B$2:$B$15,"Not found")</f>
        <v/>
      </c>
    </row>
    <row r="3513">
      <c r="A3513" t="n">
        <v>107832</v>
      </c>
      <c r="B3513" s="1" t="n">
        <v>45965</v>
      </c>
      <c r="C3513" t="inlineStr">
        <is>
          <t>S04</t>
        </is>
      </c>
      <c r="D3513" t="inlineStr">
        <is>
          <t>P101</t>
        </is>
      </c>
      <c r="E3513" t="n">
        <v>4</v>
      </c>
      <c r="F3513" t="n">
        <v>39</v>
      </c>
      <c r="G3513" t="n">
        <v>0</v>
      </c>
      <c r="H3513">
        <f>E3513*F3513*(1-G3513)</f>
        <v/>
      </c>
      <c r="I3513">
        <f>XLOOKUP(D3513,Products!$A$2:$A$15,Products!$B$2:$B$15,"Not found")</f>
        <v/>
      </c>
    </row>
    <row r="3514">
      <c r="A3514" t="n">
        <v>107833</v>
      </c>
      <c r="B3514" s="1" t="n">
        <v>45965</v>
      </c>
      <c r="C3514" t="inlineStr">
        <is>
          <t>S05</t>
        </is>
      </c>
      <c r="D3514" t="inlineStr">
        <is>
          <t>P102</t>
        </is>
      </c>
      <c r="E3514" t="n">
        <v>2</v>
      </c>
      <c r="F3514" t="n">
        <v>14.5</v>
      </c>
      <c r="G3514" t="n">
        <v>0.15</v>
      </c>
      <c r="H3514">
        <f>E3514*F3514*(1-G3514)</f>
        <v/>
      </c>
      <c r="I3514">
        <f>XLOOKUP(D3514,Products!$A$2:$A$15,Products!$B$2:$B$15,"Not found")</f>
        <v/>
      </c>
    </row>
    <row r="3515">
      <c r="A3515" t="n">
        <v>107834</v>
      </c>
      <c r="B3515" s="1" t="n">
        <v>45965</v>
      </c>
      <c r="C3515" t="inlineStr">
        <is>
          <t>S05</t>
        </is>
      </c>
      <c r="D3515" t="inlineStr">
        <is>
          <t>P302</t>
        </is>
      </c>
      <c r="E3515" t="n">
        <v>1</v>
      </c>
      <c r="F3515" t="n">
        <v>24</v>
      </c>
      <c r="G3515" t="n">
        <v>0.2</v>
      </c>
      <c r="H3515">
        <f>E3515*F3515*(1-G3515)</f>
        <v/>
      </c>
      <c r="I3515">
        <f>XLOOKUP(D3515,Products!$A$2:$A$15,Products!$B$2:$B$15,"Not found")</f>
        <v/>
      </c>
    </row>
    <row r="3516">
      <c r="A3516" t="n">
        <v>107835</v>
      </c>
      <c r="B3516" s="1" t="n">
        <v>45965</v>
      </c>
      <c r="C3516" t="inlineStr">
        <is>
          <t>S06</t>
        </is>
      </c>
      <c r="D3516" t="inlineStr">
        <is>
          <t>P302</t>
        </is>
      </c>
      <c r="E3516" t="n">
        <v>4</v>
      </c>
      <c r="F3516" t="n">
        <v>24</v>
      </c>
      <c r="G3516" t="n">
        <v>0.1</v>
      </c>
      <c r="H3516">
        <f>E3516*F3516*(1-G3516)</f>
        <v/>
      </c>
      <c r="I3516">
        <f>XLOOKUP(D3516,Products!$A$2:$A$15,Products!$B$2:$B$15,"Not found")</f>
        <v/>
      </c>
    </row>
    <row r="3517">
      <c r="A3517" t="n">
        <v>107836</v>
      </c>
      <c r="B3517" s="1" t="n">
        <v>45965</v>
      </c>
      <c r="C3517" t="inlineStr">
        <is>
          <t>S06</t>
        </is>
      </c>
      <c r="D3517" t="inlineStr">
        <is>
          <t>P101</t>
        </is>
      </c>
      <c r="E3517" t="n">
        <v>1</v>
      </c>
      <c r="F3517" t="n">
        <v>39</v>
      </c>
      <c r="G3517" t="n">
        <v>0</v>
      </c>
      <c r="H3517">
        <f>E3517*F3517*(1-G3517)</f>
        <v/>
      </c>
      <c r="I3517">
        <f>XLOOKUP(D3517,Products!$A$2:$A$15,Products!$B$2:$B$15,"Not found")</f>
        <v/>
      </c>
    </row>
    <row r="3518">
      <c r="A3518" t="n">
        <v>107837</v>
      </c>
      <c r="B3518" s="1" t="n">
        <v>45965</v>
      </c>
      <c r="C3518" t="inlineStr">
        <is>
          <t>S06</t>
        </is>
      </c>
      <c r="D3518" t="inlineStr">
        <is>
          <t>P102</t>
        </is>
      </c>
      <c r="E3518" t="n">
        <v>4</v>
      </c>
      <c r="F3518" t="n">
        <v>14.5</v>
      </c>
      <c r="G3518" t="n">
        <v>0</v>
      </c>
      <c r="H3518">
        <f>E3518*F3518*(1-G3518)</f>
        <v/>
      </c>
      <c r="I3518">
        <f>XLOOKUP(D3518,Products!$A$2:$A$15,Products!$B$2:$B$15,"Not found")</f>
        <v/>
      </c>
    </row>
    <row r="3519">
      <c r="A3519" t="n">
        <v>107838</v>
      </c>
      <c r="B3519" s="1" t="n">
        <v>45965</v>
      </c>
      <c r="C3519" t="inlineStr">
        <is>
          <t>S06</t>
        </is>
      </c>
      <c r="D3519" t="inlineStr">
        <is>
          <t>P303</t>
        </is>
      </c>
      <c r="E3519" t="n">
        <v>1</v>
      </c>
      <c r="F3519" t="n">
        <v>12</v>
      </c>
      <c r="G3519" t="n">
        <v>0</v>
      </c>
      <c r="H3519">
        <f>E3519*F3519*(1-G3519)</f>
        <v/>
      </c>
      <c r="I3519">
        <f>XLOOKUP(D3519,Products!$A$2:$A$15,Products!$B$2:$B$15,"Not found")</f>
        <v/>
      </c>
    </row>
    <row r="3520">
      <c r="A3520" t="n">
        <v>107839</v>
      </c>
      <c r="B3520" s="1" t="n">
        <v>45965</v>
      </c>
      <c r="C3520" t="inlineStr">
        <is>
          <t>S06</t>
        </is>
      </c>
      <c r="D3520" t="inlineStr">
        <is>
          <t>P102</t>
        </is>
      </c>
      <c r="E3520" t="n">
        <v>1</v>
      </c>
      <c r="F3520" t="n">
        <v>14.5</v>
      </c>
      <c r="G3520" t="n">
        <v>0</v>
      </c>
      <c r="H3520">
        <f>E3520*F3520*(1-G3520)</f>
        <v/>
      </c>
      <c r="I3520">
        <f>XLOOKUP(D3520,Products!$A$2:$A$15,Products!$B$2:$B$15,"Not found")</f>
        <v/>
      </c>
    </row>
    <row r="3521">
      <c r="A3521" t="n">
        <v>107840</v>
      </c>
      <c r="B3521" s="1" t="n">
        <v>45966</v>
      </c>
      <c r="C3521" t="inlineStr">
        <is>
          <t>S01</t>
        </is>
      </c>
      <c r="D3521" t="inlineStr">
        <is>
          <t>P104</t>
        </is>
      </c>
      <c r="E3521" t="n">
        <v>1</v>
      </c>
      <c r="F3521" t="n">
        <v>189</v>
      </c>
      <c r="G3521" t="n">
        <v>0</v>
      </c>
      <c r="H3521">
        <f>E3521*F3521*(1-G3521)</f>
        <v/>
      </c>
      <c r="I3521">
        <f>XLOOKUP(D3521,Products!$A$2:$A$15,Products!$B$2:$B$15,"Not found")</f>
        <v/>
      </c>
    </row>
    <row r="3522">
      <c r="A3522" t="n">
        <v>107841</v>
      </c>
      <c r="B3522" s="1" t="n">
        <v>45966</v>
      </c>
      <c r="C3522" t="inlineStr">
        <is>
          <t>S01</t>
        </is>
      </c>
      <c r="D3522" t="inlineStr">
        <is>
          <t>P202</t>
        </is>
      </c>
      <c r="E3522" t="n">
        <v>1</v>
      </c>
      <c r="F3522" t="n">
        <v>79</v>
      </c>
      <c r="G3522" t="n">
        <v>0.1</v>
      </c>
      <c r="H3522">
        <f>E3522*F3522*(1-G3522)</f>
        <v/>
      </c>
      <c r="I3522">
        <f>XLOOKUP(D3522,Products!$A$2:$A$15,Products!$B$2:$B$15,"Not found")</f>
        <v/>
      </c>
    </row>
    <row r="3523">
      <c r="A3523" t="n">
        <v>107842</v>
      </c>
      <c r="B3523" s="1" t="n">
        <v>45966</v>
      </c>
      <c r="C3523" t="inlineStr">
        <is>
          <t>S01</t>
        </is>
      </c>
      <c r="D3523" t="inlineStr">
        <is>
          <t>P303</t>
        </is>
      </c>
      <c r="E3523" t="n">
        <v>3</v>
      </c>
      <c r="F3523" t="n">
        <v>12</v>
      </c>
      <c r="G3523" t="n">
        <v>0</v>
      </c>
      <c r="H3523">
        <f>E3523*F3523*(1-G3523)</f>
        <v/>
      </c>
      <c r="I3523">
        <f>XLOOKUP(D3523,Products!$A$2:$A$15,Products!$B$2:$B$15,"Not found")</f>
        <v/>
      </c>
    </row>
    <row r="3524">
      <c r="A3524" t="n">
        <v>107843</v>
      </c>
      <c r="B3524" s="1" t="n">
        <v>45966</v>
      </c>
      <c r="C3524" t="inlineStr">
        <is>
          <t>S01</t>
        </is>
      </c>
      <c r="D3524" t="inlineStr">
        <is>
          <t>P201</t>
        </is>
      </c>
      <c r="E3524" t="n">
        <v>1</v>
      </c>
      <c r="F3524" t="n">
        <v>149</v>
      </c>
      <c r="G3524" t="n">
        <v>0.15</v>
      </c>
      <c r="H3524">
        <f>E3524*F3524*(1-G3524)</f>
        <v/>
      </c>
      <c r="I3524">
        <f>XLOOKUP(D3524,Products!$A$2:$A$15,Products!$B$2:$B$15,"Not found")</f>
        <v/>
      </c>
    </row>
    <row r="3525">
      <c r="A3525" t="n">
        <v>107844</v>
      </c>
      <c r="B3525" s="1" t="n">
        <v>45966</v>
      </c>
      <c r="C3525" t="inlineStr">
        <is>
          <t>S01</t>
        </is>
      </c>
      <c r="D3525" t="inlineStr">
        <is>
          <t>P101</t>
        </is>
      </c>
      <c r="E3525" t="n">
        <v>2</v>
      </c>
      <c r="F3525" t="n">
        <v>39</v>
      </c>
      <c r="G3525" t="n">
        <v>0.1</v>
      </c>
      <c r="H3525">
        <f>E3525*F3525*(1-G3525)</f>
        <v/>
      </c>
      <c r="I3525">
        <f>XLOOKUP(D3525,Products!$A$2:$A$15,Products!$B$2:$B$15,"Not found")</f>
        <v/>
      </c>
    </row>
    <row r="3526">
      <c r="A3526" t="n">
        <v>107845</v>
      </c>
      <c r="B3526" s="1" t="n">
        <v>45966</v>
      </c>
      <c r="C3526" t="inlineStr">
        <is>
          <t>S03</t>
        </is>
      </c>
      <c r="D3526" t="inlineStr">
        <is>
          <t>P102</t>
        </is>
      </c>
      <c r="E3526" t="n">
        <v>1</v>
      </c>
      <c r="F3526" t="n">
        <v>14.5</v>
      </c>
      <c r="G3526" t="n">
        <v>0</v>
      </c>
      <c r="H3526">
        <f>E3526*F3526*(1-G3526)</f>
        <v/>
      </c>
      <c r="I3526">
        <f>XLOOKUP(D3526,Products!$A$2:$A$15,Products!$B$2:$B$15,"Not found")</f>
        <v/>
      </c>
    </row>
    <row r="3527">
      <c r="A3527" t="n">
        <v>107846</v>
      </c>
      <c r="B3527" s="1" t="n">
        <v>45966</v>
      </c>
      <c r="C3527" t="inlineStr">
        <is>
          <t>S04</t>
        </is>
      </c>
      <c r="D3527" t="inlineStr">
        <is>
          <t>P101</t>
        </is>
      </c>
      <c r="E3527" t="n">
        <v>2</v>
      </c>
      <c r="F3527" t="n">
        <v>39</v>
      </c>
      <c r="G3527" t="n">
        <v>0</v>
      </c>
      <c r="H3527">
        <f>E3527*F3527*(1-G3527)</f>
        <v/>
      </c>
      <c r="I3527">
        <f>XLOOKUP(D3527,Products!$A$2:$A$15,Products!$B$2:$B$15,"Not found")</f>
        <v/>
      </c>
    </row>
    <row r="3528">
      <c r="A3528" t="n">
        <v>107847</v>
      </c>
      <c r="B3528" s="1" t="n">
        <v>45966</v>
      </c>
      <c r="C3528" t="inlineStr">
        <is>
          <t>S04</t>
        </is>
      </c>
      <c r="D3528" t="inlineStr">
        <is>
          <t>P301</t>
        </is>
      </c>
      <c r="E3528" t="n">
        <v>1</v>
      </c>
      <c r="F3528" t="n">
        <v>119</v>
      </c>
      <c r="G3528" t="n">
        <v>0.2</v>
      </c>
      <c r="H3528">
        <f>E3528*F3528*(1-G3528)</f>
        <v/>
      </c>
      <c r="I3528">
        <f>XLOOKUP(D3528,Products!$A$2:$A$15,Products!$B$2:$B$15,"Not found")</f>
        <v/>
      </c>
    </row>
    <row r="3529">
      <c r="A3529" t="n">
        <v>107848</v>
      </c>
      <c r="B3529" s="1" t="n">
        <v>45966</v>
      </c>
      <c r="C3529" t="inlineStr">
        <is>
          <t>S04</t>
        </is>
      </c>
      <c r="D3529" t="inlineStr">
        <is>
          <t>P102</t>
        </is>
      </c>
      <c r="E3529" t="n">
        <v>2</v>
      </c>
      <c r="F3529" t="n">
        <v>14.5</v>
      </c>
      <c r="G3529" t="n">
        <v>0</v>
      </c>
      <c r="H3529">
        <f>E3529*F3529*(1-G3529)</f>
        <v/>
      </c>
      <c r="I3529">
        <f>XLOOKUP(D3529,Products!$A$2:$A$15,Products!$B$2:$B$15,"Not found")</f>
        <v/>
      </c>
    </row>
    <row r="3530">
      <c r="A3530" t="n">
        <v>107849</v>
      </c>
      <c r="B3530" s="1" t="n">
        <v>45966</v>
      </c>
      <c r="C3530" t="inlineStr">
        <is>
          <t>S05</t>
        </is>
      </c>
      <c r="D3530" t="inlineStr">
        <is>
          <t>P303</t>
        </is>
      </c>
      <c r="E3530" t="n">
        <v>1</v>
      </c>
      <c r="F3530" t="n">
        <v>12</v>
      </c>
      <c r="G3530" t="n">
        <v>0.15</v>
      </c>
      <c r="H3530">
        <f>E3530*F3530*(1-G3530)</f>
        <v/>
      </c>
      <c r="I3530">
        <f>XLOOKUP(D3530,Products!$A$2:$A$15,Products!$B$2:$B$15,"Not found")</f>
        <v/>
      </c>
    </row>
    <row r="3531">
      <c r="A3531" t="n">
        <v>107850</v>
      </c>
      <c r="B3531" s="1" t="n">
        <v>45966</v>
      </c>
      <c r="C3531" t="inlineStr">
        <is>
          <t>S05</t>
        </is>
      </c>
      <c r="D3531" t="inlineStr">
        <is>
          <t>P302</t>
        </is>
      </c>
      <c r="E3531" t="n">
        <v>1</v>
      </c>
      <c r="F3531" t="n">
        <v>24</v>
      </c>
      <c r="G3531" t="n">
        <v>0</v>
      </c>
      <c r="H3531">
        <f>E3531*F3531*(1-G3531)</f>
        <v/>
      </c>
      <c r="I3531">
        <f>XLOOKUP(D3531,Products!$A$2:$A$15,Products!$B$2:$B$15,"Not found")</f>
        <v/>
      </c>
    </row>
    <row r="3532">
      <c r="A3532" t="n">
        <v>107851</v>
      </c>
      <c r="B3532" s="1" t="n">
        <v>45966</v>
      </c>
      <c r="C3532" t="inlineStr">
        <is>
          <t>S05</t>
        </is>
      </c>
      <c r="D3532" t="inlineStr">
        <is>
          <t>P102</t>
        </is>
      </c>
      <c r="E3532" t="n">
        <v>1</v>
      </c>
      <c r="F3532" t="n">
        <v>14.5</v>
      </c>
      <c r="G3532" t="n">
        <v>0</v>
      </c>
      <c r="H3532">
        <f>E3532*F3532*(1-G3532)</f>
        <v/>
      </c>
      <c r="I3532">
        <f>XLOOKUP(D3532,Products!$A$2:$A$15,Products!$B$2:$B$15,"Not found")</f>
        <v/>
      </c>
    </row>
    <row r="3533">
      <c r="A3533" t="n">
        <v>107852</v>
      </c>
      <c r="B3533" s="1" t="n">
        <v>45966</v>
      </c>
      <c r="C3533" t="inlineStr">
        <is>
          <t>S06</t>
        </is>
      </c>
      <c r="D3533" t="inlineStr">
        <is>
          <t>P202</t>
        </is>
      </c>
      <c r="E3533" t="n">
        <v>1</v>
      </c>
      <c r="F3533" t="n">
        <v>79</v>
      </c>
      <c r="G3533" t="n">
        <v>0.1</v>
      </c>
      <c r="H3533">
        <f>E3533*F3533*(1-G3533)</f>
        <v/>
      </c>
      <c r="I3533">
        <f>XLOOKUP(D3533,Products!$A$2:$A$15,Products!$B$2:$B$15,"Not found")</f>
        <v/>
      </c>
    </row>
    <row r="3534">
      <c r="A3534" t="n">
        <v>107853</v>
      </c>
      <c r="B3534" s="1" t="n">
        <v>45966</v>
      </c>
      <c r="C3534" t="inlineStr">
        <is>
          <t>S06</t>
        </is>
      </c>
      <c r="D3534" t="inlineStr">
        <is>
          <t>P203</t>
        </is>
      </c>
      <c r="E3534" t="n">
        <v>1</v>
      </c>
      <c r="F3534" t="n">
        <v>19.5</v>
      </c>
      <c r="G3534" t="n">
        <v>0</v>
      </c>
      <c r="H3534">
        <f>E3534*F3534*(1-G3534)</f>
        <v/>
      </c>
      <c r="I3534">
        <f>XLOOKUP(D3534,Products!$A$2:$A$15,Products!$B$2:$B$15,"Not found")</f>
        <v/>
      </c>
    </row>
    <row r="3535">
      <c r="A3535" t="n">
        <v>107854</v>
      </c>
      <c r="B3535" s="1" t="n">
        <v>45967</v>
      </c>
      <c r="C3535" t="inlineStr">
        <is>
          <t>S01</t>
        </is>
      </c>
      <c r="D3535" t="inlineStr">
        <is>
          <t>P101</t>
        </is>
      </c>
      <c r="E3535" t="n">
        <v>1</v>
      </c>
      <c r="F3535" t="n">
        <v>39</v>
      </c>
      <c r="G3535" t="n">
        <v>0</v>
      </c>
      <c r="H3535">
        <f>E3535*F3535*(1-G3535)</f>
        <v/>
      </c>
      <c r="I3535">
        <f>XLOOKUP(D3535,Products!$A$2:$A$15,Products!$B$2:$B$15,"Not found")</f>
        <v/>
      </c>
    </row>
    <row r="3536">
      <c r="A3536" t="n">
        <v>107855</v>
      </c>
      <c r="B3536" s="1" t="n">
        <v>45967</v>
      </c>
      <c r="C3536" t="inlineStr">
        <is>
          <t>S01</t>
        </is>
      </c>
      <c r="D3536" t="inlineStr">
        <is>
          <t>P202</t>
        </is>
      </c>
      <c r="E3536" t="n">
        <v>2</v>
      </c>
      <c r="F3536" t="n">
        <v>79</v>
      </c>
      <c r="G3536" t="n">
        <v>0</v>
      </c>
      <c r="H3536">
        <f>E3536*F3536*(1-G3536)</f>
        <v/>
      </c>
      <c r="I3536">
        <f>XLOOKUP(D3536,Products!$A$2:$A$15,Products!$B$2:$B$15,"Not found")</f>
        <v/>
      </c>
    </row>
    <row r="3537">
      <c r="A3537" t="n">
        <v>107856</v>
      </c>
      <c r="B3537" s="1" t="n">
        <v>45967</v>
      </c>
      <c r="C3537" t="inlineStr">
        <is>
          <t>S01</t>
        </is>
      </c>
      <c r="D3537" t="inlineStr">
        <is>
          <t>P303</t>
        </is>
      </c>
      <c r="E3537" t="n">
        <v>1</v>
      </c>
      <c r="F3537" t="n">
        <v>12</v>
      </c>
      <c r="G3537" t="n">
        <v>0</v>
      </c>
      <c r="H3537">
        <f>E3537*F3537*(1-G3537)</f>
        <v/>
      </c>
      <c r="I3537">
        <f>XLOOKUP(D3537,Products!$A$2:$A$15,Products!$B$2:$B$15,"Not found")</f>
        <v/>
      </c>
    </row>
    <row r="3538">
      <c r="A3538" t="n">
        <v>107857</v>
      </c>
      <c r="B3538" s="1" t="n">
        <v>45967</v>
      </c>
      <c r="C3538" t="inlineStr">
        <is>
          <t>S01</t>
        </is>
      </c>
      <c r="D3538" t="inlineStr">
        <is>
          <t>P303</t>
        </is>
      </c>
      <c r="E3538" t="n">
        <v>2</v>
      </c>
      <c r="F3538" t="n">
        <v>12</v>
      </c>
      <c r="G3538" t="n">
        <v>0</v>
      </c>
      <c r="H3538">
        <f>E3538*F3538*(1-G3538)</f>
        <v/>
      </c>
      <c r="I3538">
        <f>XLOOKUP(D3538,Products!$A$2:$A$15,Products!$B$2:$B$15,"Not found")</f>
        <v/>
      </c>
    </row>
    <row r="3539">
      <c r="A3539" t="n">
        <v>107858</v>
      </c>
      <c r="B3539" s="1" t="n">
        <v>45967</v>
      </c>
      <c r="C3539" t="inlineStr">
        <is>
          <t>S02</t>
        </is>
      </c>
      <c r="D3539" t="inlineStr">
        <is>
          <t>P302</t>
        </is>
      </c>
      <c r="E3539" t="n">
        <v>1</v>
      </c>
      <c r="F3539" t="n">
        <v>24</v>
      </c>
      <c r="G3539" t="n">
        <v>0.2</v>
      </c>
      <c r="H3539">
        <f>E3539*F3539*(1-G3539)</f>
        <v/>
      </c>
      <c r="I3539">
        <f>XLOOKUP(D3539,Products!$A$2:$A$15,Products!$B$2:$B$15,"Not found")</f>
        <v/>
      </c>
    </row>
    <row r="3540">
      <c r="A3540" t="n">
        <v>107859</v>
      </c>
      <c r="B3540" s="1" t="n">
        <v>45967</v>
      </c>
      <c r="C3540" t="inlineStr">
        <is>
          <t>S02</t>
        </is>
      </c>
      <c r="D3540" t="inlineStr">
        <is>
          <t>P202</t>
        </is>
      </c>
      <c r="E3540" t="n">
        <v>4</v>
      </c>
      <c r="F3540" t="n">
        <v>79</v>
      </c>
      <c r="G3540" t="n">
        <v>0.15</v>
      </c>
      <c r="H3540">
        <f>E3540*F3540*(1-G3540)</f>
        <v/>
      </c>
      <c r="I3540">
        <f>XLOOKUP(D3540,Products!$A$2:$A$15,Products!$B$2:$B$15,"Not found")</f>
        <v/>
      </c>
    </row>
    <row r="3541">
      <c r="A3541" t="n">
        <v>107860</v>
      </c>
      <c r="B3541" s="1" t="n">
        <v>45967</v>
      </c>
      <c r="C3541" t="inlineStr">
        <is>
          <t>S02</t>
        </is>
      </c>
      <c r="D3541" t="inlineStr">
        <is>
          <t>P402</t>
        </is>
      </c>
      <c r="E3541" t="n">
        <v>1</v>
      </c>
      <c r="F3541" t="n">
        <v>699</v>
      </c>
      <c r="G3541" t="n">
        <v>0</v>
      </c>
      <c r="H3541">
        <f>E3541*F3541*(1-G3541)</f>
        <v/>
      </c>
      <c r="I3541">
        <f>XLOOKUP(D3541,Products!$A$2:$A$15,Products!$B$2:$B$15,"Not found")</f>
        <v/>
      </c>
    </row>
    <row r="3542">
      <c r="A3542" t="n">
        <v>107861</v>
      </c>
      <c r="B3542" s="1" t="n">
        <v>45967</v>
      </c>
      <c r="C3542" t="inlineStr">
        <is>
          <t>S03</t>
        </is>
      </c>
      <c r="D3542" t="inlineStr">
        <is>
          <t>P103</t>
        </is>
      </c>
      <c r="E3542" t="n">
        <v>4</v>
      </c>
      <c r="F3542" t="n">
        <v>29</v>
      </c>
      <c r="G3542" t="n">
        <v>0</v>
      </c>
      <c r="H3542">
        <f>E3542*F3542*(1-G3542)</f>
        <v/>
      </c>
      <c r="I3542">
        <f>XLOOKUP(D3542,Products!$A$2:$A$15,Products!$B$2:$B$15,"Not found")</f>
        <v/>
      </c>
    </row>
    <row r="3543">
      <c r="A3543" t="n">
        <v>107862</v>
      </c>
      <c r="B3543" s="1" t="n">
        <v>45967</v>
      </c>
      <c r="C3543" t="inlineStr">
        <is>
          <t>S04</t>
        </is>
      </c>
      <c r="D3543" t="inlineStr">
        <is>
          <t>P303</t>
        </is>
      </c>
      <c r="E3543" t="n">
        <v>2</v>
      </c>
      <c r="F3543" t="n">
        <v>12</v>
      </c>
      <c r="G3543" t="n">
        <v>0</v>
      </c>
      <c r="H3543">
        <f>E3543*F3543*(1-G3543)</f>
        <v/>
      </c>
      <c r="I3543">
        <f>XLOOKUP(D3543,Products!$A$2:$A$15,Products!$B$2:$B$15,"Not found")</f>
        <v/>
      </c>
    </row>
    <row r="3544">
      <c r="A3544" t="n">
        <v>107863</v>
      </c>
      <c r="B3544" s="1" t="n">
        <v>45967</v>
      </c>
      <c r="C3544" t="inlineStr">
        <is>
          <t>S04</t>
        </is>
      </c>
      <c r="D3544" t="inlineStr">
        <is>
          <t>P301</t>
        </is>
      </c>
      <c r="E3544" t="n">
        <v>1</v>
      </c>
      <c r="F3544" t="n">
        <v>119</v>
      </c>
      <c r="G3544" t="n">
        <v>0</v>
      </c>
      <c r="H3544">
        <f>E3544*F3544*(1-G3544)</f>
        <v/>
      </c>
      <c r="I3544">
        <f>XLOOKUP(D3544,Products!$A$2:$A$15,Products!$B$2:$B$15,"Not found")</f>
        <v/>
      </c>
    </row>
    <row r="3545">
      <c r="A3545" t="n">
        <v>107864</v>
      </c>
      <c r="B3545" s="1" t="n">
        <v>45967</v>
      </c>
      <c r="C3545" t="inlineStr">
        <is>
          <t>S04</t>
        </is>
      </c>
      <c r="D3545" t="inlineStr">
        <is>
          <t>P204</t>
        </is>
      </c>
      <c r="E3545" t="n">
        <v>1</v>
      </c>
      <c r="F3545" t="n">
        <v>229</v>
      </c>
      <c r="G3545" t="n">
        <v>0</v>
      </c>
      <c r="H3545">
        <f>E3545*F3545*(1-G3545)</f>
        <v/>
      </c>
      <c r="I3545">
        <f>XLOOKUP(D3545,Products!$A$2:$A$15,Products!$B$2:$B$15,"Not found")</f>
        <v/>
      </c>
    </row>
    <row r="3546">
      <c r="A3546" t="n">
        <v>107865</v>
      </c>
      <c r="B3546" s="1" t="n">
        <v>45967</v>
      </c>
      <c r="C3546" t="inlineStr">
        <is>
          <t>S05</t>
        </is>
      </c>
      <c r="D3546" t="inlineStr">
        <is>
          <t>P203</t>
        </is>
      </c>
      <c r="E3546" t="n">
        <v>4</v>
      </c>
      <c r="F3546" t="n">
        <v>19.5</v>
      </c>
      <c r="G3546" t="n">
        <v>0</v>
      </c>
      <c r="H3546">
        <f>E3546*F3546*(1-G3546)</f>
        <v/>
      </c>
      <c r="I3546">
        <f>XLOOKUP(D3546,Products!$A$2:$A$15,Products!$B$2:$B$15,"Not found")</f>
        <v/>
      </c>
    </row>
    <row r="3547">
      <c r="A3547" t="n">
        <v>107866</v>
      </c>
      <c r="B3547" s="1" t="n">
        <v>45967</v>
      </c>
      <c r="C3547" t="inlineStr">
        <is>
          <t>S05</t>
        </is>
      </c>
      <c r="D3547" t="inlineStr">
        <is>
          <t>P302</t>
        </is>
      </c>
      <c r="E3547" t="n">
        <v>2</v>
      </c>
      <c r="F3547" t="n">
        <v>24</v>
      </c>
      <c r="G3547" t="n">
        <v>0</v>
      </c>
      <c r="H3547">
        <f>E3547*F3547*(1-G3547)</f>
        <v/>
      </c>
      <c r="I3547">
        <f>XLOOKUP(D3547,Products!$A$2:$A$15,Products!$B$2:$B$15,"Not found")</f>
        <v/>
      </c>
    </row>
    <row r="3548">
      <c r="A3548" t="n">
        <v>107867</v>
      </c>
      <c r="B3548" s="1" t="n">
        <v>45967</v>
      </c>
      <c r="C3548" t="inlineStr">
        <is>
          <t>S05</t>
        </is>
      </c>
      <c r="D3548" t="inlineStr">
        <is>
          <t>P101</t>
        </is>
      </c>
      <c r="E3548" t="n">
        <v>2</v>
      </c>
      <c r="F3548" t="n">
        <v>39</v>
      </c>
      <c r="G3548" t="n">
        <v>0</v>
      </c>
      <c r="H3548">
        <f>E3548*F3548*(1-G3548)</f>
        <v/>
      </c>
      <c r="I3548">
        <f>XLOOKUP(D3548,Products!$A$2:$A$15,Products!$B$2:$B$15,"Not found")</f>
        <v/>
      </c>
    </row>
    <row r="3549">
      <c r="A3549" t="n">
        <v>107868</v>
      </c>
      <c r="B3549" s="1" t="n">
        <v>45967</v>
      </c>
      <c r="C3549" t="inlineStr">
        <is>
          <t>S05</t>
        </is>
      </c>
      <c r="D3549" t="inlineStr">
        <is>
          <t>P302</t>
        </is>
      </c>
      <c r="E3549" t="n">
        <v>1</v>
      </c>
      <c r="F3549" t="n">
        <v>24</v>
      </c>
      <c r="G3549" t="n">
        <v>0</v>
      </c>
      <c r="H3549">
        <f>E3549*F3549*(1-G3549)</f>
        <v/>
      </c>
      <c r="I3549">
        <f>XLOOKUP(D3549,Products!$A$2:$A$15,Products!$B$2:$B$15,"Not found")</f>
        <v/>
      </c>
    </row>
    <row r="3550">
      <c r="A3550" t="n">
        <v>107869</v>
      </c>
      <c r="B3550" s="1" t="n">
        <v>45968</v>
      </c>
      <c r="C3550" t="inlineStr">
        <is>
          <t>S01</t>
        </is>
      </c>
      <c r="D3550" t="inlineStr">
        <is>
          <t>P101</t>
        </is>
      </c>
      <c r="E3550" t="n">
        <v>4</v>
      </c>
      <c r="F3550" t="n">
        <v>39</v>
      </c>
      <c r="G3550" t="n">
        <v>0</v>
      </c>
      <c r="H3550">
        <f>E3550*F3550*(1-G3550)</f>
        <v/>
      </c>
      <c r="I3550">
        <f>XLOOKUP(D3550,Products!$A$2:$A$15,Products!$B$2:$B$15,"Not found")</f>
        <v/>
      </c>
    </row>
    <row r="3551">
      <c r="A3551" t="n">
        <v>107870</v>
      </c>
      <c r="B3551" s="1" t="n">
        <v>45968</v>
      </c>
      <c r="C3551" t="inlineStr">
        <is>
          <t>S01</t>
        </is>
      </c>
      <c r="D3551" t="inlineStr">
        <is>
          <t>P104</t>
        </is>
      </c>
      <c r="E3551" t="n">
        <v>1</v>
      </c>
      <c r="F3551" t="n">
        <v>189</v>
      </c>
      <c r="G3551" t="n">
        <v>0</v>
      </c>
      <c r="H3551">
        <f>E3551*F3551*(1-G3551)</f>
        <v/>
      </c>
      <c r="I3551">
        <f>XLOOKUP(D3551,Products!$A$2:$A$15,Products!$B$2:$B$15,"Not found")</f>
        <v/>
      </c>
    </row>
    <row r="3552">
      <c r="A3552" t="n">
        <v>107871</v>
      </c>
      <c r="B3552" s="1" t="n">
        <v>45968</v>
      </c>
      <c r="C3552" t="inlineStr">
        <is>
          <t>S02</t>
        </is>
      </c>
      <c r="D3552" t="inlineStr">
        <is>
          <t>P103</t>
        </is>
      </c>
      <c r="E3552" t="n">
        <v>1</v>
      </c>
      <c r="F3552" t="n">
        <v>29</v>
      </c>
      <c r="G3552" t="n">
        <v>0</v>
      </c>
      <c r="H3552">
        <f>E3552*F3552*(1-G3552)</f>
        <v/>
      </c>
      <c r="I3552">
        <f>XLOOKUP(D3552,Products!$A$2:$A$15,Products!$B$2:$B$15,"Not found")</f>
        <v/>
      </c>
    </row>
    <row r="3553">
      <c r="A3553" t="n">
        <v>107872</v>
      </c>
      <c r="B3553" s="1" t="n">
        <v>45968</v>
      </c>
      <c r="C3553" t="inlineStr">
        <is>
          <t>S02</t>
        </is>
      </c>
      <c r="D3553" t="inlineStr">
        <is>
          <t>P102</t>
        </is>
      </c>
      <c r="E3553" t="n">
        <v>1</v>
      </c>
      <c r="F3553" t="n">
        <v>14.5</v>
      </c>
      <c r="G3553" t="n">
        <v>0.2</v>
      </c>
      <c r="H3553">
        <f>E3553*F3553*(1-G3553)</f>
        <v/>
      </c>
      <c r="I3553">
        <f>XLOOKUP(D3553,Products!$A$2:$A$15,Products!$B$2:$B$15,"Not found")</f>
        <v/>
      </c>
    </row>
    <row r="3554">
      <c r="A3554" t="n">
        <v>107873</v>
      </c>
      <c r="B3554" s="1" t="n">
        <v>45968</v>
      </c>
      <c r="C3554" t="inlineStr">
        <is>
          <t>S03</t>
        </is>
      </c>
      <c r="D3554" t="inlineStr">
        <is>
          <t>P102</t>
        </is>
      </c>
      <c r="E3554" t="n">
        <v>3</v>
      </c>
      <c r="F3554" t="n">
        <v>14.5</v>
      </c>
      <c r="G3554" t="n">
        <v>0.2</v>
      </c>
      <c r="H3554">
        <f>E3554*F3554*(1-G3554)</f>
        <v/>
      </c>
      <c r="I3554">
        <f>XLOOKUP(D3554,Products!$A$2:$A$15,Products!$B$2:$B$15,"Not found")</f>
        <v/>
      </c>
    </row>
    <row r="3555">
      <c r="A3555" t="n">
        <v>107874</v>
      </c>
      <c r="B3555" s="1" t="n">
        <v>45968</v>
      </c>
      <c r="C3555" t="inlineStr">
        <is>
          <t>S03</t>
        </is>
      </c>
      <c r="D3555" t="inlineStr">
        <is>
          <t>P204</t>
        </is>
      </c>
      <c r="E3555" t="n">
        <v>1</v>
      </c>
      <c r="F3555" t="n">
        <v>229</v>
      </c>
      <c r="G3555" t="n">
        <v>0</v>
      </c>
      <c r="H3555">
        <f>E3555*F3555*(1-G3555)</f>
        <v/>
      </c>
      <c r="I3555">
        <f>XLOOKUP(D3555,Products!$A$2:$A$15,Products!$B$2:$B$15,"Not found")</f>
        <v/>
      </c>
    </row>
    <row r="3556">
      <c r="A3556" t="n">
        <v>107875</v>
      </c>
      <c r="B3556" s="1" t="n">
        <v>45968</v>
      </c>
      <c r="C3556" t="inlineStr">
        <is>
          <t>S04</t>
        </is>
      </c>
      <c r="D3556" t="inlineStr">
        <is>
          <t>P101</t>
        </is>
      </c>
      <c r="E3556" t="n">
        <v>1</v>
      </c>
      <c r="F3556" t="n">
        <v>39</v>
      </c>
      <c r="G3556" t="n">
        <v>0</v>
      </c>
      <c r="H3556">
        <f>E3556*F3556*(1-G3556)</f>
        <v/>
      </c>
      <c r="I3556">
        <f>XLOOKUP(D3556,Products!$A$2:$A$15,Products!$B$2:$B$15,"Not found")</f>
        <v/>
      </c>
    </row>
    <row r="3557">
      <c r="A3557" t="n">
        <v>107876</v>
      </c>
      <c r="B3557" s="1" t="n">
        <v>45968</v>
      </c>
      <c r="C3557" t="inlineStr">
        <is>
          <t>S04</t>
        </is>
      </c>
      <c r="D3557" t="inlineStr">
        <is>
          <t>P102</t>
        </is>
      </c>
      <c r="E3557" t="n">
        <v>3</v>
      </c>
      <c r="F3557" t="n">
        <v>14.5</v>
      </c>
      <c r="G3557" t="n">
        <v>0</v>
      </c>
      <c r="H3557">
        <f>E3557*F3557*(1-G3557)</f>
        <v/>
      </c>
      <c r="I3557">
        <f>XLOOKUP(D3557,Products!$A$2:$A$15,Products!$B$2:$B$15,"Not found")</f>
        <v/>
      </c>
    </row>
    <row r="3558">
      <c r="A3558" t="n">
        <v>107877</v>
      </c>
      <c r="B3558" s="1" t="n">
        <v>45968</v>
      </c>
      <c r="C3558" t="inlineStr">
        <is>
          <t>S05</t>
        </is>
      </c>
      <c r="D3558" t="inlineStr">
        <is>
          <t>P103</t>
        </is>
      </c>
      <c r="E3558" t="n">
        <v>1</v>
      </c>
      <c r="F3558" t="n">
        <v>29</v>
      </c>
      <c r="G3558" t="n">
        <v>0</v>
      </c>
      <c r="H3558">
        <f>E3558*F3558*(1-G3558)</f>
        <v/>
      </c>
      <c r="I3558">
        <f>XLOOKUP(D3558,Products!$A$2:$A$15,Products!$B$2:$B$15,"Not found")</f>
        <v/>
      </c>
    </row>
    <row r="3559">
      <c r="A3559" t="n">
        <v>107878</v>
      </c>
      <c r="B3559" s="1" t="n">
        <v>45968</v>
      </c>
      <c r="C3559" t="inlineStr">
        <is>
          <t>S06</t>
        </is>
      </c>
      <c r="D3559" t="inlineStr">
        <is>
          <t>P202</t>
        </is>
      </c>
      <c r="E3559" t="n">
        <v>2</v>
      </c>
      <c r="F3559" t="n">
        <v>79</v>
      </c>
      <c r="G3559" t="n">
        <v>0</v>
      </c>
      <c r="H3559">
        <f>E3559*F3559*(1-G3559)</f>
        <v/>
      </c>
      <c r="I3559">
        <f>XLOOKUP(D3559,Products!$A$2:$A$15,Products!$B$2:$B$15,"Not found")</f>
        <v/>
      </c>
    </row>
    <row r="3560">
      <c r="A3560" t="n">
        <v>107879</v>
      </c>
      <c r="B3560" s="1" t="n">
        <v>45968</v>
      </c>
      <c r="C3560" t="inlineStr">
        <is>
          <t>S06</t>
        </is>
      </c>
      <c r="D3560" t="inlineStr">
        <is>
          <t>P101</t>
        </is>
      </c>
      <c r="E3560" t="n">
        <v>2</v>
      </c>
      <c r="F3560" t="n">
        <v>39</v>
      </c>
      <c r="G3560" t="n">
        <v>0.1</v>
      </c>
      <c r="H3560">
        <f>E3560*F3560*(1-G3560)</f>
        <v/>
      </c>
      <c r="I3560">
        <f>XLOOKUP(D3560,Products!$A$2:$A$15,Products!$B$2:$B$15,"Not found")</f>
        <v/>
      </c>
    </row>
    <row r="3561">
      <c r="A3561" t="n">
        <v>107880</v>
      </c>
      <c r="B3561" s="1" t="n">
        <v>45968</v>
      </c>
      <c r="C3561" t="inlineStr">
        <is>
          <t>S06</t>
        </is>
      </c>
      <c r="D3561" t="inlineStr">
        <is>
          <t>P102</t>
        </is>
      </c>
      <c r="E3561" t="n">
        <v>4</v>
      </c>
      <c r="F3561" t="n">
        <v>14.5</v>
      </c>
      <c r="G3561" t="n">
        <v>0</v>
      </c>
      <c r="H3561">
        <f>E3561*F3561*(1-G3561)</f>
        <v/>
      </c>
      <c r="I3561">
        <f>XLOOKUP(D3561,Products!$A$2:$A$15,Products!$B$2:$B$15,"Not found")</f>
        <v/>
      </c>
    </row>
    <row r="3562">
      <c r="A3562" t="n">
        <v>107881</v>
      </c>
      <c r="B3562" s="1" t="n">
        <v>45969</v>
      </c>
      <c r="C3562" t="inlineStr">
        <is>
          <t>S01</t>
        </is>
      </c>
      <c r="D3562" t="inlineStr">
        <is>
          <t>P102</t>
        </is>
      </c>
      <c r="E3562" t="n">
        <v>2</v>
      </c>
      <c r="F3562" t="n">
        <v>14.5</v>
      </c>
      <c r="G3562" t="n">
        <v>0</v>
      </c>
      <c r="H3562">
        <f>E3562*F3562*(1-G3562)</f>
        <v/>
      </c>
      <c r="I3562">
        <f>XLOOKUP(D3562,Products!$A$2:$A$15,Products!$B$2:$B$15,"Not found")</f>
        <v/>
      </c>
    </row>
    <row r="3563">
      <c r="A3563" t="n">
        <v>107882</v>
      </c>
      <c r="B3563" s="1" t="n">
        <v>45969</v>
      </c>
      <c r="C3563" t="inlineStr">
        <is>
          <t>S01</t>
        </is>
      </c>
      <c r="D3563" t="inlineStr">
        <is>
          <t>P101</t>
        </is>
      </c>
      <c r="E3563" t="n">
        <v>1</v>
      </c>
      <c r="F3563" t="n">
        <v>39</v>
      </c>
      <c r="G3563" t="n">
        <v>0.15</v>
      </c>
      <c r="H3563">
        <f>E3563*F3563*(1-G3563)</f>
        <v/>
      </c>
      <c r="I3563">
        <f>XLOOKUP(D3563,Products!$A$2:$A$15,Products!$B$2:$B$15,"Not found")</f>
        <v/>
      </c>
    </row>
    <row r="3564">
      <c r="A3564" t="n">
        <v>107883</v>
      </c>
      <c r="B3564" s="1" t="n">
        <v>45969</v>
      </c>
      <c r="C3564" t="inlineStr">
        <is>
          <t>S01</t>
        </is>
      </c>
      <c r="D3564" t="inlineStr">
        <is>
          <t>P203</t>
        </is>
      </c>
      <c r="E3564" t="n">
        <v>1</v>
      </c>
      <c r="F3564" t="n">
        <v>19.5</v>
      </c>
      <c r="G3564" t="n">
        <v>0</v>
      </c>
      <c r="H3564">
        <f>E3564*F3564*(1-G3564)</f>
        <v/>
      </c>
      <c r="I3564">
        <f>XLOOKUP(D3564,Products!$A$2:$A$15,Products!$B$2:$B$15,"Not found")</f>
        <v/>
      </c>
    </row>
    <row r="3565">
      <c r="A3565" t="n">
        <v>107884</v>
      </c>
      <c r="B3565" s="1" t="n">
        <v>45969</v>
      </c>
      <c r="C3565" t="inlineStr">
        <is>
          <t>S02</t>
        </is>
      </c>
      <c r="D3565" t="inlineStr">
        <is>
          <t>P203</t>
        </is>
      </c>
      <c r="E3565" t="n">
        <v>1</v>
      </c>
      <c r="F3565" t="n">
        <v>19.5</v>
      </c>
      <c r="G3565" t="n">
        <v>0.1</v>
      </c>
      <c r="H3565">
        <f>E3565*F3565*(1-G3565)</f>
        <v/>
      </c>
      <c r="I3565">
        <f>XLOOKUP(D3565,Products!$A$2:$A$15,Products!$B$2:$B$15,"Not found")</f>
        <v/>
      </c>
    </row>
    <row r="3566">
      <c r="A3566" t="n">
        <v>107885</v>
      </c>
      <c r="B3566" s="1" t="n">
        <v>45969</v>
      </c>
      <c r="C3566" t="inlineStr">
        <is>
          <t>S02</t>
        </is>
      </c>
      <c r="D3566" t="inlineStr">
        <is>
          <t>P302</t>
        </is>
      </c>
      <c r="E3566" t="n">
        <v>1</v>
      </c>
      <c r="F3566" t="n">
        <v>24</v>
      </c>
      <c r="G3566" t="n">
        <v>0</v>
      </c>
      <c r="H3566">
        <f>E3566*F3566*(1-G3566)</f>
        <v/>
      </c>
      <c r="I3566">
        <f>XLOOKUP(D3566,Products!$A$2:$A$15,Products!$B$2:$B$15,"Not found")</f>
        <v/>
      </c>
    </row>
    <row r="3567">
      <c r="A3567" t="n">
        <v>107886</v>
      </c>
      <c r="B3567" s="1" t="n">
        <v>45969</v>
      </c>
      <c r="C3567" t="inlineStr">
        <is>
          <t>S02</t>
        </is>
      </c>
      <c r="D3567" t="inlineStr">
        <is>
          <t>P102</t>
        </is>
      </c>
      <c r="E3567" t="n">
        <v>1</v>
      </c>
      <c r="F3567" t="n">
        <v>14.5</v>
      </c>
      <c r="G3567" t="n">
        <v>0</v>
      </c>
      <c r="H3567">
        <f>E3567*F3567*(1-G3567)</f>
        <v/>
      </c>
      <c r="I3567">
        <f>XLOOKUP(D3567,Products!$A$2:$A$15,Products!$B$2:$B$15,"Not found")</f>
        <v/>
      </c>
    </row>
    <row r="3568">
      <c r="A3568" t="n">
        <v>107887</v>
      </c>
      <c r="B3568" s="1" t="n">
        <v>45969</v>
      </c>
      <c r="C3568" t="inlineStr">
        <is>
          <t>S02</t>
        </is>
      </c>
      <c r="D3568" t="inlineStr">
        <is>
          <t>P303</t>
        </is>
      </c>
      <c r="E3568" t="n">
        <v>1</v>
      </c>
      <c r="F3568" t="n">
        <v>12</v>
      </c>
      <c r="G3568" t="n">
        <v>0</v>
      </c>
      <c r="H3568">
        <f>E3568*F3568*(1-G3568)</f>
        <v/>
      </c>
      <c r="I3568">
        <f>XLOOKUP(D3568,Products!$A$2:$A$15,Products!$B$2:$B$15,"Not found")</f>
        <v/>
      </c>
    </row>
    <row r="3569">
      <c r="A3569" t="n">
        <v>107888</v>
      </c>
      <c r="B3569" s="1" t="n">
        <v>45969</v>
      </c>
      <c r="C3569" t="inlineStr">
        <is>
          <t>S03</t>
        </is>
      </c>
      <c r="D3569" t="inlineStr">
        <is>
          <t>P303</t>
        </is>
      </c>
      <c r="E3569" t="n">
        <v>1</v>
      </c>
      <c r="F3569" t="n">
        <v>12</v>
      </c>
      <c r="G3569" t="n">
        <v>0.1</v>
      </c>
      <c r="H3569">
        <f>E3569*F3569*(1-G3569)</f>
        <v/>
      </c>
      <c r="I3569">
        <f>XLOOKUP(D3569,Products!$A$2:$A$15,Products!$B$2:$B$15,"Not found")</f>
        <v/>
      </c>
    </row>
    <row r="3570">
      <c r="A3570" t="n">
        <v>107889</v>
      </c>
      <c r="B3570" s="1" t="n">
        <v>45969</v>
      </c>
      <c r="C3570" t="inlineStr">
        <is>
          <t>S03</t>
        </is>
      </c>
      <c r="D3570" t="inlineStr">
        <is>
          <t>P302</t>
        </is>
      </c>
      <c r="E3570" t="n">
        <v>1</v>
      </c>
      <c r="F3570" t="n">
        <v>24</v>
      </c>
      <c r="G3570" t="n">
        <v>0.1</v>
      </c>
      <c r="H3570">
        <f>E3570*F3570*(1-G3570)</f>
        <v/>
      </c>
      <c r="I3570">
        <f>XLOOKUP(D3570,Products!$A$2:$A$15,Products!$B$2:$B$15,"Not found")</f>
        <v/>
      </c>
    </row>
    <row r="3571">
      <c r="A3571" t="n">
        <v>107890</v>
      </c>
      <c r="B3571" s="1" t="n">
        <v>45969</v>
      </c>
      <c r="C3571" t="inlineStr">
        <is>
          <t>S03</t>
        </is>
      </c>
      <c r="D3571" t="inlineStr">
        <is>
          <t>P101</t>
        </is>
      </c>
      <c r="E3571" t="n">
        <v>2</v>
      </c>
      <c r="F3571" t="n">
        <v>39</v>
      </c>
      <c r="G3571" t="n">
        <v>0</v>
      </c>
      <c r="H3571">
        <f>E3571*F3571*(1-G3571)</f>
        <v/>
      </c>
      <c r="I3571">
        <f>XLOOKUP(D3571,Products!$A$2:$A$15,Products!$B$2:$B$15,"Not found")</f>
        <v/>
      </c>
    </row>
    <row r="3572">
      <c r="A3572" t="n">
        <v>107891</v>
      </c>
      <c r="B3572" s="1" t="n">
        <v>45969</v>
      </c>
      <c r="C3572" t="inlineStr">
        <is>
          <t>S03</t>
        </is>
      </c>
      <c r="D3572" t="inlineStr">
        <is>
          <t>P102</t>
        </is>
      </c>
      <c r="E3572" t="n">
        <v>1</v>
      </c>
      <c r="F3572" t="n">
        <v>14.5</v>
      </c>
      <c r="G3572" t="n">
        <v>0</v>
      </c>
      <c r="H3572">
        <f>E3572*F3572*(1-G3572)</f>
        <v/>
      </c>
      <c r="I3572">
        <f>XLOOKUP(D3572,Products!$A$2:$A$15,Products!$B$2:$B$15,"Not found")</f>
        <v/>
      </c>
    </row>
    <row r="3573">
      <c r="A3573" t="n">
        <v>107892</v>
      </c>
      <c r="B3573" s="1" t="n">
        <v>45969</v>
      </c>
      <c r="C3573" t="inlineStr">
        <is>
          <t>S04</t>
        </is>
      </c>
      <c r="D3573" t="inlineStr">
        <is>
          <t>P303</t>
        </is>
      </c>
      <c r="E3573" t="n">
        <v>4</v>
      </c>
      <c r="F3573" t="n">
        <v>12</v>
      </c>
      <c r="G3573" t="n">
        <v>0.2</v>
      </c>
      <c r="H3573">
        <f>E3573*F3573*(1-G3573)</f>
        <v/>
      </c>
      <c r="I3573">
        <f>XLOOKUP(D3573,Products!$A$2:$A$15,Products!$B$2:$B$15,"Not found")</f>
        <v/>
      </c>
    </row>
    <row r="3574">
      <c r="A3574" t="n">
        <v>107893</v>
      </c>
      <c r="B3574" s="1" t="n">
        <v>45969</v>
      </c>
      <c r="C3574" t="inlineStr">
        <is>
          <t>S05</t>
        </is>
      </c>
      <c r="D3574" t="inlineStr">
        <is>
          <t>P103</t>
        </is>
      </c>
      <c r="E3574" t="n">
        <v>3</v>
      </c>
      <c r="F3574" t="n">
        <v>29</v>
      </c>
      <c r="G3574" t="n">
        <v>0.2</v>
      </c>
      <c r="H3574">
        <f>E3574*F3574*(1-G3574)</f>
        <v/>
      </c>
      <c r="I3574">
        <f>XLOOKUP(D3574,Products!$A$2:$A$15,Products!$B$2:$B$15,"Not found")</f>
        <v/>
      </c>
    </row>
    <row r="3575">
      <c r="A3575" t="n">
        <v>107894</v>
      </c>
      <c r="B3575" s="1" t="n">
        <v>45969</v>
      </c>
      <c r="C3575" t="inlineStr">
        <is>
          <t>S05</t>
        </is>
      </c>
      <c r="D3575" t="inlineStr">
        <is>
          <t>P203</t>
        </is>
      </c>
      <c r="E3575" t="n">
        <v>4</v>
      </c>
      <c r="F3575" t="n">
        <v>19.5</v>
      </c>
      <c r="G3575" t="n">
        <v>0</v>
      </c>
      <c r="H3575">
        <f>E3575*F3575*(1-G3575)</f>
        <v/>
      </c>
      <c r="I3575">
        <f>XLOOKUP(D3575,Products!$A$2:$A$15,Products!$B$2:$B$15,"Not found")</f>
        <v/>
      </c>
    </row>
    <row r="3576">
      <c r="A3576" t="n">
        <v>107895</v>
      </c>
      <c r="B3576" s="1" t="n">
        <v>45969</v>
      </c>
      <c r="C3576" t="inlineStr">
        <is>
          <t>S05</t>
        </is>
      </c>
      <c r="D3576" t="inlineStr">
        <is>
          <t>P301</t>
        </is>
      </c>
      <c r="E3576" t="n">
        <v>1</v>
      </c>
      <c r="F3576" t="n">
        <v>119</v>
      </c>
      <c r="G3576" t="n">
        <v>0</v>
      </c>
      <c r="H3576">
        <f>E3576*F3576*(1-G3576)</f>
        <v/>
      </c>
      <c r="I3576">
        <f>XLOOKUP(D3576,Products!$A$2:$A$15,Products!$B$2:$B$15,"Not found")</f>
        <v/>
      </c>
    </row>
    <row r="3577">
      <c r="A3577" t="n">
        <v>107896</v>
      </c>
      <c r="B3577" s="1" t="n">
        <v>45969</v>
      </c>
      <c r="C3577" t="inlineStr">
        <is>
          <t>S05</t>
        </is>
      </c>
      <c r="D3577" t="inlineStr">
        <is>
          <t>P103</t>
        </is>
      </c>
      <c r="E3577" t="n">
        <v>2</v>
      </c>
      <c r="F3577" t="n">
        <v>29</v>
      </c>
      <c r="G3577" t="n">
        <v>0.15</v>
      </c>
      <c r="H3577">
        <f>E3577*F3577*(1-G3577)</f>
        <v/>
      </c>
      <c r="I3577">
        <f>XLOOKUP(D3577,Products!$A$2:$A$15,Products!$B$2:$B$15,"Not found")</f>
        <v/>
      </c>
    </row>
    <row r="3578">
      <c r="A3578" t="n">
        <v>107897</v>
      </c>
      <c r="B3578" s="1" t="n">
        <v>45970</v>
      </c>
      <c r="C3578" t="inlineStr">
        <is>
          <t>S01</t>
        </is>
      </c>
      <c r="D3578" t="inlineStr">
        <is>
          <t>P103</t>
        </is>
      </c>
      <c r="E3578" t="n">
        <v>3</v>
      </c>
      <c r="F3578" t="n">
        <v>29</v>
      </c>
      <c r="G3578" t="n">
        <v>0</v>
      </c>
      <c r="H3578">
        <f>E3578*F3578*(1-G3578)</f>
        <v/>
      </c>
      <c r="I3578">
        <f>XLOOKUP(D3578,Products!$A$2:$A$15,Products!$B$2:$B$15,"Not found")</f>
        <v/>
      </c>
    </row>
    <row r="3579">
      <c r="A3579" t="n">
        <v>107898</v>
      </c>
      <c r="B3579" s="1" t="n">
        <v>45970</v>
      </c>
      <c r="C3579" t="inlineStr">
        <is>
          <t>S01</t>
        </is>
      </c>
      <c r="D3579" t="inlineStr">
        <is>
          <t>P203</t>
        </is>
      </c>
      <c r="E3579" t="n">
        <v>4</v>
      </c>
      <c r="F3579" t="n">
        <v>19.5</v>
      </c>
      <c r="G3579" t="n">
        <v>0</v>
      </c>
      <c r="H3579">
        <f>E3579*F3579*(1-G3579)</f>
        <v/>
      </c>
      <c r="I3579">
        <f>XLOOKUP(D3579,Products!$A$2:$A$15,Products!$B$2:$B$15,"Not found")</f>
        <v/>
      </c>
    </row>
    <row r="3580">
      <c r="A3580" t="n">
        <v>107899</v>
      </c>
      <c r="B3580" s="1" t="n">
        <v>45970</v>
      </c>
      <c r="C3580" t="inlineStr">
        <is>
          <t>S01</t>
        </is>
      </c>
      <c r="D3580" t="inlineStr">
        <is>
          <t>P102</t>
        </is>
      </c>
      <c r="E3580" t="n">
        <v>1</v>
      </c>
      <c r="F3580" t="n">
        <v>14.5</v>
      </c>
      <c r="G3580" t="n">
        <v>0.15</v>
      </c>
      <c r="H3580">
        <f>E3580*F3580*(1-G3580)</f>
        <v/>
      </c>
      <c r="I3580">
        <f>XLOOKUP(D3580,Products!$A$2:$A$15,Products!$B$2:$B$15,"Not found")</f>
        <v/>
      </c>
    </row>
    <row r="3581">
      <c r="A3581" t="n">
        <v>107900</v>
      </c>
      <c r="B3581" s="1" t="n">
        <v>45970</v>
      </c>
      <c r="C3581" t="inlineStr">
        <is>
          <t>S01</t>
        </is>
      </c>
      <c r="D3581" t="inlineStr">
        <is>
          <t>P403</t>
        </is>
      </c>
      <c r="E3581" t="n">
        <v>4</v>
      </c>
      <c r="F3581" t="n">
        <v>89</v>
      </c>
      <c r="G3581" t="n">
        <v>0</v>
      </c>
      <c r="H3581">
        <f>E3581*F3581*(1-G3581)</f>
        <v/>
      </c>
      <c r="I3581">
        <f>XLOOKUP(D3581,Products!$A$2:$A$15,Products!$B$2:$B$15,"Not found")</f>
        <v/>
      </c>
    </row>
    <row r="3582">
      <c r="A3582" t="n">
        <v>107901</v>
      </c>
      <c r="B3582" s="1" t="n">
        <v>45970</v>
      </c>
      <c r="C3582" t="inlineStr">
        <is>
          <t>S01</t>
        </is>
      </c>
      <c r="D3582" t="inlineStr">
        <is>
          <t>P403</t>
        </is>
      </c>
      <c r="E3582" t="n">
        <v>1</v>
      </c>
      <c r="F3582" t="n">
        <v>89</v>
      </c>
      <c r="G3582" t="n">
        <v>0.2</v>
      </c>
      <c r="H3582">
        <f>E3582*F3582*(1-G3582)</f>
        <v/>
      </c>
      <c r="I3582">
        <f>XLOOKUP(D3582,Products!$A$2:$A$15,Products!$B$2:$B$15,"Not found")</f>
        <v/>
      </c>
    </row>
    <row r="3583">
      <c r="A3583" t="n">
        <v>107902</v>
      </c>
      <c r="B3583" s="1" t="n">
        <v>45970</v>
      </c>
      <c r="C3583" t="inlineStr">
        <is>
          <t>S01</t>
        </is>
      </c>
      <c r="D3583" t="inlineStr">
        <is>
          <t>P102</t>
        </is>
      </c>
      <c r="E3583" t="n">
        <v>2</v>
      </c>
      <c r="F3583" t="n">
        <v>14.5</v>
      </c>
      <c r="G3583" t="n">
        <v>0</v>
      </c>
      <c r="H3583">
        <f>E3583*F3583*(1-G3583)</f>
        <v/>
      </c>
      <c r="I3583">
        <f>XLOOKUP(D3583,Products!$A$2:$A$15,Products!$B$2:$B$15,"Not found")</f>
        <v/>
      </c>
    </row>
    <row r="3584">
      <c r="A3584" t="n">
        <v>107903</v>
      </c>
      <c r="B3584" s="1" t="n">
        <v>45970</v>
      </c>
      <c r="C3584" t="inlineStr">
        <is>
          <t>S02</t>
        </is>
      </c>
      <c r="D3584" t="inlineStr">
        <is>
          <t>P202</t>
        </is>
      </c>
      <c r="E3584" t="n">
        <v>2</v>
      </c>
      <c r="F3584" t="n">
        <v>79</v>
      </c>
      <c r="G3584" t="n">
        <v>0</v>
      </c>
      <c r="H3584">
        <f>E3584*F3584*(1-G3584)</f>
        <v/>
      </c>
      <c r="I3584">
        <f>XLOOKUP(D3584,Products!$A$2:$A$15,Products!$B$2:$B$15,"Not found")</f>
        <v/>
      </c>
    </row>
    <row r="3585">
      <c r="A3585" t="n">
        <v>107904</v>
      </c>
      <c r="B3585" s="1" t="n">
        <v>45970</v>
      </c>
      <c r="C3585" t="inlineStr">
        <is>
          <t>S02</t>
        </is>
      </c>
      <c r="D3585" t="inlineStr">
        <is>
          <t>P403</t>
        </is>
      </c>
      <c r="E3585" t="n">
        <v>2</v>
      </c>
      <c r="F3585" t="n">
        <v>89</v>
      </c>
      <c r="G3585" t="n">
        <v>0</v>
      </c>
      <c r="H3585">
        <f>E3585*F3585*(1-G3585)</f>
        <v/>
      </c>
      <c r="I3585">
        <f>XLOOKUP(D3585,Products!$A$2:$A$15,Products!$B$2:$B$15,"Not found")</f>
        <v/>
      </c>
    </row>
    <row r="3586">
      <c r="A3586" t="n">
        <v>107905</v>
      </c>
      <c r="B3586" s="1" t="n">
        <v>45970</v>
      </c>
      <c r="C3586" t="inlineStr">
        <is>
          <t>S02</t>
        </is>
      </c>
      <c r="D3586" t="inlineStr">
        <is>
          <t>P101</t>
        </is>
      </c>
      <c r="E3586" t="n">
        <v>1</v>
      </c>
      <c r="F3586" t="n">
        <v>39</v>
      </c>
      <c r="G3586" t="n">
        <v>0</v>
      </c>
      <c r="H3586">
        <f>E3586*F3586*(1-G3586)</f>
        <v/>
      </c>
      <c r="I3586">
        <f>XLOOKUP(D3586,Products!$A$2:$A$15,Products!$B$2:$B$15,"Not found")</f>
        <v/>
      </c>
    </row>
    <row r="3587">
      <c r="A3587" t="n">
        <v>107906</v>
      </c>
      <c r="B3587" s="1" t="n">
        <v>45970</v>
      </c>
      <c r="C3587" t="inlineStr">
        <is>
          <t>S02</t>
        </is>
      </c>
      <c r="D3587" t="inlineStr">
        <is>
          <t>P102</t>
        </is>
      </c>
      <c r="E3587" t="n">
        <v>1</v>
      </c>
      <c r="F3587" t="n">
        <v>14.5</v>
      </c>
      <c r="G3587" t="n">
        <v>0.1</v>
      </c>
      <c r="H3587">
        <f>E3587*F3587*(1-G3587)</f>
        <v/>
      </c>
      <c r="I3587">
        <f>XLOOKUP(D3587,Products!$A$2:$A$15,Products!$B$2:$B$15,"Not found")</f>
        <v/>
      </c>
    </row>
    <row r="3588">
      <c r="A3588" t="n">
        <v>107907</v>
      </c>
      <c r="B3588" s="1" t="n">
        <v>45970</v>
      </c>
      <c r="C3588" t="inlineStr">
        <is>
          <t>S02</t>
        </is>
      </c>
      <c r="D3588" t="inlineStr">
        <is>
          <t>P301</t>
        </is>
      </c>
      <c r="E3588" t="n">
        <v>1</v>
      </c>
      <c r="F3588" t="n">
        <v>119</v>
      </c>
      <c r="G3588" t="n">
        <v>0</v>
      </c>
      <c r="H3588">
        <f>E3588*F3588*(1-G3588)</f>
        <v/>
      </c>
      <c r="I3588">
        <f>XLOOKUP(D3588,Products!$A$2:$A$15,Products!$B$2:$B$15,"Not found")</f>
        <v/>
      </c>
    </row>
    <row r="3589">
      <c r="A3589" t="n">
        <v>107908</v>
      </c>
      <c r="B3589" s="1" t="n">
        <v>45970</v>
      </c>
      <c r="C3589" t="inlineStr">
        <is>
          <t>S03</t>
        </is>
      </c>
      <c r="D3589" t="inlineStr">
        <is>
          <t>P403</t>
        </is>
      </c>
      <c r="E3589" t="n">
        <v>2</v>
      </c>
      <c r="F3589" t="n">
        <v>89</v>
      </c>
      <c r="G3589" t="n">
        <v>0</v>
      </c>
      <c r="H3589">
        <f>E3589*F3589*(1-G3589)</f>
        <v/>
      </c>
      <c r="I3589">
        <f>XLOOKUP(D3589,Products!$A$2:$A$15,Products!$B$2:$B$15,"Not found")</f>
        <v/>
      </c>
    </row>
    <row r="3590">
      <c r="A3590" t="n">
        <v>107909</v>
      </c>
      <c r="B3590" s="1" t="n">
        <v>45970</v>
      </c>
      <c r="C3590" t="inlineStr">
        <is>
          <t>S03</t>
        </is>
      </c>
      <c r="D3590" t="inlineStr">
        <is>
          <t>P303</t>
        </is>
      </c>
      <c r="E3590" t="n">
        <v>4</v>
      </c>
      <c r="F3590" t="n">
        <v>12</v>
      </c>
      <c r="G3590" t="n">
        <v>0.1</v>
      </c>
      <c r="H3590">
        <f>E3590*F3590*(1-G3590)</f>
        <v/>
      </c>
      <c r="I3590">
        <f>XLOOKUP(D3590,Products!$A$2:$A$15,Products!$B$2:$B$15,"Not found")</f>
        <v/>
      </c>
    </row>
    <row r="3591">
      <c r="A3591" t="n">
        <v>107910</v>
      </c>
      <c r="B3591" s="1" t="n">
        <v>45970</v>
      </c>
      <c r="C3591" t="inlineStr">
        <is>
          <t>S03</t>
        </is>
      </c>
      <c r="D3591" t="inlineStr">
        <is>
          <t>P103</t>
        </is>
      </c>
      <c r="E3591" t="n">
        <v>4</v>
      </c>
      <c r="F3591" t="n">
        <v>29</v>
      </c>
      <c r="G3591" t="n">
        <v>0.1</v>
      </c>
      <c r="H3591">
        <f>E3591*F3591*(1-G3591)</f>
        <v/>
      </c>
      <c r="I3591">
        <f>XLOOKUP(D3591,Products!$A$2:$A$15,Products!$B$2:$B$15,"Not found")</f>
        <v/>
      </c>
    </row>
    <row r="3592">
      <c r="A3592" t="n">
        <v>107911</v>
      </c>
      <c r="B3592" s="1" t="n">
        <v>45970</v>
      </c>
      <c r="C3592" t="inlineStr">
        <is>
          <t>S04</t>
        </is>
      </c>
      <c r="D3592" t="inlineStr">
        <is>
          <t>P301</t>
        </is>
      </c>
      <c r="E3592" t="n">
        <v>1</v>
      </c>
      <c r="F3592" t="n">
        <v>119</v>
      </c>
      <c r="G3592" t="n">
        <v>0</v>
      </c>
      <c r="H3592">
        <f>E3592*F3592*(1-G3592)</f>
        <v/>
      </c>
      <c r="I3592">
        <f>XLOOKUP(D3592,Products!$A$2:$A$15,Products!$B$2:$B$15,"Not found")</f>
        <v/>
      </c>
    </row>
    <row r="3593">
      <c r="A3593" t="n">
        <v>107912</v>
      </c>
      <c r="B3593" s="1" t="n">
        <v>45970</v>
      </c>
      <c r="C3593" t="inlineStr">
        <is>
          <t>S04</t>
        </is>
      </c>
      <c r="D3593" t="inlineStr">
        <is>
          <t>P202</t>
        </is>
      </c>
      <c r="E3593" t="n">
        <v>4</v>
      </c>
      <c r="F3593" t="n">
        <v>79</v>
      </c>
      <c r="G3593" t="n">
        <v>0.1</v>
      </c>
      <c r="H3593">
        <f>E3593*F3593*(1-G3593)</f>
        <v/>
      </c>
      <c r="I3593">
        <f>XLOOKUP(D3593,Products!$A$2:$A$15,Products!$B$2:$B$15,"Not found")</f>
        <v/>
      </c>
    </row>
    <row r="3594">
      <c r="A3594" t="n">
        <v>107913</v>
      </c>
      <c r="B3594" s="1" t="n">
        <v>45970</v>
      </c>
      <c r="C3594" t="inlineStr">
        <is>
          <t>S04</t>
        </is>
      </c>
      <c r="D3594" t="inlineStr">
        <is>
          <t>P203</t>
        </is>
      </c>
      <c r="E3594" t="n">
        <v>3</v>
      </c>
      <c r="F3594" t="n">
        <v>19.5</v>
      </c>
      <c r="G3594" t="n">
        <v>0</v>
      </c>
      <c r="H3594">
        <f>E3594*F3594*(1-G3594)</f>
        <v/>
      </c>
      <c r="I3594">
        <f>XLOOKUP(D3594,Products!$A$2:$A$15,Products!$B$2:$B$15,"Not found")</f>
        <v/>
      </c>
    </row>
    <row r="3595">
      <c r="A3595" t="n">
        <v>107914</v>
      </c>
      <c r="B3595" s="1" t="n">
        <v>45970</v>
      </c>
      <c r="C3595" t="inlineStr">
        <is>
          <t>S04</t>
        </is>
      </c>
      <c r="D3595" t="inlineStr">
        <is>
          <t>P101</t>
        </is>
      </c>
      <c r="E3595" t="n">
        <v>3</v>
      </c>
      <c r="F3595" t="n">
        <v>39</v>
      </c>
      <c r="G3595" t="n">
        <v>0.15</v>
      </c>
      <c r="H3595">
        <f>E3595*F3595*(1-G3595)</f>
        <v/>
      </c>
      <c r="I3595">
        <f>XLOOKUP(D3595,Products!$A$2:$A$15,Products!$B$2:$B$15,"Not found")</f>
        <v/>
      </c>
    </row>
    <row r="3596">
      <c r="A3596" t="n">
        <v>107915</v>
      </c>
      <c r="B3596" s="1" t="n">
        <v>45970</v>
      </c>
      <c r="C3596" t="inlineStr">
        <is>
          <t>S04</t>
        </is>
      </c>
      <c r="D3596" t="inlineStr">
        <is>
          <t>P203</t>
        </is>
      </c>
      <c r="E3596" t="n">
        <v>2</v>
      </c>
      <c r="F3596" t="n">
        <v>19.5</v>
      </c>
      <c r="G3596" t="n">
        <v>0</v>
      </c>
      <c r="H3596">
        <f>E3596*F3596*(1-G3596)</f>
        <v/>
      </c>
      <c r="I3596">
        <f>XLOOKUP(D3596,Products!$A$2:$A$15,Products!$B$2:$B$15,"Not found")</f>
        <v/>
      </c>
    </row>
    <row r="3597">
      <c r="A3597" t="n">
        <v>107916</v>
      </c>
      <c r="B3597" s="1" t="n">
        <v>45970</v>
      </c>
      <c r="C3597" t="inlineStr">
        <is>
          <t>S05</t>
        </is>
      </c>
      <c r="D3597" t="inlineStr">
        <is>
          <t>P102</t>
        </is>
      </c>
      <c r="E3597" t="n">
        <v>1</v>
      </c>
      <c r="F3597" t="n">
        <v>14.5</v>
      </c>
      <c r="G3597" t="n">
        <v>0.1</v>
      </c>
      <c r="H3597">
        <f>E3597*F3597*(1-G3597)</f>
        <v/>
      </c>
      <c r="I3597">
        <f>XLOOKUP(D3597,Products!$A$2:$A$15,Products!$B$2:$B$15,"Not found")</f>
        <v/>
      </c>
    </row>
    <row r="3598">
      <c r="A3598" t="n">
        <v>107917</v>
      </c>
      <c r="B3598" s="1" t="n">
        <v>45970</v>
      </c>
      <c r="C3598" t="inlineStr">
        <is>
          <t>S05</t>
        </is>
      </c>
      <c r="D3598" t="inlineStr">
        <is>
          <t>P201</t>
        </is>
      </c>
      <c r="E3598" t="n">
        <v>1</v>
      </c>
      <c r="F3598" t="n">
        <v>149</v>
      </c>
      <c r="G3598" t="n">
        <v>0.1</v>
      </c>
      <c r="H3598">
        <f>E3598*F3598*(1-G3598)</f>
        <v/>
      </c>
      <c r="I3598">
        <f>XLOOKUP(D3598,Products!$A$2:$A$15,Products!$B$2:$B$15,"Not found")</f>
        <v/>
      </c>
    </row>
    <row r="3599">
      <c r="A3599" t="n">
        <v>107918</v>
      </c>
      <c r="B3599" s="1" t="n">
        <v>45970</v>
      </c>
      <c r="C3599" t="inlineStr">
        <is>
          <t>S05</t>
        </is>
      </c>
      <c r="D3599" t="inlineStr">
        <is>
          <t>P102</t>
        </is>
      </c>
      <c r="E3599" t="n">
        <v>2</v>
      </c>
      <c r="F3599" t="n">
        <v>14.5</v>
      </c>
      <c r="G3599" t="n">
        <v>0.1</v>
      </c>
      <c r="H3599">
        <f>E3599*F3599*(1-G3599)</f>
        <v/>
      </c>
      <c r="I3599">
        <f>XLOOKUP(D3599,Products!$A$2:$A$15,Products!$B$2:$B$15,"Not found")</f>
        <v/>
      </c>
    </row>
    <row r="3600">
      <c r="A3600" t="n">
        <v>107919</v>
      </c>
      <c r="B3600" s="1" t="n">
        <v>45970</v>
      </c>
      <c r="C3600" t="inlineStr">
        <is>
          <t>S05</t>
        </is>
      </c>
      <c r="D3600" t="inlineStr">
        <is>
          <t>P303</t>
        </is>
      </c>
      <c r="E3600" t="n">
        <v>2</v>
      </c>
      <c r="F3600" t="n">
        <v>12</v>
      </c>
      <c r="G3600" t="n">
        <v>0</v>
      </c>
      <c r="H3600">
        <f>E3600*F3600*(1-G3600)</f>
        <v/>
      </c>
      <c r="I3600">
        <f>XLOOKUP(D3600,Products!$A$2:$A$15,Products!$B$2:$B$15,"Not found")</f>
        <v/>
      </c>
    </row>
    <row r="3601">
      <c r="A3601" t="n">
        <v>107920</v>
      </c>
      <c r="B3601" s="1" t="n">
        <v>45970</v>
      </c>
      <c r="C3601" t="inlineStr">
        <is>
          <t>S05</t>
        </is>
      </c>
      <c r="D3601" t="inlineStr">
        <is>
          <t>P301</t>
        </is>
      </c>
      <c r="E3601" t="n">
        <v>1</v>
      </c>
      <c r="F3601" t="n">
        <v>119</v>
      </c>
      <c r="G3601" t="n">
        <v>0</v>
      </c>
      <c r="H3601">
        <f>E3601*F3601*(1-G3601)</f>
        <v/>
      </c>
      <c r="I3601">
        <f>XLOOKUP(D3601,Products!$A$2:$A$15,Products!$B$2:$B$15,"Not found")</f>
        <v/>
      </c>
    </row>
    <row r="3602">
      <c r="A3602" t="n">
        <v>107921</v>
      </c>
      <c r="B3602" s="1" t="n">
        <v>45970</v>
      </c>
      <c r="C3602" t="inlineStr">
        <is>
          <t>S05</t>
        </is>
      </c>
      <c r="D3602" t="inlineStr">
        <is>
          <t>P101</t>
        </is>
      </c>
      <c r="E3602" t="n">
        <v>2</v>
      </c>
      <c r="F3602" t="n">
        <v>39</v>
      </c>
      <c r="G3602" t="n">
        <v>0</v>
      </c>
      <c r="H3602">
        <f>E3602*F3602*(1-G3602)</f>
        <v/>
      </c>
      <c r="I3602">
        <f>XLOOKUP(D3602,Products!$A$2:$A$15,Products!$B$2:$B$15,"Not found")</f>
        <v/>
      </c>
    </row>
    <row r="3603">
      <c r="A3603" t="n">
        <v>107922</v>
      </c>
      <c r="B3603" s="1" t="n">
        <v>45970</v>
      </c>
      <c r="C3603" t="inlineStr">
        <is>
          <t>S05</t>
        </is>
      </c>
      <c r="D3603" t="inlineStr">
        <is>
          <t>P101</t>
        </is>
      </c>
      <c r="E3603" t="n">
        <v>3</v>
      </c>
      <c r="F3603" t="n">
        <v>39</v>
      </c>
      <c r="G3603" t="n">
        <v>0</v>
      </c>
      <c r="H3603">
        <f>E3603*F3603*(1-G3603)</f>
        <v/>
      </c>
      <c r="I3603">
        <f>XLOOKUP(D3603,Products!$A$2:$A$15,Products!$B$2:$B$15,"Not found")</f>
        <v/>
      </c>
    </row>
    <row r="3604">
      <c r="A3604" t="n">
        <v>107923</v>
      </c>
      <c r="B3604" s="1" t="n">
        <v>45970</v>
      </c>
      <c r="C3604" t="inlineStr">
        <is>
          <t>S05</t>
        </is>
      </c>
      <c r="D3604" t="inlineStr">
        <is>
          <t>P301</t>
        </is>
      </c>
      <c r="E3604" t="n">
        <v>1</v>
      </c>
      <c r="F3604" t="n">
        <v>119</v>
      </c>
      <c r="G3604" t="n">
        <v>0</v>
      </c>
      <c r="H3604">
        <f>E3604*F3604*(1-G3604)</f>
        <v/>
      </c>
      <c r="I3604">
        <f>XLOOKUP(D3604,Products!$A$2:$A$15,Products!$B$2:$B$15,"Not found")</f>
        <v/>
      </c>
    </row>
    <row r="3605">
      <c r="A3605" t="n">
        <v>107924</v>
      </c>
      <c r="B3605" s="1" t="n">
        <v>45970</v>
      </c>
      <c r="C3605" t="inlineStr">
        <is>
          <t>S06</t>
        </is>
      </c>
      <c r="D3605" t="inlineStr">
        <is>
          <t>P102</t>
        </is>
      </c>
      <c r="E3605" t="n">
        <v>1</v>
      </c>
      <c r="F3605" t="n">
        <v>14.5</v>
      </c>
      <c r="G3605" t="n">
        <v>0</v>
      </c>
      <c r="H3605">
        <f>E3605*F3605*(1-G3605)</f>
        <v/>
      </c>
      <c r="I3605">
        <f>XLOOKUP(D3605,Products!$A$2:$A$15,Products!$B$2:$B$15,"Not found")</f>
        <v/>
      </c>
    </row>
    <row r="3606">
      <c r="A3606" t="n">
        <v>107925</v>
      </c>
      <c r="B3606" s="1" t="n">
        <v>45970</v>
      </c>
      <c r="C3606" t="inlineStr">
        <is>
          <t>S06</t>
        </is>
      </c>
      <c r="D3606" t="inlineStr">
        <is>
          <t>P302</t>
        </is>
      </c>
      <c r="E3606" t="n">
        <v>4</v>
      </c>
      <c r="F3606" t="n">
        <v>24</v>
      </c>
      <c r="G3606" t="n">
        <v>0.15</v>
      </c>
      <c r="H3606">
        <f>E3606*F3606*(1-G3606)</f>
        <v/>
      </c>
      <c r="I3606">
        <f>XLOOKUP(D3606,Products!$A$2:$A$15,Products!$B$2:$B$15,"Not found")</f>
        <v/>
      </c>
    </row>
    <row r="3607">
      <c r="A3607" t="n">
        <v>107926</v>
      </c>
      <c r="B3607" s="1" t="n">
        <v>45970</v>
      </c>
      <c r="C3607" t="inlineStr">
        <is>
          <t>S06</t>
        </is>
      </c>
      <c r="D3607" t="inlineStr">
        <is>
          <t>P102</t>
        </is>
      </c>
      <c r="E3607" t="n">
        <v>2</v>
      </c>
      <c r="F3607" t="n">
        <v>14.5</v>
      </c>
      <c r="G3607" t="n">
        <v>0</v>
      </c>
      <c r="H3607">
        <f>E3607*F3607*(1-G3607)</f>
        <v/>
      </c>
      <c r="I3607">
        <f>XLOOKUP(D3607,Products!$A$2:$A$15,Products!$B$2:$B$15,"Not found")</f>
        <v/>
      </c>
    </row>
    <row r="3608">
      <c r="A3608" t="n">
        <v>107927</v>
      </c>
      <c r="B3608" s="1" t="n">
        <v>45971</v>
      </c>
      <c r="C3608" t="inlineStr">
        <is>
          <t>S01</t>
        </is>
      </c>
      <c r="D3608" t="inlineStr">
        <is>
          <t>P203</t>
        </is>
      </c>
      <c r="E3608" t="n">
        <v>3</v>
      </c>
      <c r="F3608" t="n">
        <v>19.5</v>
      </c>
      <c r="G3608" t="n">
        <v>0</v>
      </c>
      <c r="H3608">
        <f>E3608*F3608*(1-G3608)</f>
        <v/>
      </c>
      <c r="I3608">
        <f>XLOOKUP(D3608,Products!$A$2:$A$15,Products!$B$2:$B$15,"Not found")</f>
        <v/>
      </c>
    </row>
    <row r="3609">
      <c r="A3609" t="n">
        <v>107928</v>
      </c>
      <c r="B3609" s="1" t="n">
        <v>45971</v>
      </c>
      <c r="C3609" t="inlineStr">
        <is>
          <t>S01</t>
        </is>
      </c>
      <c r="D3609" t="inlineStr">
        <is>
          <t>P101</t>
        </is>
      </c>
      <c r="E3609" t="n">
        <v>3</v>
      </c>
      <c r="F3609" t="n">
        <v>39</v>
      </c>
      <c r="G3609" t="n">
        <v>0</v>
      </c>
      <c r="H3609">
        <f>E3609*F3609*(1-G3609)</f>
        <v/>
      </c>
      <c r="I3609">
        <f>XLOOKUP(D3609,Products!$A$2:$A$15,Products!$B$2:$B$15,"Not found")</f>
        <v/>
      </c>
    </row>
    <row r="3610">
      <c r="A3610" t="n">
        <v>107929</v>
      </c>
      <c r="B3610" s="1" t="n">
        <v>45971</v>
      </c>
      <c r="C3610" t="inlineStr">
        <is>
          <t>S01</t>
        </is>
      </c>
      <c r="D3610" t="inlineStr">
        <is>
          <t>P203</t>
        </is>
      </c>
      <c r="E3610" t="n">
        <v>2</v>
      </c>
      <c r="F3610" t="n">
        <v>19.5</v>
      </c>
      <c r="G3610" t="n">
        <v>0</v>
      </c>
      <c r="H3610">
        <f>E3610*F3610*(1-G3610)</f>
        <v/>
      </c>
      <c r="I3610">
        <f>XLOOKUP(D3610,Products!$A$2:$A$15,Products!$B$2:$B$15,"Not found")</f>
        <v/>
      </c>
    </row>
    <row r="3611">
      <c r="A3611" t="n">
        <v>107930</v>
      </c>
      <c r="B3611" s="1" t="n">
        <v>45971</v>
      </c>
      <c r="C3611" t="inlineStr">
        <is>
          <t>S01</t>
        </is>
      </c>
      <c r="D3611" t="inlineStr">
        <is>
          <t>P102</t>
        </is>
      </c>
      <c r="E3611" t="n">
        <v>4</v>
      </c>
      <c r="F3611" t="n">
        <v>14.5</v>
      </c>
      <c r="G3611" t="n">
        <v>0</v>
      </c>
      <c r="H3611">
        <f>E3611*F3611*(1-G3611)</f>
        <v/>
      </c>
      <c r="I3611">
        <f>XLOOKUP(D3611,Products!$A$2:$A$15,Products!$B$2:$B$15,"Not found")</f>
        <v/>
      </c>
    </row>
    <row r="3612">
      <c r="A3612" t="n">
        <v>107931</v>
      </c>
      <c r="B3612" s="1" t="n">
        <v>45971</v>
      </c>
      <c r="C3612" t="inlineStr">
        <is>
          <t>S02</t>
        </is>
      </c>
      <c r="D3612" t="inlineStr">
        <is>
          <t>P201</t>
        </is>
      </c>
      <c r="E3612" t="n">
        <v>1</v>
      </c>
      <c r="F3612" t="n">
        <v>149</v>
      </c>
      <c r="G3612" t="n">
        <v>0</v>
      </c>
      <c r="H3612">
        <f>E3612*F3612*(1-G3612)</f>
        <v/>
      </c>
      <c r="I3612">
        <f>XLOOKUP(D3612,Products!$A$2:$A$15,Products!$B$2:$B$15,"Not found")</f>
        <v/>
      </c>
    </row>
    <row r="3613">
      <c r="A3613" t="n">
        <v>107932</v>
      </c>
      <c r="B3613" s="1" t="n">
        <v>45971</v>
      </c>
      <c r="C3613" t="inlineStr">
        <is>
          <t>S02</t>
        </is>
      </c>
      <c r="D3613" t="inlineStr">
        <is>
          <t>P104</t>
        </is>
      </c>
      <c r="E3613" t="n">
        <v>1</v>
      </c>
      <c r="F3613" t="n">
        <v>189</v>
      </c>
      <c r="G3613" t="n">
        <v>0</v>
      </c>
      <c r="H3613">
        <f>E3613*F3613*(1-G3613)</f>
        <v/>
      </c>
      <c r="I3613">
        <f>XLOOKUP(D3613,Products!$A$2:$A$15,Products!$B$2:$B$15,"Not found")</f>
        <v/>
      </c>
    </row>
    <row r="3614">
      <c r="A3614" t="n">
        <v>107933</v>
      </c>
      <c r="B3614" s="1" t="n">
        <v>45971</v>
      </c>
      <c r="C3614" t="inlineStr">
        <is>
          <t>S02</t>
        </is>
      </c>
      <c r="D3614" t="inlineStr">
        <is>
          <t>P101</t>
        </is>
      </c>
      <c r="E3614" t="n">
        <v>1</v>
      </c>
      <c r="F3614" t="n">
        <v>39</v>
      </c>
      <c r="G3614" t="n">
        <v>0</v>
      </c>
      <c r="H3614">
        <f>E3614*F3614*(1-G3614)</f>
        <v/>
      </c>
      <c r="I3614">
        <f>XLOOKUP(D3614,Products!$A$2:$A$15,Products!$B$2:$B$15,"Not found")</f>
        <v/>
      </c>
    </row>
    <row r="3615">
      <c r="A3615" t="n">
        <v>107934</v>
      </c>
      <c r="B3615" s="1" t="n">
        <v>45971</v>
      </c>
      <c r="C3615" t="inlineStr">
        <is>
          <t>S02</t>
        </is>
      </c>
      <c r="D3615" t="inlineStr">
        <is>
          <t>P403</t>
        </is>
      </c>
      <c r="E3615" t="n">
        <v>4</v>
      </c>
      <c r="F3615" t="n">
        <v>89</v>
      </c>
      <c r="G3615" t="n">
        <v>0.1</v>
      </c>
      <c r="H3615">
        <f>E3615*F3615*(1-G3615)</f>
        <v/>
      </c>
      <c r="I3615">
        <f>XLOOKUP(D3615,Products!$A$2:$A$15,Products!$B$2:$B$15,"Not found")</f>
        <v/>
      </c>
    </row>
    <row r="3616">
      <c r="A3616" t="n">
        <v>107935</v>
      </c>
      <c r="B3616" s="1" t="n">
        <v>45971</v>
      </c>
      <c r="C3616" t="inlineStr">
        <is>
          <t>S02</t>
        </is>
      </c>
      <c r="D3616" t="inlineStr">
        <is>
          <t>P201</t>
        </is>
      </c>
      <c r="E3616" t="n">
        <v>1</v>
      </c>
      <c r="F3616" t="n">
        <v>149</v>
      </c>
      <c r="G3616" t="n">
        <v>0</v>
      </c>
      <c r="H3616">
        <f>E3616*F3616*(1-G3616)</f>
        <v/>
      </c>
      <c r="I3616">
        <f>XLOOKUP(D3616,Products!$A$2:$A$15,Products!$B$2:$B$15,"Not found")</f>
        <v/>
      </c>
    </row>
    <row r="3617">
      <c r="A3617" t="n">
        <v>107936</v>
      </c>
      <c r="B3617" s="1" t="n">
        <v>45971</v>
      </c>
      <c r="C3617" t="inlineStr">
        <is>
          <t>S02</t>
        </is>
      </c>
      <c r="D3617" t="inlineStr">
        <is>
          <t>P301</t>
        </is>
      </c>
      <c r="E3617" t="n">
        <v>1</v>
      </c>
      <c r="F3617" t="n">
        <v>119</v>
      </c>
      <c r="G3617" t="n">
        <v>0</v>
      </c>
      <c r="H3617">
        <f>E3617*F3617*(1-G3617)</f>
        <v/>
      </c>
      <c r="I3617">
        <f>XLOOKUP(D3617,Products!$A$2:$A$15,Products!$B$2:$B$15,"Not found")</f>
        <v/>
      </c>
    </row>
    <row r="3618">
      <c r="A3618" t="n">
        <v>107937</v>
      </c>
      <c r="B3618" s="1" t="n">
        <v>45971</v>
      </c>
      <c r="C3618" t="inlineStr">
        <is>
          <t>S02</t>
        </is>
      </c>
      <c r="D3618" t="inlineStr">
        <is>
          <t>P102</t>
        </is>
      </c>
      <c r="E3618" t="n">
        <v>4</v>
      </c>
      <c r="F3618" t="n">
        <v>14.5</v>
      </c>
      <c r="G3618" t="n">
        <v>0</v>
      </c>
      <c r="H3618">
        <f>E3618*F3618*(1-G3618)</f>
        <v/>
      </c>
      <c r="I3618">
        <f>XLOOKUP(D3618,Products!$A$2:$A$15,Products!$B$2:$B$15,"Not found")</f>
        <v/>
      </c>
    </row>
    <row r="3619">
      <c r="A3619" t="n">
        <v>107938</v>
      </c>
      <c r="B3619" s="1" t="n">
        <v>45971</v>
      </c>
      <c r="C3619" t="inlineStr">
        <is>
          <t>S03</t>
        </is>
      </c>
      <c r="D3619" t="inlineStr">
        <is>
          <t>P102</t>
        </is>
      </c>
      <c r="E3619" t="n">
        <v>1</v>
      </c>
      <c r="F3619" t="n">
        <v>14.5</v>
      </c>
      <c r="G3619" t="n">
        <v>0.2</v>
      </c>
      <c r="H3619">
        <f>E3619*F3619*(1-G3619)</f>
        <v/>
      </c>
      <c r="I3619">
        <f>XLOOKUP(D3619,Products!$A$2:$A$15,Products!$B$2:$B$15,"Not found")</f>
        <v/>
      </c>
    </row>
    <row r="3620">
      <c r="A3620" t="n">
        <v>107939</v>
      </c>
      <c r="B3620" s="1" t="n">
        <v>45971</v>
      </c>
      <c r="C3620" t="inlineStr">
        <is>
          <t>S03</t>
        </is>
      </c>
      <c r="D3620" t="inlineStr">
        <is>
          <t>P401</t>
        </is>
      </c>
      <c r="E3620" t="n">
        <v>1</v>
      </c>
      <c r="F3620" t="n">
        <v>549</v>
      </c>
      <c r="G3620" t="n">
        <v>0</v>
      </c>
      <c r="H3620">
        <f>E3620*F3620*(1-G3620)</f>
        <v/>
      </c>
      <c r="I3620">
        <f>XLOOKUP(D3620,Products!$A$2:$A$15,Products!$B$2:$B$15,"Not found")</f>
        <v/>
      </c>
    </row>
    <row r="3621">
      <c r="A3621" t="n">
        <v>107940</v>
      </c>
      <c r="B3621" s="1" t="n">
        <v>45971</v>
      </c>
      <c r="C3621" t="inlineStr">
        <is>
          <t>S03</t>
        </is>
      </c>
      <c r="D3621" t="inlineStr">
        <is>
          <t>P104</t>
        </is>
      </c>
      <c r="E3621" t="n">
        <v>1</v>
      </c>
      <c r="F3621" t="n">
        <v>189</v>
      </c>
      <c r="G3621" t="n">
        <v>0</v>
      </c>
      <c r="H3621">
        <f>E3621*F3621*(1-G3621)</f>
        <v/>
      </c>
      <c r="I3621">
        <f>XLOOKUP(D3621,Products!$A$2:$A$15,Products!$B$2:$B$15,"Not found")</f>
        <v/>
      </c>
    </row>
    <row r="3622">
      <c r="A3622" t="n">
        <v>107941</v>
      </c>
      <c r="B3622" s="1" t="n">
        <v>45971</v>
      </c>
      <c r="C3622" t="inlineStr">
        <is>
          <t>S06</t>
        </is>
      </c>
      <c r="D3622" t="inlineStr">
        <is>
          <t>P402</t>
        </is>
      </c>
      <c r="E3622" t="n">
        <v>1</v>
      </c>
      <c r="F3622" t="n">
        <v>699</v>
      </c>
      <c r="G3622" t="n">
        <v>0</v>
      </c>
      <c r="H3622">
        <f>E3622*F3622*(1-G3622)</f>
        <v/>
      </c>
      <c r="I3622">
        <f>XLOOKUP(D3622,Products!$A$2:$A$15,Products!$B$2:$B$15,"Not found")</f>
        <v/>
      </c>
    </row>
    <row r="3623">
      <c r="A3623" t="n">
        <v>107942</v>
      </c>
      <c r="B3623" s="1" t="n">
        <v>45971</v>
      </c>
      <c r="C3623" t="inlineStr">
        <is>
          <t>S06</t>
        </is>
      </c>
      <c r="D3623" t="inlineStr">
        <is>
          <t>P201</t>
        </is>
      </c>
      <c r="E3623" t="n">
        <v>1</v>
      </c>
      <c r="F3623" t="n">
        <v>149</v>
      </c>
      <c r="G3623" t="n">
        <v>0.2</v>
      </c>
      <c r="H3623">
        <f>E3623*F3623*(1-G3623)</f>
        <v/>
      </c>
      <c r="I3623">
        <f>XLOOKUP(D3623,Products!$A$2:$A$15,Products!$B$2:$B$15,"Not found")</f>
        <v/>
      </c>
    </row>
    <row r="3624">
      <c r="A3624" t="n">
        <v>107943</v>
      </c>
      <c r="B3624" s="1" t="n">
        <v>45972</v>
      </c>
      <c r="C3624" t="inlineStr">
        <is>
          <t>S01</t>
        </is>
      </c>
      <c r="D3624" t="inlineStr">
        <is>
          <t>P201</t>
        </is>
      </c>
      <c r="E3624" t="n">
        <v>1</v>
      </c>
      <c r="F3624" t="n">
        <v>149</v>
      </c>
      <c r="G3624" t="n">
        <v>0</v>
      </c>
      <c r="H3624">
        <f>E3624*F3624*(1-G3624)</f>
        <v/>
      </c>
      <c r="I3624">
        <f>XLOOKUP(D3624,Products!$A$2:$A$15,Products!$B$2:$B$15,"Not found")</f>
        <v/>
      </c>
    </row>
    <row r="3625">
      <c r="A3625" t="n">
        <v>107944</v>
      </c>
      <c r="B3625" s="1" t="n">
        <v>45972</v>
      </c>
      <c r="C3625" t="inlineStr">
        <is>
          <t>S01</t>
        </is>
      </c>
      <c r="D3625" t="inlineStr">
        <is>
          <t>P102</t>
        </is>
      </c>
      <c r="E3625" t="n">
        <v>1</v>
      </c>
      <c r="F3625" t="n">
        <v>14.5</v>
      </c>
      <c r="G3625" t="n">
        <v>0</v>
      </c>
      <c r="H3625">
        <f>E3625*F3625*(1-G3625)</f>
        <v/>
      </c>
      <c r="I3625">
        <f>XLOOKUP(D3625,Products!$A$2:$A$15,Products!$B$2:$B$15,"Not found")</f>
        <v/>
      </c>
    </row>
    <row r="3626">
      <c r="A3626" t="n">
        <v>107945</v>
      </c>
      <c r="B3626" s="1" t="n">
        <v>45972</v>
      </c>
      <c r="C3626" t="inlineStr">
        <is>
          <t>S01</t>
        </is>
      </c>
      <c r="D3626" t="inlineStr">
        <is>
          <t>P202</t>
        </is>
      </c>
      <c r="E3626" t="n">
        <v>2</v>
      </c>
      <c r="F3626" t="n">
        <v>79</v>
      </c>
      <c r="G3626" t="n">
        <v>0</v>
      </c>
      <c r="H3626">
        <f>E3626*F3626*(1-G3626)</f>
        <v/>
      </c>
      <c r="I3626">
        <f>XLOOKUP(D3626,Products!$A$2:$A$15,Products!$B$2:$B$15,"Not found")</f>
        <v/>
      </c>
    </row>
    <row r="3627">
      <c r="A3627" t="n">
        <v>107946</v>
      </c>
      <c r="B3627" s="1" t="n">
        <v>45972</v>
      </c>
      <c r="C3627" t="inlineStr">
        <is>
          <t>S01</t>
        </is>
      </c>
      <c r="D3627" t="inlineStr">
        <is>
          <t>P301</t>
        </is>
      </c>
      <c r="E3627" t="n">
        <v>1</v>
      </c>
      <c r="F3627" t="n">
        <v>119</v>
      </c>
      <c r="G3627" t="n">
        <v>0.2</v>
      </c>
      <c r="H3627">
        <f>E3627*F3627*(1-G3627)</f>
        <v/>
      </c>
      <c r="I3627">
        <f>XLOOKUP(D3627,Products!$A$2:$A$15,Products!$B$2:$B$15,"Not found")</f>
        <v/>
      </c>
    </row>
    <row r="3628">
      <c r="A3628" t="n">
        <v>107947</v>
      </c>
      <c r="B3628" s="1" t="n">
        <v>45972</v>
      </c>
      <c r="C3628" t="inlineStr">
        <is>
          <t>S02</t>
        </is>
      </c>
      <c r="D3628" t="inlineStr">
        <is>
          <t>P201</t>
        </is>
      </c>
      <c r="E3628" t="n">
        <v>1</v>
      </c>
      <c r="F3628" t="n">
        <v>149</v>
      </c>
      <c r="G3628" t="n">
        <v>0</v>
      </c>
      <c r="H3628">
        <f>E3628*F3628*(1-G3628)</f>
        <v/>
      </c>
      <c r="I3628">
        <f>XLOOKUP(D3628,Products!$A$2:$A$15,Products!$B$2:$B$15,"Not found")</f>
        <v/>
      </c>
    </row>
    <row r="3629">
      <c r="A3629" t="n">
        <v>107948</v>
      </c>
      <c r="B3629" s="1" t="n">
        <v>45972</v>
      </c>
      <c r="C3629" t="inlineStr">
        <is>
          <t>S02</t>
        </is>
      </c>
      <c r="D3629" t="inlineStr">
        <is>
          <t>P403</t>
        </is>
      </c>
      <c r="E3629" t="n">
        <v>2</v>
      </c>
      <c r="F3629" t="n">
        <v>89</v>
      </c>
      <c r="G3629" t="n">
        <v>0</v>
      </c>
      <c r="H3629">
        <f>E3629*F3629*(1-G3629)</f>
        <v/>
      </c>
      <c r="I3629">
        <f>XLOOKUP(D3629,Products!$A$2:$A$15,Products!$B$2:$B$15,"Not found")</f>
        <v/>
      </c>
    </row>
    <row r="3630">
      <c r="A3630" t="n">
        <v>107949</v>
      </c>
      <c r="B3630" s="1" t="n">
        <v>45972</v>
      </c>
      <c r="C3630" t="inlineStr">
        <is>
          <t>S02</t>
        </is>
      </c>
      <c r="D3630" t="inlineStr">
        <is>
          <t>P202</t>
        </is>
      </c>
      <c r="E3630" t="n">
        <v>1</v>
      </c>
      <c r="F3630" t="n">
        <v>79</v>
      </c>
      <c r="G3630" t="n">
        <v>0</v>
      </c>
      <c r="H3630">
        <f>E3630*F3630*(1-G3630)</f>
        <v/>
      </c>
      <c r="I3630">
        <f>XLOOKUP(D3630,Products!$A$2:$A$15,Products!$B$2:$B$15,"Not found")</f>
        <v/>
      </c>
    </row>
    <row r="3631">
      <c r="A3631" t="n">
        <v>107950</v>
      </c>
      <c r="B3631" s="1" t="n">
        <v>45972</v>
      </c>
      <c r="C3631" t="inlineStr">
        <is>
          <t>S02</t>
        </is>
      </c>
      <c r="D3631" t="inlineStr">
        <is>
          <t>P102</t>
        </is>
      </c>
      <c r="E3631" t="n">
        <v>1</v>
      </c>
      <c r="F3631" t="n">
        <v>14.5</v>
      </c>
      <c r="G3631" t="n">
        <v>0.15</v>
      </c>
      <c r="H3631">
        <f>E3631*F3631*(1-G3631)</f>
        <v/>
      </c>
      <c r="I3631">
        <f>XLOOKUP(D3631,Products!$A$2:$A$15,Products!$B$2:$B$15,"Not found")</f>
        <v/>
      </c>
    </row>
    <row r="3632">
      <c r="A3632" t="n">
        <v>107951</v>
      </c>
      <c r="B3632" s="1" t="n">
        <v>45972</v>
      </c>
      <c r="C3632" t="inlineStr">
        <is>
          <t>S03</t>
        </is>
      </c>
      <c r="D3632" t="inlineStr">
        <is>
          <t>P403</t>
        </is>
      </c>
      <c r="E3632" t="n">
        <v>2</v>
      </c>
      <c r="F3632" t="n">
        <v>89</v>
      </c>
      <c r="G3632" t="n">
        <v>0</v>
      </c>
      <c r="H3632">
        <f>E3632*F3632*(1-G3632)</f>
        <v/>
      </c>
      <c r="I3632">
        <f>XLOOKUP(D3632,Products!$A$2:$A$15,Products!$B$2:$B$15,"Not found")</f>
        <v/>
      </c>
    </row>
    <row r="3633">
      <c r="A3633" t="n">
        <v>107952</v>
      </c>
      <c r="B3633" s="1" t="n">
        <v>45972</v>
      </c>
      <c r="C3633" t="inlineStr">
        <is>
          <t>S04</t>
        </is>
      </c>
      <c r="D3633" t="inlineStr">
        <is>
          <t>P101</t>
        </is>
      </c>
      <c r="E3633" t="n">
        <v>2</v>
      </c>
      <c r="F3633" t="n">
        <v>39</v>
      </c>
      <c r="G3633" t="n">
        <v>0</v>
      </c>
      <c r="H3633">
        <f>E3633*F3633*(1-G3633)</f>
        <v/>
      </c>
      <c r="I3633">
        <f>XLOOKUP(D3633,Products!$A$2:$A$15,Products!$B$2:$B$15,"Not found")</f>
        <v/>
      </c>
    </row>
    <row r="3634">
      <c r="A3634" t="n">
        <v>107953</v>
      </c>
      <c r="B3634" s="1" t="n">
        <v>45972</v>
      </c>
      <c r="C3634" t="inlineStr">
        <is>
          <t>S04</t>
        </is>
      </c>
      <c r="D3634" t="inlineStr">
        <is>
          <t>P303</t>
        </is>
      </c>
      <c r="E3634" t="n">
        <v>1</v>
      </c>
      <c r="F3634" t="n">
        <v>12</v>
      </c>
      <c r="G3634" t="n">
        <v>0.15</v>
      </c>
      <c r="H3634">
        <f>E3634*F3634*(1-G3634)</f>
        <v/>
      </c>
      <c r="I3634">
        <f>XLOOKUP(D3634,Products!$A$2:$A$15,Products!$B$2:$B$15,"Not found")</f>
        <v/>
      </c>
    </row>
    <row r="3635">
      <c r="A3635" t="n">
        <v>107954</v>
      </c>
      <c r="B3635" s="1" t="n">
        <v>45972</v>
      </c>
      <c r="C3635" t="inlineStr">
        <is>
          <t>S04</t>
        </is>
      </c>
      <c r="D3635" t="inlineStr">
        <is>
          <t>P202</t>
        </is>
      </c>
      <c r="E3635" t="n">
        <v>4</v>
      </c>
      <c r="F3635" t="n">
        <v>79</v>
      </c>
      <c r="G3635" t="n">
        <v>0</v>
      </c>
      <c r="H3635">
        <f>E3635*F3635*(1-G3635)</f>
        <v/>
      </c>
      <c r="I3635">
        <f>XLOOKUP(D3635,Products!$A$2:$A$15,Products!$B$2:$B$15,"Not found")</f>
        <v/>
      </c>
    </row>
    <row r="3636">
      <c r="A3636" t="n">
        <v>107955</v>
      </c>
      <c r="B3636" s="1" t="n">
        <v>45972</v>
      </c>
      <c r="C3636" t="inlineStr">
        <is>
          <t>S04</t>
        </is>
      </c>
      <c r="D3636" t="inlineStr">
        <is>
          <t>P103</t>
        </is>
      </c>
      <c r="E3636" t="n">
        <v>1</v>
      </c>
      <c r="F3636" t="n">
        <v>29</v>
      </c>
      <c r="G3636" t="n">
        <v>0</v>
      </c>
      <c r="H3636">
        <f>E3636*F3636*(1-G3636)</f>
        <v/>
      </c>
      <c r="I3636">
        <f>XLOOKUP(D3636,Products!$A$2:$A$15,Products!$B$2:$B$15,"Not found")</f>
        <v/>
      </c>
    </row>
    <row r="3637">
      <c r="A3637" t="n">
        <v>107956</v>
      </c>
      <c r="B3637" s="1" t="n">
        <v>45972</v>
      </c>
      <c r="C3637" t="inlineStr">
        <is>
          <t>S04</t>
        </is>
      </c>
      <c r="D3637" t="inlineStr">
        <is>
          <t>P102</t>
        </is>
      </c>
      <c r="E3637" t="n">
        <v>3</v>
      </c>
      <c r="F3637" t="n">
        <v>14.5</v>
      </c>
      <c r="G3637" t="n">
        <v>0</v>
      </c>
      <c r="H3637">
        <f>E3637*F3637*(1-G3637)</f>
        <v/>
      </c>
      <c r="I3637">
        <f>XLOOKUP(D3637,Products!$A$2:$A$15,Products!$B$2:$B$15,"Not found")</f>
        <v/>
      </c>
    </row>
    <row r="3638">
      <c r="A3638" t="n">
        <v>107957</v>
      </c>
      <c r="B3638" s="1" t="n">
        <v>45972</v>
      </c>
      <c r="C3638" t="inlineStr">
        <is>
          <t>S05</t>
        </is>
      </c>
      <c r="D3638" t="inlineStr">
        <is>
          <t>P203</t>
        </is>
      </c>
      <c r="E3638" t="n">
        <v>2</v>
      </c>
      <c r="F3638" t="n">
        <v>19.5</v>
      </c>
      <c r="G3638" t="n">
        <v>0.2</v>
      </c>
      <c r="H3638">
        <f>E3638*F3638*(1-G3638)</f>
        <v/>
      </c>
      <c r="I3638">
        <f>XLOOKUP(D3638,Products!$A$2:$A$15,Products!$B$2:$B$15,"Not found")</f>
        <v/>
      </c>
    </row>
    <row r="3639">
      <c r="A3639" t="n">
        <v>107958</v>
      </c>
      <c r="B3639" s="1" t="n">
        <v>45972</v>
      </c>
      <c r="C3639" t="inlineStr">
        <is>
          <t>S05</t>
        </is>
      </c>
      <c r="D3639" t="inlineStr">
        <is>
          <t>P203</t>
        </is>
      </c>
      <c r="E3639" t="n">
        <v>1</v>
      </c>
      <c r="F3639" t="n">
        <v>19.5</v>
      </c>
      <c r="G3639" t="n">
        <v>0</v>
      </c>
      <c r="H3639">
        <f>E3639*F3639*(1-G3639)</f>
        <v/>
      </c>
      <c r="I3639">
        <f>XLOOKUP(D3639,Products!$A$2:$A$15,Products!$B$2:$B$15,"Not found")</f>
        <v/>
      </c>
    </row>
    <row r="3640">
      <c r="A3640" t="n">
        <v>107959</v>
      </c>
      <c r="B3640" s="1" t="n">
        <v>45972</v>
      </c>
      <c r="C3640" t="inlineStr">
        <is>
          <t>S06</t>
        </is>
      </c>
      <c r="D3640" t="inlineStr">
        <is>
          <t>P203</t>
        </is>
      </c>
      <c r="E3640" t="n">
        <v>1</v>
      </c>
      <c r="F3640" t="n">
        <v>19.5</v>
      </c>
      <c r="G3640" t="n">
        <v>0</v>
      </c>
      <c r="H3640">
        <f>E3640*F3640*(1-G3640)</f>
        <v/>
      </c>
      <c r="I3640">
        <f>XLOOKUP(D3640,Products!$A$2:$A$15,Products!$B$2:$B$15,"Not found")</f>
        <v/>
      </c>
    </row>
    <row r="3641">
      <c r="A3641" t="n">
        <v>107960</v>
      </c>
      <c r="B3641" s="1" t="n">
        <v>45972</v>
      </c>
      <c r="C3641" t="inlineStr">
        <is>
          <t>S06</t>
        </is>
      </c>
      <c r="D3641" t="inlineStr">
        <is>
          <t>P201</t>
        </is>
      </c>
      <c r="E3641" t="n">
        <v>1</v>
      </c>
      <c r="F3641" t="n">
        <v>149</v>
      </c>
      <c r="G3641" t="n">
        <v>0</v>
      </c>
      <c r="H3641">
        <f>E3641*F3641*(1-G3641)</f>
        <v/>
      </c>
      <c r="I3641">
        <f>XLOOKUP(D3641,Products!$A$2:$A$15,Products!$B$2:$B$15,"Not found")</f>
        <v/>
      </c>
    </row>
    <row r="3642">
      <c r="A3642" t="n">
        <v>107961</v>
      </c>
      <c r="B3642" s="1" t="n">
        <v>45972</v>
      </c>
      <c r="C3642" t="inlineStr">
        <is>
          <t>S06</t>
        </is>
      </c>
      <c r="D3642" t="inlineStr">
        <is>
          <t>P403</t>
        </is>
      </c>
      <c r="E3642" t="n">
        <v>1</v>
      </c>
      <c r="F3642" t="n">
        <v>89</v>
      </c>
      <c r="G3642" t="n">
        <v>0</v>
      </c>
      <c r="H3642">
        <f>E3642*F3642*(1-G3642)</f>
        <v/>
      </c>
      <c r="I3642">
        <f>XLOOKUP(D3642,Products!$A$2:$A$15,Products!$B$2:$B$15,"Not found")</f>
        <v/>
      </c>
    </row>
    <row r="3643">
      <c r="A3643" t="n">
        <v>107962</v>
      </c>
      <c r="B3643" s="1" t="n">
        <v>45973</v>
      </c>
      <c r="C3643" t="inlineStr">
        <is>
          <t>S01</t>
        </is>
      </c>
      <c r="D3643" t="inlineStr">
        <is>
          <t>P402</t>
        </is>
      </c>
      <c r="E3643" t="n">
        <v>1</v>
      </c>
      <c r="F3643" t="n">
        <v>699</v>
      </c>
      <c r="G3643" t="n">
        <v>0.1</v>
      </c>
      <c r="H3643">
        <f>E3643*F3643*(1-G3643)</f>
        <v/>
      </c>
      <c r="I3643">
        <f>XLOOKUP(D3643,Products!$A$2:$A$15,Products!$B$2:$B$15,"Not found")</f>
        <v/>
      </c>
    </row>
    <row r="3644">
      <c r="A3644" t="n">
        <v>107963</v>
      </c>
      <c r="B3644" s="1" t="n">
        <v>45973</v>
      </c>
      <c r="C3644" t="inlineStr">
        <is>
          <t>S01</t>
        </is>
      </c>
      <c r="D3644" t="inlineStr">
        <is>
          <t>P303</t>
        </is>
      </c>
      <c r="E3644" t="n">
        <v>1</v>
      </c>
      <c r="F3644" t="n">
        <v>12</v>
      </c>
      <c r="G3644" t="n">
        <v>0</v>
      </c>
      <c r="H3644">
        <f>E3644*F3644*(1-G3644)</f>
        <v/>
      </c>
      <c r="I3644">
        <f>XLOOKUP(D3644,Products!$A$2:$A$15,Products!$B$2:$B$15,"Not found")</f>
        <v/>
      </c>
    </row>
    <row r="3645">
      <c r="A3645" t="n">
        <v>107964</v>
      </c>
      <c r="B3645" s="1" t="n">
        <v>45973</v>
      </c>
      <c r="C3645" t="inlineStr">
        <is>
          <t>S02</t>
        </is>
      </c>
      <c r="D3645" t="inlineStr">
        <is>
          <t>P302</t>
        </is>
      </c>
      <c r="E3645" t="n">
        <v>2</v>
      </c>
      <c r="F3645" t="n">
        <v>24</v>
      </c>
      <c r="G3645" t="n">
        <v>0</v>
      </c>
      <c r="H3645">
        <f>E3645*F3645*(1-G3645)</f>
        <v/>
      </c>
      <c r="I3645">
        <f>XLOOKUP(D3645,Products!$A$2:$A$15,Products!$B$2:$B$15,"Not found")</f>
        <v/>
      </c>
    </row>
    <row r="3646">
      <c r="A3646" t="n">
        <v>107965</v>
      </c>
      <c r="B3646" s="1" t="n">
        <v>45973</v>
      </c>
      <c r="C3646" t="inlineStr">
        <is>
          <t>S02</t>
        </is>
      </c>
      <c r="D3646" t="inlineStr">
        <is>
          <t>P101</t>
        </is>
      </c>
      <c r="E3646" t="n">
        <v>3</v>
      </c>
      <c r="F3646" t="n">
        <v>39</v>
      </c>
      <c r="G3646" t="n">
        <v>0</v>
      </c>
      <c r="H3646">
        <f>E3646*F3646*(1-G3646)</f>
        <v/>
      </c>
      <c r="I3646">
        <f>XLOOKUP(D3646,Products!$A$2:$A$15,Products!$B$2:$B$15,"Not found")</f>
        <v/>
      </c>
    </row>
    <row r="3647">
      <c r="A3647" t="n">
        <v>107966</v>
      </c>
      <c r="B3647" s="1" t="n">
        <v>45973</v>
      </c>
      <c r="C3647" t="inlineStr">
        <is>
          <t>S02</t>
        </is>
      </c>
      <c r="D3647" t="inlineStr">
        <is>
          <t>P301</t>
        </is>
      </c>
      <c r="E3647" t="n">
        <v>1</v>
      </c>
      <c r="F3647" t="n">
        <v>119</v>
      </c>
      <c r="G3647" t="n">
        <v>0.1</v>
      </c>
      <c r="H3647">
        <f>E3647*F3647*(1-G3647)</f>
        <v/>
      </c>
      <c r="I3647">
        <f>XLOOKUP(D3647,Products!$A$2:$A$15,Products!$B$2:$B$15,"Not found")</f>
        <v/>
      </c>
    </row>
    <row r="3648">
      <c r="A3648" t="n">
        <v>107967</v>
      </c>
      <c r="B3648" s="1" t="n">
        <v>45973</v>
      </c>
      <c r="C3648" t="inlineStr">
        <is>
          <t>S02</t>
        </is>
      </c>
      <c r="D3648" t="inlineStr">
        <is>
          <t>P101</t>
        </is>
      </c>
      <c r="E3648" t="n">
        <v>1</v>
      </c>
      <c r="F3648" t="n">
        <v>39</v>
      </c>
      <c r="G3648" t="n">
        <v>0</v>
      </c>
      <c r="H3648">
        <f>E3648*F3648*(1-G3648)</f>
        <v/>
      </c>
      <c r="I3648">
        <f>XLOOKUP(D3648,Products!$A$2:$A$15,Products!$B$2:$B$15,"Not found")</f>
        <v/>
      </c>
    </row>
    <row r="3649">
      <c r="A3649" t="n">
        <v>107968</v>
      </c>
      <c r="B3649" s="1" t="n">
        <v>45973</v>
      </c>
      <c r="C3649" t="inlineStr">
        <is>
          <t>S03</t>
        </is>
      </c>
      <c r="D3649" t="inlineStr">
        <is>
          <t>P303</t>
        </is>
      </c>
      <c r="E3649" t="n">
        <v>4</v>
      </c>
      <c r="F3649" t="n">
        <v>12</v>
      </c>
      <c r="G3649" t="n">
        <v>0.2</v>
      </c>
      <c r="H3649">
        <f>E3649*F3649*(1-G3649)</f>
        <v/>
      </c>
      <c r="I3649">
        <f>XLOOKUP(D3649,Products!$A$2:$A$15,Products!$B$2:$B$15,"Not found")</f>
        <v/>
      </c>
    </row>
    <row r="3650">
      <c r="A3650" t="n">
        <v>107969</v>
      </c>
      <c r="B3650" s="1" t="n">
        <v>45973</v>
      </c>
      <c r="C3650" t="inlineStr">
        <is>
          <t>S03</t>
        </is>
      </c>
      <c r="D3650" t="inlineStr">
        <is>
          <t>P403</t>
        </is>
      </c>
      <c r="E3650" t="n">
        <v>4</v>
      </c>
      <c r="F3650" t="n">
        <v>89</v>
      </c>
      <c r="G3650" t="n">
        <v>0.2</v>
      </c>
      <c r="H3650">
        <f>E3650*F3650*(1-G3650)</f>
        <v/>
      </c>
      <c r="I3650">
        <f>XLOOKUP(D3650,Products!$A$2:$A$15,Products!$B$2:$B$15,"Not found")</f>
        <v/>
      </c>
    </row>
    <row r="3651">
      <c r="A3651" t="n">
        <v>107970</v>
      </c>
      <c r="B3651" s="1" t="n">
        <v>45973</v>
      </c>
      <c r="C3651" t="inlineStr">
        <is>
          <t>S03</t>
        </is>
      </c>
      <c r="D3651" t="inlineStr">
        <is>
          <t>P202</t>
        </is>
      </c>
      <c r="E3651" t="n">
        <v>1</v>
      </c>
      <c r="F3651" t="n">
        <v>79</v>
      </c>
      <c r="G3651" t="n">
        <v>0</v>
      </c>
      <c r="H3651">
        <f>E3651*F3651*(1-G3651)</f>
        <v/>
      </c>
      <c r="I3651">
        <f>XLOOKUP(D3651,Products!$A$2:$A$15,Products!$B$2:$B$15,"Not found")</f>
        <v/>
      </c>
    </row>
    <row r="3652">
      <c r="A3652" t="n">
        <v>107971</v>
      </c>
      <c r="B3652" s="1" t="n">
        <v>45973</v>
      </c>
      <c r="C3652" t="inlineStr">
        <is>
          <t>S03</t>
        </is>
      </c>
      <c r="D3652" t="inlineStr">
        <is>
          <t>P202</t>
        </is>
      </c>
      <c r="E3652" t="n">
        <v>1</v>
      </c>
      <c r="F3652" t="n">
        <v>79</v>
      </c>
      <c r="G3652" t="n">
        <v>0.15</v>
      </c>
      <c r="H3652">
        <f>E3652*F3652*(1-G3652)</f>
        <v/>
      </c>
      <c r="I3652">
        <f>XLOOKUP(D3652,Products!$A$2:$A$15,Products!$B$2:$B$15,"Not found")</f>
        <v/>
      </c>
    </row>
    <row r="3653">
      <c r="A3653" t="n">
        <v>107972</v>
      </c>
      <c r="B3653" s="1" t="n">
        <v>45973</v>
      </c>
      <c r="C3653" t="inlineStr">
        <is>
          <t>S03</t>
        </is>
      </c>
      <c r="D3653" t="inlineStr">
        <is>
          <t>P202</t>
        </is>
      </c>
      <c r="E3653" t="n">
        <v>4</v>
      </c>
      <c r="F3653" t="n">
        <v>79</v>
      </c>
      <c r="G3653" t="n">
        <v>0</v>
      </c>
      <c r="H3653">
        <f>E3653*F3653*(1-G3653)</f>
        <v/>
      </c>
      <c r="I3653">
        <f>XLOOKUP(D3653,Products!$A$2:$A$15,Products!$B$2:$B$15,"Not found")</f>
        <v/>
      </c>
    </row>
    <row r="3654">
      <c r="A3654" t="n">
        <v>107973</v>
      </c>
      <c r="B3654" s="1" t="n">
        <v>45973</v>
      </c>
      <c r="C3654" t="inlineStr">
        <is>
          <t>S04</t>
        </is>
      </c>
      <c r="D3654" t="inlineStr">
        <is>
          <t>P103</t>
        </is>
      </c>
      <c r="E3654" t="n">
        <v>2</v>
      </c>
      <c r="F3654" t="n">
        <v>29</v>
      </c>
      <c r="G3654" t="n">
        <v>0</v>
      </c>
      <c r="H3654">
        <f>E3654*F3654*(1-G3654)</f>
        <v/>
      </c>
      <c r="I3654">
        <f>XLOOKUP(D3654,Products!$A$2:$A$15,Products!$B$2:$B$15,"Not found")</f>
        <v/>
      </c>
    </row>
    <row r="3655">
      <c r="A3655" t="n">
        <v>107974</v>
      </c>
      <c r="B3655" s="1" t="n">
        <v>45973</v>
      </c>
      <c r="C3655" t="inlineStr">
        <is>
          <t>S04</t>
        </is>
      </c>
      <c r="D3655" t="inlineStr">
        <is>
          <t>P303</t>
        </is>
      </c>
      <c r="E3655" t="n">
        <v>4</v>
      </c>
      <c r="F3655" t="n">
        <v>12</v>
      </c>
      <c r="G3655" t="n">
        <v>0</v>
      </c>
      <c r="H3655">
        <f>E3655*F3655*(1-G3655)</f>
        <v/>
      </c>
      <c r="I3655">
        <f>XLOOKUP(D3655,Products!$A$2:$A$15,Products!$B$2:$B$15,"Not found")</f>
        <v/>
      </c>
    </row>
    <row r="3656">
      <c r="A3656" t="n">
        <v>107975</v>
      </c>
      <c r="B3656" s="1" t="n">
        <v>45973</v>
      </c>
      <c r="C3656" t="inlineStr">
        <is>
          <t>S04</t>
        </is>
      </c>
      <c r="D3656" t="inlineStr">
        <is>
          <t>P203</t>
        </is>
      </c>
      <c r="E3656" t="n">
        <v>2</v>
      </c>
      <c r="F3656" t="n">
        <v>19.5</v>
      </c>
      <c r="G3656" t="n">
        <v>0</v>
      </c>
      <c r="H3656">
        <f>E3656*F3656*(1-G3656)</f>
        <v/>
      </c>
      <c r="I3656">
        <f>XLOOKUP(D3656,Products!$A$2:$A$15,Products!$B$2:$B$15,"Not found")</f>
        <v/>
      </c>
    </row>
    <row r="3657">
      <c r="A3657" t="n">
        <v>107976</v>
      </c>
      <c r="B3657" s="1" t="n">
        <v>45973</v>
      </c>
      <c r="C3657" t="inlineStr">
        <is>
          <t>S04</t>
        </is>
      </c>
      <c r="D3657" t="inlineStr">
        <is>
          <t>P302</t>
        </is>
      </c>
      <c r="E3657" t="n">
        <v>1</v>
      </c>
      <c r="F3657" t="n">
        <v>24</v>
      </c>
      <c r="G3657" t="n">
        <v>0</v>
      </c>
      <c r="H3657">
        <f>E3657*F3657*(1-G3657)</f>
        <v/>
      </c>
      <c r="I3657">
        <f>XLOOKUP(D3657,Products!$A$2:$A$15,Products!$B$2:$B$15,"Not found")</f>
        <v/>
      </c>
    </row>
    <row r="3658">
      <c r="A3658" t="n">
        <v>107977</v>
      </c>
      <c r="B3658" s="1" t="n">
        <v>45973</v>
      </c>
      <c r="C3658" t="inlineStr">
        <is>
          <t>S04</t>
        </is>
      </c>
      <c r="D3658" t="inlineStr">
        <is>
          <t>P203</t>
        </is>
      </c>
      <c r="E3658" t="n">
        <v>1</v>
      </c>
      <c r="F3658" t="n">
        <v>19.5</v>
      </c>
      <c r="G3658" t="n">
        <v>0.15</v>
      </c>
      <c r="H3658">
        <f>E3658*F3658*(1-G3658)</f>
        <v/>
      </c>
      <c r="I3658">
        <f>XLOOKUP(D3658,Products!$A$2:$A$15,Products!$B$2:$B$15,"Not found")</f>
        <v/>
      </c>
    </row>
    <row r="3659">
      <c r="A3659" t="n">
        <v>107978</v>
      </c>
      <c r="B3659" s="1" t="n">
        <v>45973</v>
      </c>
      <c r="C3659" t="inlineStr">
        <is>
          <t>S05</t>
        </is>
      </c>
      <c r="D3659" t="inlineStr">
        <is>
          <t>P301</t>
        </is>
      </c>
      <c r="E3659" t="n">
        <v>1</v>
      </c>
      <c r="F3659" t="n">
        <v>119</v>
      </c>
      <c r="G3659" t="n">
        <v>0</v>
      </c>
      <c r="H3659">
        <f>E3659*F3659*(1-G3659)</f>
        <v/>
      </c>
      <c r="I3659">
        <f>XLOOKUP(D3659,Products!$A$2:$A$15,Products!$B$2:$B$15,"Not found")</f>
        <v/>
      </c>
    </row>
    <row r="3660">
      <c r="A3660" t="n">
        <v>107979</v>
      </c>
      <c r="B3660" s="1" t="n">
        <v>45973</v>
      </c>
      <c r="C3660" t="inlineStr">
        <is>
          <t>S05</t>
        </is>
      </c>
      <c r="D3660" t="inlineStr">
        <is>
          <t>P302</t>
        </is>
      </c>
      <c r="E3660" t="n">
        <v>3</v>
      </c>
      <c r="F3660" t="n">
        <v>24</v>
      </c>
      <c r="G3660" t="n">
        <v>0.15</v>
      </c>
      <c r="H3660">
        <f>E3660*F3660*(1-G3660)</f>
        <v/>
      </c>
      <c r="I3660">
        <f>XLOOKUP(D3660,Products!$A$2:$A$15,Products!$B$2:$B$15,"Not found")</f>
        <v/>
      </c>
    </row>
    <row r="3661">
      <c r="A3661" t="n">
        <v>107980</v>
      </c>
      <c r="B3661" s="1" t="n">
        <v>45973</v>
      </c>
      <c r="C3661" t="inlineStr">
        <is>
          <t>S06</t>
        </is>
      </c>
      <c r="D3661" t="inlineStr">
        <is>
          <t>P303</t>
        </is>
      </c>
      <c r="E3661" t="n">
        <v>4</v>
      </c>
      <c r="F3661" t="n">
        <v>12</v>
      </c>
      <c r="G3661" t="n">
        <v>0</v>
      </c>
      <c r="H3661">
        <f>E3661*F3661*(1-G3661)</f>
        <v/>
      </c>
      <c r="I3661">
        <f>XLOOKUP(D3661,Products!$A$2:$A$15,Products!$B$2:$B$15,"Not found")</f>
        <v/>
      </c>
    </row>
    <row r="3662">
      <c r="A3662" t="n">
        <v>107981</v>
      </c>
      <c r="B3662" s="1" t="n">
        <v>45974</v>
      </c>
      <c r="C3662" t="inlineStr">
        <is>
          <t>S01</t>
        </is>
      </c>
      <c r="D3662" t="inlineStr">
        <is>
          <t>P102</t>
        </is>
      </c>
      <c r="E3662" t="n">
        <v>4</v>
      </c>
      <c r="F3662" t="n">
        <v>14.5</v>
      </c>
      <c r="G3662" t="n">
        <v>0.15</v>
      </c>
      <c r="H3662">
        <f>E3662*F3662*(1-G3662)</f>
        <v/>
      </c>
      <c r="I3662">
        <f>XLOOKUP(D3662,Products!$A$2:$A$15,Products!$B$2:$B$15,"Not found")</f>
        <v/>
      </c>
    </row>
    <row r="3663">
      <c r="A3663" t="n">
        <v>107982</v>
      </c>
      <c r="B3663" s="1" t="n">
        <v>45974</v>
      </c>
      <c r="C3663" t="inlineStr">
        <is>
          <t>S01</t>
        </is>
      </c>
      <c r="D3663" t="inlineStr">
        <is>
          <t>P103</t>
        </is>
      </c>
      <c r="E3663" t="n">
        <v>3</v>
      </c>
      <c r="F3663" t="n">
        <v>29</v>
      </c>
      <c r="G3663" t="n">
        <v>0</v>
      </c>
      <c r="H3663">
        <f>E3663*F3663*(1-G3663)</f>
        <v/>
      </c>
      <c r="I3663">
        <f>XLOOKUP(D3663,Products!$A$2:$A$15,Products!$B$2:$B$15,"Not found")</f>
        <v/>
      </c>
    </row>
    <row r="3664">
      <c r="A3664" t="n">
        <v>107983</v>
      </c>
      <c r="B3664" s="1" t="n">
        <v>45974</v>
      </c>
      <c r="C3664" t="inlineStr">
        <is>
          <t>S01</t>
        </is>
      </c>
      <c r="D3664" t="inlineStr">
        <is>
          <t>P201</t>
        </is>
      </c>
      <c r="E3664" t="n">
        <v>1</v>
      </c>
      <c r="F3664" t="n">
        <v>149</v>
      </c>
      <c r="G3664" t="n">
        <v>0</v>
      </c>
      <c r="H3664">
        <f>E3664*F3664*(1-G3664)</f>
        <v/>
      </c>
      <c r="I3664">
        <f>XLOOKUP(D3664,Products!$A$2:$A$15,Products!$B$2:$B$15,"Not found")</f>
        <v/>
      </c>
    </row>
    <row r="3665">
      <c r="A3665" t="n">
        <v>107984</v>
      </c>
      <c r="B3665" s="1" t="n">
        <v>45974</v>
      </c>
      <c r="C3665" t="inlineStr">
        <is>
          <t>S01</t>
        </is>
      </c>
      <c r="D3665" t="inlineStr">
        <is>
          <t>P104</t>
        </is>
      </c>
      <c r="E3665" t="n">
        <v>1</v>
      </c>
      <c r="F3665" t="n">
        <v>189</v>
      </c>
      <c r="G3665" t="n">
        <v>0</v>
      </c>
      <c r="H3665">
        <f>E3665*F3665*(1-G3665)</f>
        <v/>
      </c>
      <c r="I3665">
        <f>XLOOKUP(D3665,Products!$A$2:$A$15,Products!$B$2:$B$15,"Not found")</f>
        <v/>
      </c>
    </row>
    <row r="3666">
      <c r="A3666" t="n">
        <v>107985</v>
      </c>
      <c r="B3666" s="1" t="n">
        <v>45974</v>
      </c>
      <c r="C3666" t="inlineStr">
        <is>
          <t>S02</t>
        </is>
      </c>
      <c r="D3666" t="inlineStr">
        <is>
          <t>P201</t>
        </is>
      </c>
      <c r="E3666" t="n">
        <v>1</v>
      </c>
      <c r="F3666" t="n">
        <v>149</v>
      </c>
      <c r="G3666" t="n">
        <v>0</v>
      </c>
      <c r="H3666">
        <f>E3666*F3666*(1-G3666)</f>
        <v/>
      </c>
      <c r="I3666">
        <f>XLOOKUP(D3666,Products!$A$2:$A$15,Products!$B$2:$B$15,"Not found")</f>
        <v/>
      </c>
    </row>
    <row r="3667">
      <c r="A3667" t="n">
        <v>107986</v>
      </c>
      <c r="B3667" s="1" t="n">
        <v>45974</v>
      </c>
      <c r="C3667" t="inlineStr">
        <is>
          <t>S02</t>
        </is>
      </c>
      <c r="D3667" t="inlineStr">
        <is>
          <t>P102</t>
        </is>
      </c>
      <c r="E3667" t="n">
        <v>4</v>
      </c>
      <c r="F3667" t="n">
        <v>14.5</v>
      </c>
      <c r="G3667" t="n">
        <v>0</v>
      </c>
      <c r="H3667">
        <f>E3667*F3667*(1-G3667)</f>
        <v/>
      </c>
      <c r="I3667">
        <f>XLOOKUP(D3667,Products!$A$2:$A$15,Products!$B$2:$B$15,"Not found")</f>
        <v/>
      </c>
    </row>
    <row r="3668">
      <c r="A3668" t="n">
        <v>107987</v>
      </c>
      <c r="B3668" s="1" t="n">
        <v>45974</v>
      </c>
      <c r="C3668" t="inlineStr">
        <is>
          <t>S03</t>
        </is>
      </c>
      <c r="D3668" t="inlineStr">
        <is>
          <t>P101</t>
        </is>
      </c>
      <c r="E3668" t="n">
        <v>2</v>
      </c>
      <c r="F3668" t="n">
        <v>39</v>
      </c>
      <c r="G3668" t="n">
        <v>0.2</v>
      </c>
      <c r="H3668">
        <f>E3668*F3668*(1-G3668)</f>
        <v/>
      </c>
      <c r="I3668">
        <f>XLOOKUP(D3668,Products!$A$2:$A$15,Products!$B$2:$B$15,"Not found")</f>
        <v/>
      </c>
    </row>
    <row r="3669">
      <c r="A3669" t="n">
        <v>107988</v>
      </c>
      <c r="B3669" s="1" t="n">
        <v>45974</v>
      </c>
      <c r="C3669" t="inlineStr">
        <is>
          <t>S03</t>
        </is>
      </c>
      <c r="D3669" t="inlineStr">
        <is>
          <t>P101</t>
        </is>
      </c>
      <c r="E3669" t="n">
        <v>1</v>
      </c>
      <c r="F3669" t="n">
        <v>39</v>
      </c>
      <c r="G3669" t="n">
        <v>0.15</v>
      </c>
      <c r="H3669">
        <f>E3669*F3669*(1-G3669)</f>
        <v/>
      </c>
      <c r="I3669">
        <f>XLOOKUP(D3669,Products!$A$2:$A$15,Products!$B$2:$B$15,"Not found")</f>
        <v/>
      </c>
    </row>
    <row r="3670">
      <c r="A3670" t="n">
        <v>107989</v>
      </c>
      <c r="B3670" s="1" t="n">
        <v>45974</v>
      </c>
      <c r="C3670" t="inlineStr">
        <is>
          <t>S03</t>
        </is>
      </c>
      <c r="D3670" t="inlineStr">
        <is>
          <t>P203</t>
        </is>
      </c>
      <c r="E3670" t="n">
        <v>2</v>
      </c>
      <c r="F3670" t="n">
        <v>19.5</v>
      </c>
      <c r="G3670" t="n">
        <v>0</v>
      </c>
      <c r="H3670">
        <f>E3670*F3670*(1-G3670)</f>
        <v/>
      </c>
      <c r="I3670">
        <f>XLOOKUP(D3670,Products!$A$2:$A$15,Products!$B$2:$B$15,"Not found")</f>
        <v/>
      </c>
    </row>
    <row r="3671">
      <c r="A3671" t="n">
        <v>107990</v>
      </c>
      <c r="B3671" s="1" t="n">
        <v>45974</v>
      </c>
      <c r="C3671" t="inlineStr">
        <is>
          <t>S04</t>
        </is>
      </c>
      <c r="D3671" t="inlineStr">
        <is>
          <t>P104</t>
        </is>
      </c>
      <c r="E3671" t="n">
        <v>1</v>
      </c>
      <c r="F3671" t="n">
        <v>189</v>
      </c>
      <c r="G3671" t="n">
        <v>0.1</v>
      </c>
      <c r="H3671">
        <f>E3671*F3671*(1-G3671)</f>
        <v/>
      </c>
      <c r="I3671">
        <f>XLOOKUP(D3671,Products!$A$2:$A$15,Products!$B$2:$B$15,"Not found")</f>
        <v/>
      </c>
    </row>
    <row r="3672">
      <c r="A3672" t="n">
        <v>107991</v>
      </c>
      <c r="B3672" s="1" t="n">
        <v>45974</v>
      </c>
      <c r="C3672" t="inlineStr">
        <is>
          <t>S04</t>
        </is>
      </c>
      <c r="D3672" t="inlineStr">
        <is>
          <t>P303</t>
        </is>
      </c>
      <c r="E3672" t="n">
        <v>1</v>
      </c>
      <c r="F3672" t="n">
        <v>12</v>
      </c>
      <c r="G3672" t="n">
        <v>0.2</v>
      </c>
      <c r="H3672">
        <f>E3672*F3672*(1-G3672)</f>
        <v/>
      </c>
      <c r="I3672">
        <f>XLOOKUP(D3672,Products!$A$2:$A$15,Products!$B$2:$B$15,"Not found")</f>
        <v/>
      </c>
    </row>
    <row r="3673">
      <c r="A3673" t="n">
        <v>107992</v>
      </c>
      <c r="B3673" s="1" t="n">
        <v>45974</v>
      </c>
      <c r="C3673" t="inlineStr">
        <is>
          <t>S04</t>
        </is>
      </c>
      <c r="D3673" t="inlineStr">
        <is>
          <t>P302</t>
        </is>
      </c>
      <c r="E3673" t="n">
        <v>1</v>
      </c>
      <c r="F3673" t="n">
        <v>24</v>
      </c>
      <c r="G3673" t="n">
        <v>0</v>
      </c>
      <c r="H3673">
        <f>E3673*F3673*(1-G3673)</f>
        <v/>
      </c>
      <c r="I3673">
        <f>XLOOKUP(D3673,Products!$A$2:$A$15,Products!$B$2:$B$15,"Not found")</f>
        <v/>
      </c>
    </row>
    <row r="3674">
      <c r="A3674" t="n">
        <v>107993</v>
      </c>
      <c r="B3674" s="1" t="n">
        <v>45974</v>
      </c>
      <c r="C3674" t="inlineStr">
        <is>
          <t>S05</t>
        </is>
      </c>
      <c r="D3674" t="inlineStr">
        <is>
          <t>P201</t>
        </is>
      </c>
      <c r="E3674" t="n">
        <v>1</v>
      </c>
      <c r="F3674" t="n">
        <v>149</v>
      </c>
      <c r="G3674" t="n">
        <v>0.2</v>
      </c>
      <c r="H3674">
        <f>E3674*F3674*(1-G3674)</f>
        <v/>
      </c>
      <c r="I3674">
        <f>XLOOKUP(D3674,Products!$A$2:$A$15,Products!$B$2:$B$15,"Not found")</f>
        <v/>
      </c>
    </row>
    <row r="3675">
      <c r="A3675" t="n">
        <v>107994</v>
      </c>
      <c r="B3675" s="1" t="n">
        <v>45974</v>
      </c>
      <c r="C3675" t="inlineStr">
        <is>
          <t>S06</t>
        </is>
      </c>
      <c r="D3675" t="inlineStr">
        <is>
          <t>P201</t>
        </is>
      </c>
      <c r="E3675" t="n">
        <v>1</v>
      </c>
      <c r="F3675" t="n">
        <v>149</v>
      </c>
      <c r="G3675" t="n">
        <v>0.1</v>
      </c>
      <c r="H3675">
        <f>E3675*F3675*(1-G3675)</f>
        <v/>
      </c>
      <c r="I3675">
        <f>XLOOKUP(D3675,Products!$A$2:$A$15,Products!$B$2:$B$15,"Not found")</f>
        <v/>
      </c>
    </row>
    <row r="3676">
      <c r="A3676" t="n">
        <v>107995</v>
      </c>
      <c r="B3676" s="1" t="n">
        <v>45975</v>
      </c>
      <c r="C3676" t="inlineStr">
        <is>
          <t>S01</t>
        </is>
      </c>
      <c r="D3676" t="inlineStr">
        <is>
          <t>P103</t>
        </is>
      </c>
      <c r="E3676" t="n">
        <v>2</v>
      </c>
      <c r="F3676" t="n">
        <v>29</v>
      </c>
      <c r="G3676" t="n">
        <v>0</v>
      </c>
      <c r="H3676">
        <f>E3676*F3676*(1-G3676)</f>
        <v/>
      </c>
      <c r="I3676">
        <f>XLOOKUP(D3676,Products!$A$2:$A$15,Products!$B$2:$B$15,"Not found")</f>
        <v/>
      </c>
    </row>
    <row r="3677">
      <c r="A3677" t="n">
        <v>107996</v>
      </c>
      <c r="B3677" s="1" t="n">
        <v>45975</v>
      </c>
      <c r="C3677" t="inlineStr">
        <is>
          <t>S01</t>
        </is>
      </c>
      <c r="D3677" t="inlineStr">
        <is>
          <t>P102</t>
        </is>
      </c>
      <c r="E3677" t="n">
        <v>2</v>
      </c>
      <c r="F3677" t="n">
        <v>14.5</v>
      </c>
      <c r="G3677" t="n">
        <v>0.15</v>
      </c>
      <c r="H3677">
        <f>E3677*F3677*(1-G3677)</f>
        <v/>
      </c>
      <c r="I3677">
        <f>XLOOKUP(D3677,Products!$A$2:$A$15,Products!$B$2:$B$15,"Not found")</f>
        <v/>
      </c>
    </row>
    <row r="3678">
      <c r="A3678" t="n">
        <v>107997</v>
      </c>
      <c r="B3678" s="1" t="n">
        <v>45975</v>
      </c>
      <c r="C3678" t="inlineStr">
        <is>
          <t>S01</t>
        </is>
      </c>
      <c r="D3678" t="inlineStr">
        <is>
          <t>P102</t>
        </is>
      </c>
      <c r="E3678" t="n">
        <v>2</v>
      </c>
      <c r="F3678" t="n">
        <v>14.5</v>
      </c>
      <c r="G3678" t="n">
        <v>0</v>
      </c>
      <c r="H3678">
        <f>E3678*F3678*(1-G3678)</f>
        <v/>
      </c>
      <c r="I3678">
        <f>XLOOKUP(D3678,Products!$A$2:$A$15,Products!$B$2:$B$15,"Not found")</f>
        <v/>
      </c>
    </row>
    <row r="3679">
      <c r="A3679" t="n">
        <v>107998</v>
      </c>
      <c r="B3679" s="1" t="n">
        <v>45975</v>
      </c>
      <c r="C3679" t="inlineStr">
        <is>
          <t>S01</t>
        </is>
      </c>
      <c r="D3679" t="inlineStr">
        <is>
          <t>P104</t>
        </is>
      </c>
      <c r="E3679" t="n">
        <v>1</v>
      </c>
      <c r="F3679" t="n">
        <v>189</v>
      </c>
      <c r="G3679" t="n">
        <v>0.2</v>
      </c>
      <c r="H3679">
        <f>E3679*F3679*(1-G3679)</f>
        <v/>
      </c>
      <c r="I3679">
        <f>XLOOKUP(D3679,Products!$A$2:$A$15,Products!$B$2:$B$15,"Not found")</f>
        <v/>
      </c>
    </row>
    <row r="3680">
      <c r="A3680" t="n">
        <v>107999</v>
      </c>
      <c r="B3680" s="1" t="n">
        <v>45975</v>
      </c>
      <c r="C3680" t="inlineStr">
        <is>
          <t>S01</t>
        </is>
      </c>
      <c r="D3680" t="inlineStr">
        <is>
          <t>P303</t>
        </is>
      </c>
      <c r="E3680" t="n">
        <v>1</v>
      </c>
      <c r="F3680" t="n">
        <v>12</v>
      </c>
      <c r="G3680" t="n">
        <v>0.2</v>
      </c>
      <c r="H3680">
        <f>E3680*F3680*(1-G3680)</f>
        <v/>
      </c>
      <c r="I3680">
        <f>XLOOKUP(D3680,Products!$A$2:$A$15,Products!$B$2:$B$15,"Not found")</f>
        <v/>
      </c>
    </row>
    <row r="3681">
      <c r="A3681" t="n">
        <v>108000</v>
      </c>
      <c r="B3681" s="1" t="n">
        <v>45975</v>
      </c>
      <c r="C3681" t="inlineStr">
        <is>
          <t>S01</t>
        </is>
      </c>
      <c r="D3681" t="inlineStr">
        <is>
          <t>P302</t>
        </is>
      </c>
      <c r="E3681" t="n">
        <v>4</v>
      </c>
      <c r="F3681" t="n">
        <v>24</v>
      </c>
      <c r="G3681" t="n">
        <v>0.15</v>
      </c>
      <c r="H3681">
        <f>E3681*F3681*(1-G3681)</f>
        <v/>
      </c>
      <c r="I3681">
        <f>XLOOKUP(D3681,Products!$A$2:$A$15,Products!$B$2:$B$15,"Not found")</f>
        <v/>
      </c>
    </row>
    <row r="3682">
      <c r="A3682" t="n">
        <v>108001</v>
      </c>
      <c r="B3682" s="1" t="n">
        <v>45975</v>
      </c>
      <c r="C3682" t="inlineStr">
        <is>
          <t>S02</t>
        </is>
      </c>
      <c r="D3682" t="inlineStr">
        <is>
          <t>P303</t>
        </is>
      </c>
      <c r="E3682" t="n">
        <v>1</v>
      </c>
      <c r="F3682" t="n">
        <v>12</v>
      </c>
      <c r="G3682" t="n">
        <v>0</v>
      </c>
      <c r="H3682">
        <f>E3682*F3682*(1-G3682)</f>
        <v/>
      </c>
      <c r="I3682">
        <f>XLOOKUP(D3682,Products!$A$2:$A$15,Products!$B$2:$B$15,"Not found")</f>
        <v/>
      </c>
    </row>
    <row r="3683">
      <c r="A3683" t="n">
        <v>108002</v>
      </c>
      <c r="B3683" s="1" t="n">
        <v>45975</v>
      </c>
      <c r="C3683" t="inlineStr">
        <is>
          <t>S03</t>
        </is>
      </c>
      <c r="D3683" t="inlineStr">
        <is>
          <t>P403</t>
        </is>
      </c>
      <c r="E3683" t="n">
        <v>1</v>
      </c>
      <c r="F3683" t="n">
        <v>89</v>
      </c>
      <c r="G3683" t="n">
        <v>0.15</v>
      </c>
      <c r="H3683">
        <f>E3683*F3683*(1-G3683)</f>
        <v/>
      </c>
      <c r="I3683">
        <f>XLOOKUP(D3683,Products!$A$2:$A$15,Products!$B$2:$B$15,"Not found")</f>
        <v/>
      </c>
    </row>
    <row r="3684">
      <c r="A3684" t="n">
        <v>108003</v>
      </c>
      <c r="B3684" s="1" t="n">
        <v>45975</v>
      </c>
      <c r="C3684" t="inlineStr">
        <is>
          <t>S03</t>
        </is>
      </c>
      <c r="D3684" t="inlineStr">
        <is>
          <t>P103</t>
        </is>
      </c>
      <c r="E3684" t="n">
        <v>2</v>
      </c>
      <c r="F3684" t="n">
        <v>29</v>
      </c>
      <c r="G3684" t="n">
        <v>0</v>
      </c>
      <c r="H3684">
        <f>E3684*F3684*(1-G3684)</f>
        <v/>
      </c>
      <c r="I3684">
        <f>XLOOKUP(D3684,Products!$A$2:$A$15,Products!$B$2:$B$15,"Not found")</f>
        <v/>
      </c>
    </row>
    <row r="3685">
      <c r="A3685" t="n">
        <v>108004</v>
      </c>
      <c r="B3685" s="1" t="n">
        <v>45975</v>
      </c>
      <c r="C3685" t="inlineStr">
        <is>
          <t>S04</t>
        </is>
      </c>
      <c r="D3685" t="inlineStr">
        <is>
          <t>P203</t>
        </is>
      </c>
      <c r="E3685" t="n">
        <v>1</v>
      </c>
      <c r="F3685" t="n">
        <v>19.5</v>
      </c>
      <c r="G3685" t="n">
        <v>0.1</v>
      </c>
      <c r="H3685">
        <f>E3685*F3685*(1-G3685)</f>
        <v/>
      </c>
      <c r="I3685">
        <f>XLOOKUP(D3685,Products!$A$2:$A$15,Products!$B$2:$B$15,"Not found")</f>
        <v/>
      </c>
    </row>
    <row r="3686">
      <c r="A3686" t="n">
        <v>108005</v>
      </c>
      <c r="B3686" s="1" t="n">
        <v>45975</v>
      </c>
      <c r="C3686" t="inlineStr">
        <is>
          <t>S04</t>
        </is>
      </c>
      <c r="D3686" t="inlineStr">
        <is>
          <t>P301</t>
        </is>
      </c>
      <c r="E3686" t="n">
        <v>1</v>
      </c>
      <c r="F3686" t="n">
        <v>119</v>
      </c>
      <c r="G3686" t="n">
        <v>0</v>
      </c>
      <c r="H3686">
        <f>E3686*F3686*(1-G3686)</f>
        <v/>
      </c>
      <c r="I3686">
        <f>XLOOKUP(D3686,Products!$A$2:$A$15,Products!$B$2:$B$15,"Not found")</f>
        <v/>
      </c>
    </row>
    <row r="3687">
      <c r="A3687" t="n">
        <v>108006</v>
      </c>
      <c r="B3687" s="1" t="n">
        <v>45975</v>
      </c>
      <c r="C3687" t="inlineStr">
        <is>
          <t>S04</t>
        </is>
      </c>
      <c r="D3687" t="inlineStr">
        <is>
          <t>P102</t>
        </is>
      </c>
      <c r="E3687" t="n">
        <v>2</v>
      </c>
      <c r="F3687" t="n">
        <v>14.5</v>
      </c>
      <c r="G3687" t="n">
        <v>0</v>
      </c>
      <c r="H3687">
        <f>E3687*F3687*(1-G3687)</f>
        <v/>
      </c>
      <c r="I3687">
        <f>XLOOKUP(D3687,Products!$A$2:$A$15,Products!$B$2:$B$15,"Not found")</f>
        <v/>
      </c>
    </row>
    <row r="3688">
      <c r="A3688" t="n">
        <v>108007</v>
      </c>
      <c r="B3688" s="1" t="n">
        <v>45975</v>
      </c>
      <c r="C3688" t="inlineStr">
        <is>
          <t>S04</t>
        </is>
      </c>
      <c r="D3688" t="inlineStr">
        <is>
          <t>P202</t>
        </is>
      </c>
      <c r="E3688" t="n">
        <v>3</v>
      </c>
      <c r="F3688" t="n">
        <v>79</v>
      </c>
      <c r="G3688" t="n">
        <v>0.2</v>
      </c>
      <c r="H3688">
        <f>E3688*F3688*(1-G3688)</f>
        <v/>
      </c>
      <c r="I3688">
        <f>XLOOKUP(D3688,Products!$A$2:$A$15,Products!$B$2:$B$15,"Not found")</f>
        <v/>
      </c>
    </row>
    <row r="3689">
      <c r="A3689" t="n">
        <v>108008</v>
      </c>
      <c r="B3689" s="1" t="n">
        <v>45975</v>
      </c>
      <c r="C3689" t="inlineStr">
        <is>
          <t>S04</t>
        </is>
      </c>
      <c r="D3689" t="inlineStr">
        <is>
          <t>P203</t>
        </is>
      </c>
      <c r="E3689" t="n">
        <v>2</v>
      </c>
      <c r="F3689" t="n">
        <v>19.5</v>
      </c>
      <c r="G3689" t="n">
        <v>0</v>
      </c>
      <c r="H3689">
        <f>E3689*F3689*(1-G3689)</f>
        <v/>
      </c>
      <c r="I3689">
        <f>XLOOKUP(D3689,Products!$A$2:$A$15,Products!$B$2:$B$15,"Not found")</f>
        <v/>
      </c>
    </row>
    <row r="3690">
      <c r="A3690" t="n">
        <v>108009</v>
      </c>
      <c r="B3690" s="1" t="n">
        <v>45975</v>
      </c>
      <c r="C3690" t="inlineStr">
        <is>
          <t>S04</t>
        </is>
      </c>
      <c r="D3690" t="inlineStr">
        <is>
          <t>P203</t>
        </is>
      </c>
      <c r="E3690" t="n">
        <v>1</v>
      </c>
      <c r="F3690" t="n">
        <v>19.5</v>
      </c>
      <c r="G3690" t="n">
        <v>0</v>
      </c>
      <c r="H3690">
        <f>E3690*F3690*(1-G3690)</f>
        <v/>
      </c>
      <c r="I3690">
        <f>XLOOKUP(D3690,Products!$A$2:$A$15,Products!$B$2:$B$15,"Not found")</f>
        <v/>
      </c>
    </row>
    <row r="3691">
      <c r="A3691" t="n">
        <v>108010</v>
      </c>
      <c r="B3691" s="1" t="n">
        <v>45975</v>
      </c>
      <c r="C3691" t="inlineStr">
        <is>
          <t>S05</t>
        </is>
      </c>
      <c r="D3691" t="inlineStr">
        <is>
          <t>P303</t>
        </is>
      </c>
      <c r="E3691" t="n">
        <v>1</v>
      </c>
      <c r="F3691" t="n">
        <v>12</v>
      </c>
      <c r="G3691" t="n">
        <v>0.15</v>
      </c>
      <c r="H3691">
        <f>E3691*F3691*(1-G3691)</f>
        <v/>
      </c>
      <c r="I3691">
        <f>XLOOKUP(D3691,Products!$A$2:$A$15,Products!$B$2:$B$15,"Not found")</f>
        <v/>
      </c>
    </row>
    <row r="3692">
      <c r="A3692" t="n">
        <v>108011</v>
      </c>
      <c r="B3692" s="1" t="n">
        <v>45975</v>
      </c>
      <c r="C3692" t="inlineStr">
        <is>
          <t>S05</t>
        </is>
      </c>
      <c r="D3692" t="inlineStr">
        <is>
          <t>P201</t>
        </is>
      </c>
      <c r="E3692" t="n">
        <v>1</v>
      </c>
      <c r="F3692" t="n">
        <v>149</v>
      </c>
      <c r="G3692" t="n">
        <v>0</v>
      </c>
      <c r="H3692">
        <f>E3692*F3692*(1-G3692)</f>
        <v/>
      </c>
      <c r="I3692">
        <f>XLOOKUP(D3692,Products!$A$2:$A$15,Products!$B$2:$B$15,"Not found")</f>
        <v/>
      </c>
    </row>
    <row r="3693">
      <c r="A3693" t="n">
        <v>108012</v>
      </c>
      <c r="B3693" s="1" t="n">
        <v>45975</v>
      </c>
      <c r="C3693" t="inlineStr">
        <is>
          <t>S06</t>
        </is>
      </c>
      <c r="D3693" t="inlineStr">
        <is>
          <t>P301</t>
        </is>
      </c>
      <c r="E3693" t="n">
        <v>1</v>
      </c>
      <c r="F3693" t="n">
        <v>119</v>
      </c>
      <c r="G3693" t="n">
        <v>0</v>
      </c>
      <c r="H3693">
        <f>E3693*F3693*(1-G3693)</f>
        <v/>
      </c>
      <c r="I3693">
        <f>XLOOKUP(D3693,Products!$A$2:$A$15,Products!$B$2:$B$15,"Not found")</f>
        <v/>
      </c>
    </row>
    <row r="3694">
      <c r="A3694" t="n">
        <v>108013</v>
      </c>
      <c r="B3694" s="1" t="n">
        <v>45975</v>
      </c>
      <c r="C3694" t="inlineStr">
        <is>
          <t>S06</t>
        </is>
      </c>
      <c r="D3694" t="inlineStr">
        <is>
          <t>P102</t>
        </is>
      </c>
      <c r="E3694" t="n">
        <v>4</v>
      </c>
      <c r="F3694" t="n">
        <v>14.5</v>
      </c>
      <c r="G3694" t="n">
        <v>0</v>
      </c>
      <c r="H3694">
        <f>E3694*F3694*(1-G3694)</f>
        <v/>
      </c>
      <c r="I3694">
        <f>XLOOKUP(D3694,Products!$A$2:$A$15,Products!$B$2:$B$15,"Not found")</f>
        <v/>
      </c>
    </row>
    <row r="3695">
      <c r="A3695" t="n">
        <v>108014</v>
      </c>
      <c r="B3695" s="1" t="n">
        <v>45975</v>
      </c>
      <c r="C3695" t="inlineStr">
        <is>
          <t>S06</t>
        </is>
      </c>
      <c r="D3695" t="inlineStr">
        <is>
          <t>P203</t>
        </is>
      </c>
      <c r="E3695" t="n">
        <v>2</v>
      </c>
      <c r="F3695" t="n">
        <v>19.5</v>
      </c>
      <c r="G3695" t="n">
        <v>0</v>
      </c>
      <c r="H3695">
        <f>E3695*F3695*(1-G3695)</f>
        <v/>
      </c>
      <c r="I3695">
        <f>XLOOKUP(D3695,Products!$A$2:$A$15,Products!$B$2:$B$15,"Not found")</f>
        <v/>
      </c>
    </row>
    <row r="3696">
      <c r="A3696" t="n">
        <v>108015</v>
      </c>
      <c r="B3696" s="1" t="n">
        <v>45976</v>
      </c>
      <c r="C3696" t="inlineStr">
        <is>
          <t>S01</t>
        </is>
      </c>
      <c r="D3696" t="inlineStr">
        <is>
          <t>P101</t>
        </is>
      </c>
      <c r="E3696" t="n">
        <v>2</v>
      </c>
      <c r="F3696" t="n">
        <v>39</v>
      </c>
      <c r="G3696" t="n">
        <v>0</v>
      </c>
      <c r="H3696">
        <f>E3696*F3696*(1-G3696)</f>
        <v/>
      </c>
      <c r="I3696">
        <f>XLOOKUP(D3696,Products!$A$2:$A$15,Products!$B$2:$B$15,"Not found")</f>
        <v/>
      </c>
    </row>
    <row r="3697">
      <c r="A3697" t="n">
        <v>108016</v>
      </c>
      <c r="B3697" s="1" t="n">
        <v>45976</v>
      </c>
      <c r="C3697" t="inlineStr">
        <is>
          <t>S01</t>
        </is>
      </c>
      <c r="D3697" t="inlineStr">
        <is>
          <t>P303</t>
        </is>
      </c>
      <c r="E3697" t="n">
        <v>3</v>
      </c>
      <c r="F3697" t="n">
        <v>12</v>
      </c>
      <c r="G3697" t="n">
        <v>0</v>
      </c>
      <c r="H3697">
        <f>E3697*F3697*(1-G3697)</f>
        <v/>
      </c>
      <c r="I3697">
        <f>XLOOKUP(D3697,Products!$A$2:$A$15,Products!$B$2:$B$15,"Not found")</f>
        <v/>
      </c>
    </row>
    <row r="3698">
      <c r="A3698" t="n">
        <v>108017</v>
      </c>
      <c r="B3698" s="1" t="n">
        <v>45976</v>
      </c>
      <c r="C3698" t="inlineStr">
        <is>
          <t>S01</t>
        </is>
      </c>
      <c r="D3698" t="inlineStr">
        <is>
          <t>P102</t>
        </is>
      </c>
      <c r="E3698" t="n">
        <v>3</v>
      </c>
      <c r="F3698" t="n">
        <v>14.5</v>
      </c>
      <c r="G3698" t="n">
        <v>0</v>
      </c>
      <c r="H3698">
        <f>E3698*F3698*(1-G3698)</f>
        <v/>
      </c>
      <c r="I3698">
        <f>XLOOKUP(D3698,Products!$A$2:$A$15,Products!$B$2:$B$15,"Not found")</f>
        <v/>
      </c>
    </row>
    <row r="3699">
      <c r="A3699" t="n">
        <v>108018</v>
      </c>
      <c r="B3699" s="1" t="n">
        <v>45976</v>
      </c>
      <c r="C3699" t="inlineStr">
        <is>
          <t>S02</t>
        </is>
      </c>
      <c r="D3699" t="inlineStr">
        <is>
          <t>P101</t>
        </is>
      </c>
      <c r="E3699" t="n">
        <v>4</v>
      </c>
      <c r="F3699" t="n">
        <v>39</v>
      </c>
      <c r="G3699" t="n">
        <v>0</v>
      </c>
      <c r="H3699">
        <f>E3699*F3699*(1-G3699)</f>
        <v/>
      </c>
      <c r="I3699">
        <f>XLOOKUP(D3699,Products!$A$2:$A$15,Products!$B$2:$B$15,"Not found")</f>
        <v/>
      </c>
    </row>
    <row r="3700">
      <c r="A3700" t="n">
        <v>108019</v>
      </c>
      <c r="B3700" s="1" t="n">
        <v>45976</v>
      </c>
      <c r="C3700" t="inlineStr">
        <is>
          <t>S02</t>
        </is>
      </c>
      <c r="D3700" t="inlineStr">
        <is>
          <t>P102</t>
        </is>
      </c>
      <c r="E3700" t="n">
        <v>2</v>
      </c>
      <c r="F3700" t="n">
        <v>14.5</v>
      </c>
      <c r="G3700" t="n">
        <v>0</v>
      </c>
      <c r="H3700">
        <f>E3700*F3700*(1-G3700)</f>
        <v/>
      </c>
      <c r="I3700">
        <f>XLOOKUP(D3700,Products!$A$2:$A$15,Products!$B$2:$B$15,"Not found")</f>
        <v/>
      </c>
    </row>
    <row r="3701">
      <c r="A3701" t="n">
        <v>108020</v>
      </c>
      <c r="B3701" s="1" t="n">
        <v>45976</v>
      </c>
      <c r="C3701" t="inlineStr">
        <is>
          <t>S02</t>
        </is>
      </c>
      <c r="D3701" t="inlineStr">
        <is>
          <t>P303</t>
        </is>
      </c>
      <c r="E3701" t="n">
        <v>3</v>
      </c>
      <c r="F3701" t="n">
        <v>12</v>
      </c>
      <c r="G3701" t="n">
        <v>0.2</v>
      </c>
      <c r="H3701">
        <f>E3701*F3701*(1-G3701)</f>
        <v/>
      </c>
      <c r="I3701">
        <f>XLOOKUP(D3701,Products!$A$2:$A$15,Products!$B$2:$B$15,"Not found")</f>
        <v/>
      </c>
    </row>
    <row r="3702">
      <c r="A3702" t="n">
        <v>108021</v>
      </c>
      <c r="B3702" s="1" t="n">
        <v>45976</v>
      </c>
      <c r="C3702" t="inlineStr">
        <is>
          <t>S03</t>
        </is>
      </c>
      <c r="D3702" t="inlineStr">
        <is>
          <t>P203</t>
        </is>
      </c>
      <c r="E3702" t="n">
        <v>1</v>
      </c>
      <c r="F3702" t="n">
        <v>19.5</v>
      </c>
      <c r="G3702" t="n">
        <v>0</v>
      </c>
      <c r="H3702">
        <f>E3702*F3702*(1-G3702)</f>
        <v/>
      </c>
      <c r="I3702">
        <f>XLOOKUP(D3702,Products!$A$2:$A$15,Products!$B$2:$B$15,"Not found")</f>
        <v/>
      </c>
    </row>
    <row r="3703">
      <c r="A3703" t="n">
        <v>108022</v>
      </c>
      <c r="B3703" s="1" t="n">
        <v>45976</v>
      </c>
      <c r="C3703" t="inlineStr">
        <is>
          <t>S03</t>
        </is>
      </c>
      <c r="D3703" t="inlineStr">
        <is>
          <t>P102</t>
        </is>
      </c>
      <c r="E3703" t="n">
        <v>3</v>
      </c>
      <c r="F3703" t="n">
        <v>14.5</v>
      </c>
      <c r="G3703" t="n">
        <v>0</v>
      </c>
      <c r="H3703">
        <f>E3703*F3703*(1-G3703)</f>
        <v/>
      </c>
      <c r="I3703">
        <f>XLOOKUP(D3703,Products!$A$2:$A$15,Products!$B$2:$B$15,"Not found")</f>
        <v/>
      </c>
    </row>
    <row r="3704">
      <c r="A3704" t="n">
        <v>108023</v>
      </c>
      <c r="B3704" s="1" t="n">
        <v>45976</v>
      </c>
      <c r="C3704" t="inlineStr">
        <is>
          <t>S03</t>
        </is>
      </c>
      <c r="D3704" t="inlineStr">
        <is>
          <t>P202</t>
        </is>
      </c>
      <c r="E3704" t="n">
        <v>4</v>
      </c>
      <c r="F3704" t="n">
        <v>79</v>
      </c>
      <c r="G3704" t="n">
        <v>0.1</v>
      </c>
      <c r="H3704">
        <f>E3704*F3704*(1-G3704)</f>
        <v/>
      </c>
      <c r="I3704">
        <f>XLOOKUP(D3704,Products!$A$2:$A$15,Products!$B$2:$B$15,"Not found")</f>
        <v/>
      </c>
    </row>
    <row r="3705">
      <c r="A3705" t="n">
        <v>108024</v>
      </c>
      <c r="B3705" s="1" t="n">
        <v>45976</v>
      </c>
      <c r="C3705" t="inlineStr">
        <is>
          <t>S03</t>
        </is>
      </c>
      <c r="D3705" t="inlineStr">
        <is>
          <t>P202</t>
        </is>
      </c>
      <c r="E3705" t="n">
        <v>2</v>
      </c>
      <c r="F3705" t="n">
        <v>79</v>
      </c>
      <c r="G3705" t="n">
        <v>0.2</v>
      </c>
      <c r="H3705">
        <f>E3705*F3705*(1-G3705)</f>
        <v/>
      </c>
      <c r="I3705">
        <f>XLOOKUP(D3705,Products!$A$2:$A$15,Products!$B$2:$B$15,"Not found")</f>
        <v/>
      </c>
    </row>
    <row r="3706">
      <c r="A3706" t="n">
        <v>108025</v>
      </c>
      <c r="B3706" s="1" t="n">
        <v>45976</v>
      </c>
      <c r="C3706" t="inlineStr">
        <is>
          <t>S03</t>
        </is>
      </c>
      <c r="D3706" t="inlineStr">
        <is>
          <t>P103</t>
        </is>
      </c>
      <c r="E3706" t="n">
        <v>1</v>
      </c>
      <c r="F3706" t="n">
        <v>29</v>
      </c>
      <c r="G3706" t="n">
        <v>0</v>
      </c>
      <c r="H3706">
        <f>E3706*F3706*(1-G3706)</f>
        <v/>
      </c>
      <c r="I3706">
        <f>XLOOKUP(D3706,Products!$A$2:$A$15,Products!$B$2:$B$15,"Not found")</f>
        <v/>
      </c>
    </row>
    <row r="3707">
      <c r="A3707" t="n">
        <v>108026</v>
      </c>
      <c r="B3707" s="1" t="n">
        <v>45976</v>
      </c>
      <c r="C3707" t="inlineStr">
        <is>
          <t>S04</t>
        </is>
      </c>
      <c r="D3707" t="inlineStr">
        <is>
          <t>P303</t>
        </is>
      </c>
      <c r="E3707" t="n">
        <v>1</v>
      </c>
      <c r="F3707" t="n">
        <v>12</v>
      </c>
      <c r="G3707" t="n">
        <v>0.15</v>
      </c>
      <c r="H3707">
        <f>E3707*F3707*(1-G3707)</f>
        <v/>
      </c>
      <c r="I3707">
        <f>XLOOKUP(D3707,Products!$A$2:$A$15,Products!$B$2:$B$15,"Not found")</f>
        <v/>
      </c>
    </row>
    <row r="3708">
      <c r="A3708" t="n">
        <v>108027</v>
      </c>
      <c r="B3708" s="1" t="n">
        <v>45976</v>
      </c>
      <c r="C3708" t="inlineStr">
        <is>
          <t>S04</t>
        </is>
      </c>
      <c r="D3708" t="inlineStr">
        <is>
          <t>P203</t>
        </is>
      </c>
      <c r="E3708" t="n">
        <v>4</v>
      </c>
      <c r="F3708" t="n">
        <v>19.5</v>
      </c>
      <c r="G3708" t="n">
        <v>0</v>
      </c>
      <c r="H3708">
        <f>E3708*F3708*(1-G3708)</f>
        <v/>
      </c>
      <c r="I3708">
        <f>XLOOKUP(D3708,Products!$A$2:$A$15,Products!$B$2:$B$15,"Not found")</f>
        <v/>
      </c>
    </row>
    <row r="3709">
      <c r="A3709" t="n">
        <v>108028</v>
      </c>
      <c r="B3709" s="1" t="n">
        <v>45976</v>
      </c>
      <c r="C3709" t="inlineStr">
        <is>
          <t>S04</t>
        </is>
      </c>
      <c r="D3709" t="inlineStr">
        <is>
          <t>P201</t>
        </is>
      </c>
      <c r="E3709" t="n">
        <v>1</v>
      </c>
      <c r="F3709" t="n">
        <v>149</v>
      </c>
      <c r="G3709" t="n">
        <v>0.1</v>
      </c>
      <c r="H3709">
        <f>E3709*F3709*(1-G3709)</f>
        <v/>
      </c>
      <c r="I3709">
        <f>XLOOKUP(D3709,Products!$A$2:$A$15,Products!$B$2:$B$15,"Not found")</f>
        <v/>
      </c>
    </row>
    <row r="3710">
      <c r="A3710" t="n">
        <v>108029</v>
      </c>
      <c r="B3710" s="1" t="n">
        <v>45976</v>
      </c>
      <c r="C3710" t="inlineStr">
        <is>
          <t>S04</t>
        </is>
      </c>
      <c r="D3710" t="inlineStr">
        <is>
          <t>P403</t>
        </is>
      </c>
      <c r="E3710" t="n">
        <v>1</v>
      </c>
      <c r="F3710" t="n">
        <v>89</v>
      </c>
      <c r="G3710" t="n">
        <v>0</v>
      </c>
      <c r="H3710">
        <f>E3710*F3710*(1-G3710)</f>
        <v/>
      </c>
      <c r="I3710">
        <f>XLOOKUP(D3710,Products!$A$2:$A$15,Products!$B$2:$B$15,"Not found")</f>
        <v/>
      </c>
    </row>
    <row r="3711">
      <c r="A3711" t="n">
        <v>108030</v>
      </c>
      <c r="B3711" s="1" t="n">
        <v>45976</v>
      </c>
      <c r="C3711" t="inlineStr">
        <is>
          <t>S05</t>
        </is>
      </c>
      <c r="D3711" t="inlineStr">
        <is>
          <t>P301</t>
        </is>
      </c>
      <c r="E3711" t="n">
        <v>1</v>
      </c>
      <c r="F3711" t="n">
        <v>119</v>
      </c>
      <c r="G3711" t="n">
        <v>0</v>
      </c>
      <c r="H3711">
        <f>E3711*F3711*(1-G3711)</f>
        <v/>
      </c>
      <c r="I3711">
        <f>XLOOKUP(D3711,Products!$A$2:$A$15,Products!$B$2:$B$15,"Not found")</f>
        <v/>
      </c>
    </row>
    <row r="3712">
      <c r="A3712" t="n">
        <v>108031</v>
      </c>
      <c r="B3712" s="1" t="n">
        <v>45976</v>
      </c>
      <c r="C3712" t="inlineStr">
        <is>
          <t>S06</t>
        </is>
      </c>
      <c r="D3712" t="inlineStr">
        <is>
          <t>P104</t>
        </is>
      </c>
      <c r="E3712" t="n">
        <v>1</v>
      </c>
      <c r="F3712" t="n">
        <v>189</v>
      </c>
      <c r="G3712" t="n">
        <v>0</v>
      </c>
      <c r="H3712">
        <f>E3712*F3712*(1-G3712)</f>
        <v/>
      </c>
      <c r="I3712">
        <f>XLOOKUP(D3712,Products!$A$2:$A$15,Products!$B$2:$B$15,"Not found")</f>
        <v/>
      </c>
    </row>
    <row r="3713">
      <c r="A3713" t="n">
        <v>108032</v>
      </c>
      <c r="B3713" s="1" t="n">
        <v>45976</v>
      </c>
      <c r="C3713" t="inlineStr">
        <is>
          <t>S06</t>
        </is>
      </c>
      <c r="D3713" t="inlineStr">
        <is>
          <t>P102</t>
        </is>
      </c>
      <c r="E3713" t="n">
        <v>2</v>
      </c>
      <c r="F3713" t="n">
        <v>14.5</v>
      </c>
      <c r="G3713" t="n">
        <v>0.15</v>
      </c>
      <c r="H3713">
        <f>E3713*F3713*(1-G3713)</f>
        <v/>
      </c>
      <c r="I3713">
        <f>XLOOKUP(D3713,Products!$A$2:$A$15,Products!$B$2:$B$15,"Not found")</f>
        <v/>
      </c>
    </row>
    <row r="3714">
      <c r="A3714" t="n">
        <v>108033</v>
      </c>
      <c r="B3714" s="1" t="n">
        <v>45977</v>
      </c>
      <c r="C3714" t="inlineStr">
        <is>
          <t>S01</t>
        </is>
      </c>
      <c r="D3714" t="inlineStr">
        <is>
          <t>P204</t>
        </is>
      </c>
      <c r="E3714" t="n">
        <v>1</v>
      </c>
      <c r="F3714" t="n">
        <v>229</v>
      </c>
      <c r="G3714" t="n">
        <v>0</v>
      </c>
      <c r="H3714">
        <f>E3714*F3714*(1-G3714)</f>
        <v/>
      </c>
      <c r="I3714">
        <f>XLOOKUP(D3714,Products!$A$2:$A$15,Products!$B$2:$B$15,"Not found")</f>
        <v/>
      </c>
    </row>
    <row r="3715">
      <c r="A3715" t="n">
        <v>108034</v>
      </c>
      <c r="B3715" s="1" t="n">
        <v>45977</v>
      </c>
      <c r="C3715" t="inlineStr">
        <is>
          <t>S01</t>
        </is>
      </c>
      <c r="D3715" t="inlineStr">
        <is>
          <t>P301</t>
        </is>
      </c>
      <c r="E3715" t="n">
        <v>1</v>
      </c>
      <c r="F3715" t="n">
        <v>119</v>
      </c>
      <c r="G3715" t="n">
        <v>0.15</v>
      </c>
      <c r="H3715">
        <f>E3715*F3715*(1-G3715)</f>
        <v/>
      </c>
      <c r="I3715">
        <f>XLOOKUP(D3715,Products!$A$2:$A$15,Products!$B$2:$B$15,"Not found")</f>
        <v/>
      </c>
    </row>
    <row r="3716">
      <c r="A3716" t="n">
        <v>108035</v>
      </c>
      <c r="B3716" s="1" t="n">
        <v>45977</v>
      </c>
      <c r="C3716" t="inlineStr">
        <is>
          <t>S01</t>
        </is>
      </c>
      <c r="D3716" t="inlineStr">
        <is>
          <t>P101</t>
        </is>
      </c>
      <c r="E3716" t="n">
        <v>1</v>
      </c>
      <c r="F3716" t="n">
        <v>39</v>
      </c>
      <c r="G3716" t="n">
        <v>0.2</v>
      </c>
      <c r="H3716">
        <f>E3716*F3716*(1-G3716)</f>
        <v/>
      </c>
      <c r="I3716">
        <f>XLOOKUP(D3716,Products!$A$2:$A$15,Products!$B$2:$B$15,"Not found")</f>
        <v/>
      </c>
    </row>
    <row r="3717">
      <c r="A3717" t="n">
        <v>108036</v>
      </c>
      <c r="B3717" s="1" t="n">
        <v>45977</v>
      </c>
      <c r="C3717" t="inlineStr">
        <is>
          <t>S01</t>
        </is>
      </c>
      <c r="D3717" t="inlineStr">
        <is>
          <t>P103</t>
        </is>
      </c>
      <c r="E3717" t="n">
        <v>1</v>
      </c>
      <c r="F3717" t="n">
        <v>29</v>
      </c>
      <c r="G3717" t="n">
        <v>0.15</v>
      </c>
      <c r="H3717">
        <f>E3717*F3717*(1-G3717)</f>
        <v/>
      </c>
      <c r="I3717">
        <f>XLOOKUP(D3717,Products!$A$2:$A$15,Products!$B$2:$B$15,"Not found")</f>
        <v/>
      </c>
    </row>
    <row r="3718">
      <c r="A3718" t="n">
        <v>108037</v>
      </c>
      <c r="B3718" s="1" t="n">
        <v>45977</v>
      </c>
      <c r="C3718" t="inlineStr">
        <is>
          <t>S02</t>
        </is>
      </c>
      <c r="D3718" t="inlineStr">
        <is>
          <t>P102</t>
        </is>
      </c>
      <c r="E3718" t="n">
        <v>2</v>
      </c>
      <c r="F3718" t="n">
        <v>14.5</v>
      </c>
      <c r="G3718" t="n">
        <v>0.1</v>
      </c>
      <c r="H3718">
        <f>E3718*F3718*(1-G3718)</f>
        <v/>
      </c>
      <c r="I3718">
        <f>XLOOKUP(D3718,Products!$A$2:$A$15,Products!$B$2:$B$15,"Not found")</f>
        <v/>
      </c>
    </row>
    <row r="3719">
      <c r="A3719" t="n">
        <v>108038</v>
      </c>
      <c r="B3719" s="1" t="n">
        <v>45977</v>
      </c>
      <c r="C3719" t="inlineStr">
        <is>
          <t>S03</t>
        </is>
      </c>
      <c r="D3719" t="inlineStr">
        <is>
          <t>P303</t>
        </is>
      </c>
      <c r="E3719" t="n">
        <v>3</v>
      </c>
      <c r="F3719" t="n">
        <v>12</v>
      </c>
      <c r="G3719" t="n">
        <v>0.1</v>
      </c>
      <c r="H3719">
        <f>E3719*F3719*(1-G3719)</f>
        <v/>
      </c>
      <c r="I3719">
        <f>XLOOKUP(D3719,Products!$A$2:$A$15,Products!$B$2:$B$15,"Not found")</f>
        <v/>
      </c>
    </row>
    <row r="3720">
      <c r="A3720" t="n">
        <v>108039</v>
      </c>
      <c r="B3720" s="1" t="n">
        <v>45977</v>
      </c>
      <c r="C3720" t="inlineStr">
        <is>
          <t>S03</t>
        </is>
      </c>
      <c r="D3720" t="inlineStr">
        <is>
          <t>P102</t>
        </is>
      </c>
      <c r="E3720" t="n">
        <v>1</v>
      </c>
      <c r="F3720" t="n">
        <v>14.5</v>
      </c>
      <c r="G3720" t="n">
        <v>0</v>
      </c>
      <c r="H3720">
        <f>E3720*F3720*(1-G3720)</f>
        <v/>
      </c>
      <c r="I3720">
        <f>XLOOKUP(D3720,Products!$A$2:$A$15,Products!$B$2:$B$15,"Not found")</f>
        <v/>
      </c>
    </row>
    <row r="3721">
      <c r="A3721" t="n">
        <v>108040</v>
      </c>
      <c r="B3721" s="1" t="n">
        <v>45977</v>
      </c>
      <c r="C3721" t="inlineStr">
        <is>
          <t>S03</t>
        </is>
      </c>
      <c r="D3721" t="inlineStr">
        <is>
          <t>P303</t>
        </is>
      </c>
      <c r="E3721" t="n">
        <v>1</v>
      </c>
      <c r="F3721" t="n">
        <v>12</v>
      </c>
      <c r="G3721" t="n">
        <v>0</v>
      </c>
      <c r="H3721">
        <f>E3721*F3721*(1-G3721)</f>
        <v/>
      </c>
      <c r="I3721">
        <f>XLOOKUP(D3721,Products!$A$2:$A$15,Products!$B$2:$B$15,"Not found")</f>
        <v/>
      </c>
    </row>
    <row r="3722">
      <c r="A3722" t="n">
        <v>108041</v>
      </c>
      <c r="B3722" s="1" t="n">
        <v>45977</v>
      </c>
      <c r="C3722" t="inlineStr">
        <is>
          <t>S03</t>
        </is>
      </c>
      <c r="D3722" t="inlineStr">
        <is>
          <t>P301</t>
        </is>
      </c>
      <c r="E3722" t="n">
        <v>1</v>
      </c>
      <c r="F3722" t="n">
        <v>119</v>
      </c>
      <c r="G3722" t="n">
        <v>0.1</v>
      </c>
      <c r="H3722">
        <f>E3722*F3722*(1-G3722)</f>
        <v/>
      </c>
      <c r="I3722">
        <f>XLOOKUP(D3722,Products!$A$2:$A$15,Products!$B$2:$B$15,"Not found")</f>
        <v/>
      </c>
    </row>
    <row r="3723">
      <c r="A3723" t="n">
        <v>108042</v>
      </c>
      <c r="B3723" s="1" t="n">
        <v>45977</v>
      </c>
      <c r="C3723" t="inlineStr">
        <is>
          <t>S04</t>
        </is>
      </c>
      <c r="D3723" t="inlineStr">
        <is>
          <t>P302</t>
        </is>
      </c>
      <c r="E3723" t="n">
        <v>3</v>
      </c>
      <c r="F3723" t="n">
        <v>24</v>
      </c>
      <c r="G3723" t="n">
        <v>0</v>
      </c>
      <c r="H3723">
        <f>E3723*F3723*(1-G3723)</f>
        <v/>
      </c>
      <c r="I3723">
        <f>XLOOKUP(D3723,Products!$A$2:$A$15,Products!$B$2:$B$15,"Not found")</f>
        <v/>
      </c>
    </row>
    <row r="3724">
      <c r="A3724" t="n">
        <v>108043</v>
      </c>
      <c r="B3724" s="1" t="n">
        <v>45977</v>
      </c>
      <c r="C3724" t="inlineStr">
        <is>
          <t>S04</t>
        </is>
      </c>
      <c r="D3724" t="inlineStr">
        <is>
          <t>P103</t>
        </is>
      </c>
      <c r="E3724" t="n">
        <v>1</v>
      </c>
      <c r="F3724" t="n">
        <v>29</v>
      </c>
      <c r="G3724" t="n">
        <v>0</v>
      </c>
      <c r="H3724">
        <f>E3724*F3724*(1-G3724)</f>
        <v/>
      </c>
      <c r="I3724">
        <f>XLOOKUP(D3724,Products!$A$2:$A$15,Products!$B$2:$B$15,"Not found")</f>
        <v/>
      </c>
    </row>
    <row r="3725">
      <c r="A3725" t="n">
        <v>108044</v>
      </c>
      <c r="B3725" s="1" t="n">
        <v>45977</v>
      </c>
      <c r="C3725" t="inlineStr">
        <is>
          <t>S04</t>
        </is>
      </c>
      <c r="D3725" t="inlineStr">
        <is>
          <t>P201</t>
        </is>
      </c>
      <c r="E3725" t="n">
        <v>1</v>
      </c>
      <c r="F3725" t="n">
        <v>149</v>
      </c>
      <c r="G3725" t="n">
        <v>0</v>
      </c>
      <c r="H3725">
        <f>E3725*F3725*(1-G3725)</f>
        <v/>
      </c>
      <c r="I3725">
        <f>XLOOKUP(D3725,Products!$A$2:$A$15,Products!$B$2:$B$15,"Not found")</f>
        <v/>
      </c>
    </row>
    <row r="3726">
      <c r="A3726" t="n">
        <v>108045</v>
      </c>
      <c r="B3726" s="1" t="n">
        <v>45977</v>
      </c>
      <c r="C3726" t="inlineStr">
        <is>
          <t>S05</t>
        </is>
      </c>
      <c r="D3726" t="inlineStr">
        <is>
          <t>P303</t>
        </is>
      </c>
      <c r="E3726" t="n">
        <v>1</v>
      </c>
      <c r="F3726" t="n">
        <v>12</v>
      </c>
      <c r="G3726" t="n">
        <v>0.15</v>
      </c>
      <c r="H3726">
        <f>E3726*F3726*(1-G3726)</f>
        <v/>
      </c>
      <c r="I3726">
        <f>XLOOKUP(D3726,Products!$A$2:$A$15,Products!$B$2:$B$15,"Not found")</f>
        <v/>
      </c>
    </row>
    <row r="3727">
      <c r="A3727" t="n">
        <v>108046</v>
      </c>
      <c r="B3727" s="1" t="n">
        <v>45977</v>
      </c>
      <c r="C3727" t="inlineStr">
        <is>
          <t>S05</t>
        </is>
      </c>
      <c r="D3727" t="inlineStr">
        <is>
          <t>P203</t>
        </is>
      </c>
      <c r="E3727" t="n">
        <v>1</v>
      </c>
      <c r="F3727" t="n">
        <v>19.5</v>
      </c>
      <c r="G3727" t="n">
        <v>0.1</v>
      </c>
      <c r="H3727">
        <f>E3727*F3727*(1-G3727)</f>
        <v/>
      </c>
      <c r="I3727">
        <f>XLOOKUP(D3727,Products!$A$2:$A$15,Products!$B$2:$B$15,"Not found")</f>
        <v/>
      </c>
    </row>
    <row r="3728">
      <c r="A3728" t="n">
        <v>108047</v>
      </c>
      <c r="B3728" s="1" t="n">
        <v>45977</v>
      </c>
      <c r="C3728" t="inlineStr">
        <is>
          <t>S05</t>
        </is>
      </c>
      <c r="D3728" t="inlineStr">
        <is>
          <t>P101</t>
        </is>
      </c>
      <c r="E3728" t="n">
        <v>1</v>
      </c>
      <c r="F3728" t="n">
        <v>39</v>
      </c>
      <c r="G3728" t="n">
        <v>0.1</v>
      </c>
      <c r="H3728">
        <f>E3728*F3728*(1-G3728)</f>
        <v/>
      </c>
      <c r="I3728">
        <f>XLOOKUP(D3728,Products!$A$2:$A$15,Products!$B$2:$B$15,"Not found")</f>
        <v/>
      </c>
    </row>
    <row r="3729">
      <c r="A3729" t="n">
        <v>108048</v>
      </c>
      <c r="B3729" s="1" t="n">
        <v>45977</v>
      </c>
      <c r="C3729" t="inlineStr">
        <is>
          <t>S06</t>
        </is>
      </c>
      <c r="D3729" t="inlineStr">
        <is>
          <t>P303</t>
        </is>
      </c>
      <c r="E3729" t="n">
        <v>2</v>
      </c>
      <c r="F3729" t="n">
        <v>12</v>
      </c>
      <c r="G3729" t="n">
        <v>0.15</v>
      </c>
      <c r="H3729">
        <f>E3729*F3729*(1-G3729)</f>
        <v/>
      </c>
      <c r="I3729">
        <f>XLOOKUP(D3729,Products!$A$2:$A$15,Products!$B$2:$B$15,"Not found")</f>
        <v/>
      </c>
    </row>
    <row r="3730">
      <c r="A3730" t="n">
        <v>108049</v>
      </c>
      <c r="B3730" s="1" t="n">
        <v>45978</v>
      </c>
      <c r="C3730" t="inlineStr">
        <is>
          <t>S01</t>
        </is>
      </c>
      <c r="D3730" t="inlineStr">
        <is>
          <t>P104</t>
        </is>
      </c>
      <c r="E3730" t="n">
        <v>1</v>
      </c>
      <c r="F3730" t="n">
        <v>189</v>
      </c>
      <c r="G3730" t="n">
        <v>0.15</v>
      </c>
      <c r="H3730">
        <f>E3730*F3730*(1-G3730)</f>
        <v/>
      </c>
      <c r="I3730">
        <f>XLOOKUP(D3730,Products!$A$2:$A$15,Products!$B$2:$B$15,"Not found")</f>
        <v/>
      </c>
    </row>
    <row r="3731">
      <c r="A3731" t="n">
        <v>108050</v>
      </c>
      <c r="B3731" s="1" t="n">
        <v>45978</v>
      </c>
      <c r="C3731" t="inlineStr">
        <is>
          <t>S01</t>
        </is>
      </c>
      <c r="D3731" t="inlineStr">
        <is>
          <t>P203</t>
        </is>
      </c>
      <c r="E3731" t="n">
        <v>1</v>
      </c>
      <c r="F3731" t="n">
        <v>19.5</v>
      </c>
      <c r="G3731" t="n">
        <v>0</v>
      </c>
      <c r="H3731">
        <f>E3731*F3731*(1-G3731)</f>
        <v/>
      </c>
      <c r="I3731">
        <f>XLOOKUP(D3731,Products!$A$2:$A$15,Products!$B$2:$B$15,"Not found")</f>
        <v/>
      </c>
    </row>
    <row r="3732">
      <c r="A3732" t="n">
        <v>108051</v>
      </c>
      <c r="B3732" s="1" t="n">
        <v>45978</v>
      </c>
      <c r="C3732" t="inlineStr">
        <is>
          <t>S01</t>
        </is>
      </c>
      <c r="D3732" t="inlineStr">
        <is>
          <t>P102</t>
        </is>
      </c>
      <c r="E3732" t="n">
        <v>3</v>
      </c>
      <c r="F3732" t="n">
        <v>14.5</v>
      </c>
      <c r="G3732" t="n">
        <v>0</v>
      </c>
      <c r="H3732">
        <f>E3732*F3732*(1-G3732)</f>
        <v/>
      </c>
      <c r="I3732">
        <f>XLOOKUP(D3732,Products!$A$2:$A$15,Products!$B$2:$B$15,"Not found")</f>
        <v/>
      </c>
    </row>
    <row r="3733">
      <c r="A3733" t="n">
        <v>108052</v>
      </c>
      <c r="B3733" s="1" t="n">
        <v>45978</v>
      </c>
      <c r="C3733" t="inlineStr">
        <is>
          <t>S01</t>
        </is>
      </c>
      <c r="D3733" t="inlineStr">
        <is>
          <t>P303</t>
        </is>
      </c>
      <c r="E3733" t="n">
        <v>1</v>
      </c>
      <c r="F3733" t="n">
        <v>12</v>
      </c>
      <c r="G3733" t="n">
        <v>0</v>
      </c>
      <c r="H3733">
        <f>E3733*F3733*(1-G3733)</f>
        <v/>
      </c>
      <c r="I3733">
        <f>XLOOKUP(D3733,Products!$A$2:$A$15,Products!$B$2:$B$15,"Not found")</f>
        <v/>
      </c>
    </row>
    <row r="3734">
      <c r="A3734" t="n">
        <v>108053</v>
      </c>
      <c r="B3734" s="1" t="n">
        <v>45978</v>
      </c>
      <c r="C3734" t="inlineStr">
        <is>
          <t>S01</t>
        </is>
      </c>
      <c r="D3734" t="inlineStr">
        <is>
          <t>P203</t>
        </is>
      </c>
      <c r="E3734" t="n">
        <v>2</v>
      </c>
      <c r="F3734" t="n">
        <v>19.5</v>
      </c>
      <c r="G3734" t="n">
        <v>0</v>
      </c>
      <c r="H3734">
        <f>E3734*F3734*(1-G3734)</f>
        <v/>
      </c>
      <c r="I3734">
        <f>XLOOKUP(D3734,Products!$A$2:$A$15,Products!$B$2:$B$15,"Not found")</f>
        <v/>
      </c>
    </row>
    <row r="3735">
      <c r="A3735" t="n">
        <v>108054</v>
      </c>
      <c r="B3735" s="1" t="n">
        <v>45978</v>
      </c>
      <c r="C3735" t="inlineStr">
        <is>
          <t>S01</t>
        </is>
      </c>
      <c r="D3735" t="inlineStr">
        <is>
          <t>P103</t>
        </is>
      </c>
      <c r="E3735" t="n">
        <v>4</v>
      </c>
      <c r="F3735" t="n">
        <v>29</v>
      </c>
      <c r="G3735" t="n">
        <v>0.1</v>
      </c>
      <c r="H3735">
        <f>E3735*F3735*(1-G3735)</f>
        <v/>
      </c>
      <c r="I3735">
        <f>XLOOKUP(D3735,Products!$A$2:$A$15,Products!$B$2:$B$15,"Not found")</f>
        <v/>
      </c>
    </row>
    <row r="3736">
      <c r="A3736" t="n">
        <v>108055</v>
      </c>
      <c r="B3736" s="1" t="n">
        <v>45978</v>
      </c>
      <c r="C3736" t="inlineStr">
        <is>
          <t>S01</t>
        </is>
      </c>
      <c r="D3736" t="inlineStr">
        <is>
          <t>P401</t>
        </is>
      </c>
      <c r="E3736" t="n">
        <v>1</v>
      </c>
      <c r="F3736" t="n">
        <v>549</v>
      </c>
      <c r="G3736" t="n">
        <v>0.1</v>
      </c>
      <c r="H3736">
        <f>E3736*F3736*(1-G3736)</f>
        <v/>
      </c>
      <c r="I3736">
        <f>XLOOKUP(D3736,Products!$A$2:$A$15,Products!$B$2:$B$15,"Not found")</f>
        <v/>
      </c>
    </row>
    <row r="3737">
      <c r="A3737" t="n">
        <v>108056</v>
      </c>
      <c r="B3737" s="1" t="n">
        <v>45978</v>
      </c>
      <c r="C3737" t="inlineStr">
        <is>
          <t>S01</t>
        </is>
      </c>
      <c r="D3737" t="inlineStr">
        <is>
          <t>P203</t>
        </is>
      </c>
      <c r="E3737" t="n">
        <v>1</v>
      </c>
      <c r="F3737" t="n">
        <v>19.5</v>
      </c>
      <c r="G3737" t="n">
        <v>0.1</v>
      </c>
      <c r="H3737">
        <f>E3737*F3737*(1-G3737)</f>
        <v/>
      </c>
      <c r="I3737">
        <f>XLOOKUP(D3737,Products!$A$2:$A$15,Products!$B$2:$B$15,"Not found")</f>
        <v/>
      </c>
    </row>
    <row r="3738">
      <c r="A3738" t="n">
        <v>108057</v>
      </c>
      <c r="B3738" s="1" t="n">
        <v>45978</v>
      </c>
      <c r="C3738" t="inlineStr">
        <is>
          <t>S02</t>
        </is>
      </c>
      <c r="D3738" t="inlineStr">
        <is>
          <t>P302</t>
        </is>
      </c>
      <c r="E3738" t="n">
        <v>3</v>
      </c>
      <c r="F3738" t="n">
        <v>24</v>
      </c>
      <c r="G3738" t="n">
        <v>0.1</v>
      </c>
      <c r="H3738">
        <f>E3738*F3738*(1-G3738)</f>
        <v/>
      </c>
      <c r="I3738">
        <f>XLOOKUP(D3738,Products!$A$2:$A$15,Products!$B$2:$B$15,"Not found")</f>
        <v/>
      </c>
    </row>
    <row r="3739">
      <c r="A3739" t="n">
        <v>108058</v>
      </c>
      <c r="B3739" s="1" t="n">
        <v>45978</v>
      </c>
      <c r="C3739" t="inlineStr">
        <is>
          <t>S02</t>
        </is>
      </c>
      <c r="D3739" t="inlineStr">
        <is>
          <t>P203</t>
        </is>
      </c>
      <c r="E3739" t="n">
        <v>1</v>
      </c>
      <c r="F3739" t="n">
        <v>19.5</v>
      </c>
      <c r="G3739" t="n">
        <v>0</v>
      </c>
      <c r="H3739">
        <f>E3739*F3739*(1-G3739)</f>
        <v/>
      </c>
      <c r="I3739">
        <f>XLOOKUP(D3739,Products!$A$2:$A$15,Products!$B$2:$B$15,"Not found")</f>
        <v/>
      </c>
    </row>
    <row r="3740">
      <c r="A3740" t="n">
        <v>108059</v>
      </c>
      <c r="B3740" s="1" t="n">
        <v>45978</v>
      </c>
      <c r="C3740" t="inlineStr">
        <is>
          <t>S02</t>
        </is>
      </c>
      <c r="D3740" t="inlineStr">
        <is>
          <t>P101</t>
        </is>
      </c>
      <c r="E3740" t="n">
        <v>3</v>
      </c>
      <c r="F3740" t="n">
        <v>39</v>
      </c>
      <c r="G3740" t="n">
        <v>0</v>
      </c>
      <c r="H3740">
        <f>E3740*F3740*(1-G3740)</f>
        <v/>
      </c>
      <c r="I3740">
        <f>XLOOKUP(D3740,Products!$A$2:$A$15,Products!$B$2:$B$15,"Not found")</f>
        <v/>
      </c>
    </row>
    <row r="3741">
      <c r="A3741" t="n">
        <v>108060</v>
      </c>
      <c r="B3741" s="1" t="n">
        <v>45978</v>
      </c>
      <c r="C3741" t="inlineStr">
        <is>
          <t>S03</t>
        </is>
      </c>
      <c r="D3741" t="inlineStr">
        <is>
          <t>P103</t>
        </is>
      </c>
      <c r="E3741" t="n">
        <v>1</v>
      </c>
      <c r="F3741" t="n">
        <v>29</v>
      </c>
      <c r="G3741" t="n">
        <v>0</v>
      </c>
      <c r="H3741">
        <f>E3741*F3741*(1-G3741)</f>
        <v/>
      </c>
      <c r="I3741">
        <f>XLOOKUP(D3741,Products!$A$2:$A$15,Products!$B$2:$B$15,"Not found")</f>
        <v/>
      </c>
    </row>
    <row r="3742">
      <c r="A3742" t="n">
        <v>108061</v>
      </c>
      <c r="B3742" s="1" t="n">
        <v>45978</v>
      </c>
      <c r="C3742" t="inlineStr">
        <is>
          <t>S04</t>
        </is>
      </c>
      <c r="D3742" t="inlineStr">
        <is>
          <t>P302</t>
        </is>
      </c>
      <c r="E3742" t="n">
        <v>2</v>
      </c>
      <c r="F3742" t="n">
        <v>24</v>
      </c>
      <c r="G3742" t="n">
        <v>0.1</v>
      </c>
      <c r="H3742">
        <f>E3742*F3742*(1-G3742)</f>
        <v/>
      </c>
      <c r="I3742">
        <f>XLOOKUP(D3742,Products!$A$2:$A$15,Products!$B$2:$B$15,"Not found")</f>
        <v/>
      </c>
    </row>
    <row r="3743">
      <c r="A3743" t="n">
        <v>108062</v>
      </c>
      <c r="B3743" s="1" t="n">
        <v>45978</v>
      </c>
      <c r="C3743" t="inlineStr">
        <is>
          <t>S04</t>
        </is>
      </c>
      <c r="D3743" t="inlineStr">
        <is>
          <t>P101</t>
        </is>
      </c>
      <c r="E3743" t="n">
        <v>4</v>
      </c>
      <c r="F3743" t="n">
        <v>39</v>
      </c>
      <c r="G3743" t="n">
        <v>0.2</v>
      </c>
      <c r="H3743">
        <f>E3743*F3743*(1-G3743)</f>
        <v/>
      </c>
      <c r="I3743">
        <f>XLOOKUP(D3743,Products!$A$2:$A$15,Products!$B$2:$B$15,"Not found")</f>
        <v/>
      </c>
    </row>
    <row r="3744">
      <c r="A3744" t="n">
        <v>108063</v>
      </c>
      <c r="B3744" s="1" t="n">
        <v>45978</v>
      </c>
      <c r="C3744" t="inlineStr">
        <is>
          <t>S04</t>
        </is>
      </c>
      <c r="D3744" t="inlineStr">
        <is>
          <t>P302</t>
        </is>
      </c>
      <c r="E3744" t="n">
        <v>3</v>
      </c>
      <c r="F3744" t="n">
        <v>24</v>
      </c>
      <c r="G3744" t="n">
        <v>0.1</v>
      </c>
      <c r="H3744">
        <f>E3744*F3744*(1-G3744)</f>
        <v/>
      </c>
      <c r="I3744">
        <f>XLOOKUP(D3744,Products!$A$2:$A$15,Products!$B$2:$B$15,"Not found")</f>
        <v/>
      </c>
    </row>
    <row r="3745">
      <c r="A3745" t="n">
        <v>108064</v>
      </c>
      <c r="B3745" s="1" t="n">
        <v>45978</v>
      </c>
      <c r="C3745" t="inlineStr">
        <is>
          <t>S05</t>
        </is>
      </c>
      <c r="D3745" t="inlineStr">
        <is>
          <t>P102</t>
        </is>
      </c>
      <c r="E3745" t="n">
        <v>1</v>
      </c>
      <c r="F3745" t="n">
        <v>14.5</v>
      </c>
      <c r="G3745" t="n">
        <v>0.2</v>
      </c>
      <c r="H3745">
        <f>E3745*F3745*(1-G3745)</f>
        <v/>
      </c>
      <c r="I3745">
        <f>XLOOKUP(D3745,Products!$A$2:$A$15,Products!$B$2:$B$15,"Not found")</f>
        <v/>
      </c>
    </row>
    <row r="3746">
      <c r="A3746" t="n">
        <v>108065</v>
      </c>
      <c r="B3746" s="1" t="n">
        <v>45978</v>
      </c>
      <c r="C3746" t="inlineStr">
        <is>
          <t>S05</t>
        </is>
      </c>
      <c r="D3746" t="inlineStr">
        <is>
          <t>P101</t>
        </is>
      </c>
      <c r="E3746" t="n">
        <v>1</v>
      </c>
      <c r="F3746" t="n">
        <v>39</v>
      </c>
      <c r="G3746" t="n">
        <v>0.1</v>
      </c>
      <c r="H3746">
        <f>E3746*F3746*(1-G3746)</f>
        <v/>
      </c>
      <c r="I3746">
        <f>XLOOKUP(D3746,Products!$A$2:$A$15,Products!$B$2:$B$15,"Not found")</f>
        <v/>
      </c>
    </row>
    <row r="3747">
      <c r="A3747" t="n">
        <v>108066</v>
      </c>
      <c r="B3747" s="1" t="n">
        <v>45978</v>
      </c>
      <c r="C3747" t="inlineStr">
        <is>
          <t>S05</t>
        </is>
      </c>
      <c r="D3747" t="inlineStr">
        <is>
          <t>P102</t>
        </is>
      </c>
      <c r="E3747" t="n">
        <v>2</v>
      </c>
      <c r="F3747" t="n">
        <v>14.5</v>
      </c>
      <c r="G3747" t="n">
        <v>0</v>
      </c>
      <c r="H3747">
        <f>E3747*F3747*(1-G3747)</f>
        <v/>
      </c>
      <c r="I3747">
        <f>XLOOKUP(D3747,Products!$A$2:$A$15,Products!$B$2:$B$15,"Not found")</f>
        <v/>
      </c>
    </row>
    <row r="3748">
      <c r="A3748" t="n">
        <v>108067</v>
      </c>
      <c r="B3748" s="1" t="n">
        <v>45978</v>
      </c>
      <c r="C3748" t="inlineStr">
        <is>
          <t>S06</t>
        </is>
      </c>
      <c r="D3748" t="inlineStr">
        <is>
          <t>P301</t>
        </is>
      </c>
      <c r="E3748" t="n">
        <v>1</v>
      </c>
      <c r="F3748" t="n">
        <v>119</v>
      </c>
      <c r="G3748" t="n">
        <v>0.2</v>
      </c>
      <c r="H3748">
        <f>E3748*F3748*(1-G3748)</f>
        <v/>
      </c>
      <c r="I3748">
        <f>XLOOKUP(D3748,Products!$A$2:$A$15,Products!$B$2:$B$15,"Not found")</f>
        <v/>
      </c>
    </row>
    <row r="3749">
      <c r="A3749" t="n">
        <v>108068</v>
      </c>
      <c r="B3749" s="1" t="n">
        <v>45978</v>
      </c>
      <c r="C3749" t="inlineStr">
        <is>
          <t>S06</t>
        </is>
      </c>
      <c r="D3749" t="inlineStr">
        <is>
          <t>P303</t>
        </is>
      </c>
      <c r="E3749" t="n">
        <v>1</v>
      </c>
      <c r="F3749" t="n">
        <v>12</v>
      </c>
      <c r="G3749" t="n">
        <v>0</v>
      </c>
      <c r="H3749">
        <f>E3749*F3749*(1-G3749)</f>
        <v/>
      </c>
      <c r="I3749">
        <f>XLOOKUP(D3749,Products!$A$2:$A$15,Products!$B$2:$B$15,"Not found")</f>
        <v/>
      </c>
    </row>
    <row r="3750">
      <c r="A3750" t="n">
        <v>108069</v>
      </c>
      <c r="B3750" s="1" t="n">
        <v>45978</v>
      </c>
      <c r="C3750" t="inlineStr">
        <is>
          <t>S06</t>
        </is>
      </c>
      <c r="D3750" t="inlineStr">
        <is>
          <t>P303</t>
        </is>
      </c>
      <c r="E3750" t="n">
        <v>2</v>
      </c>
      <c r="F3750" t="n">
        <v>12</v>
      </c>
      <c r="G3750" t="n">
        <v>0</v>
      </c>
      <c r="H3750">
        <f>E3750*F3750*(1-G3750)</f>
        <v/>
      </c>
      <c r="I3750">
        <f>XLOOKUP(D3750,Products!$A$2:$A$15,Products!$B$2:$B$15,"Not found")</f>
        <v/>
      </c>
    </row>
    <row r="3751">
      <c r="A3751" t="n">
        <v>108070</v>
      </c>
      <c r="B3751" s="1" t="n">
        <v>45979</v>
      </c>
      <c r="C3751" t="inlineStr">
        <is>
          <t>S01</t>
        </is>
      </c>
      <c r="D3751" t="inlineStr">
        <is>
          <t>P103</t>
        </is>
      </c>
      <c r="E3751" t="n">
        <v>2</v>
      </c>
      <c r="F3751" t="n">
        <v>29</v>
      </c>
      <c r="G3751" t="n">
        <v>0</v>
      </c>
      <c r="H3751">
        <f>E3751*F3751*(1-G3751)</f>
        <v/>
      </c>
      <c r="I3751">
        <f>XLOOKUP(D3751,Products!$A$2:$A$15,Products!$B$2:$B$15,"Not found")</f>
        <v/>
      </c>
    </row>
    <row r="3752">
      <c r="A3752" t="n">
        <v>108071</v>
      </c>
      <c r="B3752" s="1" t="n">
        <v>45979</v>
      </c>
      <c r="C3752" t="inlineStr">
        <is>
          <t>S01</t>
        </is>
      </c>
      <c r="D3752" t="inlineStr">
        <is>
          <t>P201</t>
        </is>
      </c>
      <c r="E3752" t="n">
        <v>1</v>
      </c>
      <c r="F3752" t="n">
        <v>149</v>
      </c>
      <c r="G3752" t="n">
        <v>0</v>
      </c>
      <c r="H3752">
        <f>E3752*F3752*(1-G3752)</f>
        <v/>
      </c>
      <c r="I3752">
        <f>XLOOKUP(D3752,Products!$A$2:$A$15,Products!$B$2:$B$15,"Not found")</f>
        <v/>
      </c>
    </row>
    <row r="3753">
      <c r="A3753" t="n">
        <v>108072</v>
      </c>
      <c r="B3753" s="1" t="n">
        <v>45979</v>
      </c>
      <c r="C3753" t="inlineStr">
        <is>
          <t>S02</t>
        </is>
      </c>
      <c r="D3753" t="inlineStr">
        <is>
          <t>P101</t>
        </is>
      </c>
      <c r="E3753" t="n">
        <v>1</v>
      </c>
      <c r="F3753" t="n">
        <v>39</v>
      </c>
      <c r="G3753" t="n">
        <v>0</v>
      </c>
      <c r="H3753">
        <f>E3753*F3753*(1-G3753)</f>
        <v/>
      </c>
      <c r="I3753">
        <f>XLOOKUP(D3753,Products!$A$2:$A$15,Products!$B$2:$B$15,"Not found")</f>
        <v/>
      </c>
    </row>
    <row r="3754">
      <c r="A3754" t="n">
        <v>108073</v>
      </c>
      <c r="B3754" s="1" t="n">
        <v>45979</v>
      </c>
      <c r="C3754" t="inlineStr">
        <is>
          <t>S02</t>
        </is>
      </c>
      <c r="D3754" t="inlineStr">
        <is>
          <t>P303</t>
        </is>
      </c>
      <c r="E3754" t="n">
        <v>1</v>
      </c>
      <c r="F3754" t="n">
        <v>12</v>
      </c>
      <c r="G3754" t="n">
        <v>0</v>
      </c>
      <c r="H3754">
        <f>E3754*F3754*(1-G3754)</f>
        <v/>
      </c>
      <c r="I3754">
        <f>XLOOKUP(D3754,Products!$A$2:$A$15,Products!$B$2:$B$15,"Not found")</f>
        <v/>
      </c>
    </row>
    <row r="3755">
      <c r="A3755" t="n">
        <v>108074</v>
      </c>
      <c r="B3755" s="1" t="n">
        <v>45979</v>
      </c>
      <c r="C3755" t="inlineStr">
        <is>
          <t>S02</t>
        </is>
      </c>
      <c r="D3755" t="inlineStr">
        <is>
          <t>P101</t>
        </is>
      </c>
      <c r="E3755" t="n">
        <v>3</v>
      </c>
      <c r="F3755" t="n">
        <v>39</v>
      </c>
      <c r="G3755" t="n">
        <v>0.15</v>
      </c>
      <c r="H3755">
        <f>E3755*F3755*(1-G3755)</f>
        <v/>
      </c>
      <c r="I3755">
        <f>XLOOKUP(D3755,Products!$A$2:$A$15,Products!$B$2:$B$15,"Not found")</f>
        <v/>
      </c>
    </row>
    <row r="3756">
      <c r="A3756" t="n">
        <v>108075</v>
      </c>
      <c r="B3756" s="1" t="n">
        <v>45979</v>
      </c>
      <c r="C3756" t="inlineStr">
        <is>
          <t>S02</t>
        </is>
      </c>
      <c r="D3756" t="inlineStr">
        <is>
          <t>P302</t>
        </is>
      </c>
      <c r="E3756" t="n">
        <v>1</v>
      </c>
      <c r="F3756" t="n">
        <v>24</v>
      </c>
      <c r="G3756" t="n">
        <v>0</v>
      </c>
      <c r="H3756">
        <f>E3756*F3756*(1-G3756)</f>
        <v/>
      </c>
      <c r="I3756">
        <f>XLOOKUP(D3756,Products!$A$2:$A$15,Products!$B$2:$B$15,"Not found")</f>
        <v/>
      </c>
    </row>
    <row r="3757">
      <c r="A3757" t="n">
        <v>108076</v>
      </c>
      <c r="B3757" s="1" t="n">
        <v>45979</v>
      </c>
      <c r="C3757" t="inlineStr">
        <is>
          <t>S02</t>
        </is>
      </c>
      <c r="D3757" t="inlineStr">
        <is>
          <t>P101</t>
        </is>
      </c>
      <c r="E3757" t="n">
        <v>3</v>
      </c>
      <c r="F3757" t="n">
        <v>39</v>
      </c>
      <c r="G3757" t="n">
        <v>0</v>
      </c>
      <c r="H3757">
        <f>E3757*F3757*(1-G3757)</f>
        <v/>
      </c>
      <c r="I3757">
        <f>XLOOKUP(D3757,Products!$A$2:$A$15,Products!$B$2:$B$15,"Not found")</f>
        <v/>
      </c>
    </row>
    <row r="3758">
      <c r="A3758" t="n">
        <v>108077</v>
      </c>
      <c r="B3758" s="1" t="n">
        <v>45979</v>
      </c>
      <c r="C3758" t="inlineStr">
        <is>
          <t>S03</t>
        </is>
      </c>
      <c r="D3758" t="inlineStr">
        <is>
          <t>P104</t>
        </is>
      </c>
      <c r="E3758" t="n">
        <v>1</v>
      </c>
      <c r="F3758" t="n">
        <v>189</v>
      </c>
      <c r="G3758" t="n">
        <v>0.2</v>
      </c>
      <c r="H3758">
        <f>E3758*F3758*(1-G3758)</f>
        <v/>
      </c>
      <c r="I3758">
        <f>XLOOKUP(D3758,Products!$A$2:$A$15,Products!$B$2:$B$15,"Not found")</f>
        <v/>
      </c>
    </row>
    <row r="3759">
      <c r="A3759" t="n">
        <v>108078</v>
      </c>
      <c r="B3759" s="1" t="n">
        <v>45979</v>
      </c>
      <c r="C3759" t="inlineStr">
        <is>
          <t>S04</t>
        </is>
      </c>
      <c r="D3759" t="inlineStr">
        <is>
          <t>P102</t>
        </is>
      </c>
      <c r="E3759" t="n">
        <v>2</v>
      </c>
      <c r="F3759" t="n">
        <v>14.5</v>
      </c>
      <c r="G3759" t="n">
        <v>0</v>
      </c>
      <c r="H3759">
        <f>E3759*F3759*(1-G3759)</f>
        <v/>
      </c>
      <c r="I3759">
        <f>XLOOKUP(D3759,Products!$A$2:$A$15,Products!$B$2:$B$15,"Not found")</f>
        <v/>
      </c>
    </row>
    <row r="3760">
      <c r="A3760" t="n">
        <v>108079</v>
      </c>
      <c r="B3760" s="1" t="n">
        <v>45979</v>
      </c>
      <c r="C3760" t="inlineStr">
        <is>
          <t>S04</t>
        </is>
      </c>
      <c r="D3760" t="inlineStr">
        <is>
          <t>P302</t>
        </is>
      </c>
      <c r="E3760" t="n">
        <v>1</v>
      </c>
      <c r="F3760" t="n">
        <v>24</v>
      </c>
      <c r="G3760" t="n">
        <v>0.1</v>
      </c>
      <c r="H3760">
        <f>E3760*F3760*(1-G3760)</f>
        <v/>
      </c>
      <c r="I3760">
        <f>XLOOKUP(D3760,Products!$A$2:$A$15,Products!$B$2:$B$15,"Not found")</f>
        <v/>
      </c>
    </row>
    <row r="3761">
      <c r="A3761" t="n">
        <v>108080</v>
      </c>
      <c r="B3761" s="1" t="n">
        <v>45979</v>
      </c>
      <c r="C3761" t="inlineStr">
        <is>
          <t>S04</t>
        </is>
      </c>
      <c r="D3761" t="inlineStr">
        <is>
          <t>P103</t>
        </is>
      </c>
      <c r="E3761" t="n">
        <v>1</v>
      </c>
      <c r="F3761" t="n">
        <v>29</v>
      </c>
      <c r="G3761" t="n">
        <v>0</v>
      </c>
      <c r="H3761">
        <f>E3761*F3761*(1-G3761)</f>
        <v/>
      </c>
      <c r="I3761">
        <f>XLOOKUP(D3761,Products!$A$2:$A$15,Products!$B$2:$B$15,"Not found")</f>
        <v/>
      </c>
    </row>
    <row r="3762">
      <c r="A3762" t="n">
        <v>108081</v>
      </c>
      <c r="B3762" s="1" t="n">
        <v>45979</v>
      </c>
      <c r="C3762" t="inlineStr">
        <is>
          <t>S04</t>
        </is>
      </c>
      <c r="D3762" t="inlineStr">
        <is>
          <t>P303</t>
        </is>
      </c>
      <c r="E3762" t="n">
        <v>3</v>
      </c>
      <c r="F3762" t="n">
        <v>12</v>
      </c>
      <c r="G3762" t="n">
        <v>0.1</v>
      </c>
      <c r="H3762">
        <f>E3762*F3762*(1-G3762)</f>
        <v/>
      </c>
      <c r="I3762">
        <f>XLOOKUP(D3762,Products!$A$2:$A$15,Products!$B$2:$B$15,"Not found")</f>
        <v/>
      </c>
    </row>
    <row r="3763">
      <c r="A3763" t="n">
        <v>108082</v>
      </c>
      <c r="B3763" s="1" t="n">
        <v>45979</v>
      </c>
      <c r="C3763" t="inlineStr">
        <is>
          <t>S05</t>
        </is>
      </c>
      <c r="D3763" t="inlineStr">
        <is>
          <t>P102</t>
        </is>
      </c>
      <c r="E3763" t="n">
        <v>1</v>
      </c>
      <c r="F3763" t="n">
        <v>14.5</v>
      </c>
      <c r="G3763" t="n">
        <v>0</v>
      </c>
      <c r="H3763">
        <f>E3763*F3763*(1-G3763)</f>
        <v/>
      </c>
      <c r="I3763">
        <f>XLOOKUP(D3763,Products!$A$2:$A$15,Products!$B$2:$B$15,"Not found")</f>
        <v/>
      </c>
    </row>
    <row r="3764">
      <c r="A3764" t="n">
        <v>108083</v>
      </c>
      <c r="B3764" s="1" t="n">
        <v>45979</v>
      </c>
      <c r="C3764" t="inlineStr">
        <is>
          <t>S05</t>
        </is>
      </c>
      <c r="D3764" t="inlineStr">
        <is>
          <t>P104</t>
        </is>
      </c>
      <c r="E3764" t="n">
        <v>1</v>
      </c>
      <c r="F3764" t="n">
        <v>189</v>
      </c>
      <c r="G3764" t="n">
        <v>0.1</v>
      </c>
      <c r="H3764">
        <f>E3764*F3764*(1-G3764)</f>
        <v/>
      </c>
      <c r="I3764">
        <f>XLOOKUP(D3764,Products!$A$2:$A$15,Products!$B$2:$B$15,"Not found")</f>
        <v/>
      </c>
    </row>
    <row r="3765">
      <c r="A3765" t="n">
        <v>108084</v>
      </c>
      <c r="B3765" s="1" t="n">
        <v>45979</v>
      </c>
      <c r="C3765" t="inlineStr">
        <is>
          <t>S05</t>
        </is>
      </c>
      <c r="D3765" t="inlineStr">
        <is>
          <t>P303</t>
        </is>
      </c>
      <c r="E3765" t="n">
        <v>2</v>
      </c>
      <c r="F3765" t="n">
        <v>12</v>
      </c>
      <c r="G3765" t="n">
        <v>0</v>
      </c>
      <c r="H3765">
        <f>E3765*F3765*(1-G3765)</f>
        <v/>
      </c>
      <c r="I3765">
        <f>XLOOKUP(D3765,Products!$A$2:$A$15,Products!$B$2:$B$15,"Not found")</f>
        <v/>
      </c>
    </row>
    <row r="3766">
      <c r="A3766" t="n">
        <v>108085</v>
      </c>
      <c r="B3766" s="1" t="n">
        <v>45979</v>
      </c>
      <c r="C3766" t="inlineStr">
        <is>
          <t>S05</t>
        </is>
      </c>
      <c r="D3766" t="inlineStr">
        <is>
          <t>P102</t>
        </is>
      </c>
      <c r="E3766" t="n">
        <v>2</v>
      </c>
      <c r="F3766" t="n">
        <v>14.5</v>
      </c>
      <c r="G3766" t="n">
        <v>0</v>
      </c>
      <c r="H3766">
        <f>E3766*F3766*(1-G3766)</f>
        <v/>
      </c>
      <c r="I3766">
        <f>XLOOKUP(D3766,Products!$A$2:$A$15,Products!$B$2:$B$15,"Not found")</f>
        <v/>
      </c>
    </row>
    <row r="3767">
      <c r="A3767" t="n">
        <v>108086</v>
      </c>
      <c r="B3767" s="1" t="n">
        <v>45979</v>
      </c>
      <c r="C3767" t="inlineStr">
        <is>
          <t>S06</t>
        </is>
      </c>
      <c r="D3767" t="inlineStr">
        <is>
          <t>P102</t>
        </is>
      </c>
      <c r="E3767" t="n">
        <v>2</v>
      </c>
      <c r="F3767" t="n">
        <v>14.5</v>
      </c>
      <c r="G3767" t="n">
        <v>0.15</v>
      </c>
      <c r="H3767">
        <f>E3767*F3767*(1-G3767)</f>
        <v/>
      </c>
      <c r="I3767">
        <f>XLOOKUP(D3767,Products!$A$2:$A$15,Products!$B$2:$B$15,"Not found")</f>
        <v/>
      </c>
    </row>
    <row r="3768">
      <c r="A3768" t="n">
        <v>108087</v>
      </c>
      <c r="B3768" s="1" t="n">
        <v>45979</v>
      </c>
      <c r="C3768" t="inlineStr">
        <is>
          <t>S06</t>
        </is>
      </c>
      <c r="D3768" t="inlineStr">
        <is>
          <t>P101</t>
        </is>
      </c>
      <c r="E3768" t="n">
        <v>2</v>
      </c>
      <c r="F3768" t="n">
        <v>39</v>
      </c>
      <c r="G3768" t="n">
        <v>0</v>
      </c>
      <c r="H3768">
        <f>E3768*F3768*(1-G3768)</f>
        <v/>
      </c>
      <c r="I3768">
        <f>XLOOKUP(D3768,Products!$A$2:$A$15,Products!$B$2:$B$15,"Not found")</f>
        <v/>
      </c>
    </row>
    <row r="3769">
      <c r="A3769" t="n">
        <v>108088</v>
      </c>
      <c r="B3769" s="1" t="n">
        <v>45980</v>
      </c>
      <c r="C3769" t="inlineStr">
        <is>
          <t>S01</t>
        </is>
      </c>
      <c r="D3769" t="inlineStr">
        <is>
          <t>P201</t>
        </is>
      </c>
      <c r="E3769" t="n">
        <v>1</v>
      </c>
      <c r="F3769" t="n">
        <v>149</v>
      </c>
      <c r="G3769" t="n">
        <v>0.1</v>
      </c>
      <c r="H3769">
        <f>E3769*F3769*(1-G3769)</f>
        <v/>
      </c>
      <c r="I3769">
        <f>XLOOKUP(D3769,Products!$A$2:$A$15,Products!$B$2:$B$15,"Not found")</f>
        <v/>
      </c>
    </row>
    <row r="3770">
      <c r="A3770" t="n">
        <v>108089</v>
      </c>
      <c r="B3770" s="1" t="n">
        <v>45980</v>
      </c>
      <c r="C3770" t="inlineStr">
        <is>
          <t>S01</t>
        </is>
      </c>
      <c r="D3770" t="inlineStr">
        <is>
          <t>P201</t>
        </is>
      </c>
      <c r="E3770" t="n">
        <v>1</v>
      </c>
      <c r="F3770" t="n">
        <v>149</v>
      </c>
      <c r="G3770" t="n">
        <v>0</v>
      </c>
      <c r="H3770">
        <f>E3770*F3770*(1-G3770)</f>
        <v/>
      </c>
      <c r="I3770">
        <f>XLOOKUP(D3770,Products!$A$2:$A$15,Products!$B$2:$B$15,"Not found")</f>
        <v/>
      </c>
    </row>
    <row r="3771">
      <c r="A3771" t="n">
        <v>108090</v>
      </c>
      <c r="B3771" s="1" t="n">
        <v>45980</v>
      </c>
      <c r="C3771" t="inlineStr">
        <is>
          <t>S01</t>
        </is>
      </c>
      <c r="D3771" t="inlineStr">
        <is>
          <t>P302</t>
        </is>
      </c>
      <c r="E3771" t="n">
        <v>1</v>
      </c>
      <c r="F3771" t="n">
        <v>24</v>
      </c>
      <c r="G3771" t="n">
        <v>0</v>
      </c>
      <c r="H3771">
        <f>E3771*F3771*(1-G3771)</f>
        <v/>
      </c>
      <c r="I3771">
        <f>XLOOKUP(D3771,Products!$A$2:$A$15,Products!$B$2:$B$15,"Not found")</f>
        <v/>
      </c>
    </row>
    <row r="3772">
      <c r="A3772" t="n">
        <v>108091</v>
      </c>
      <c r="B3772" s="1" t="n">
        <v>45980</v>
      </c>
      <c r="C3772" t="inlineStr">
        <is>
          <t>S01</t>
        </is>
      </c>
      <c r="D3772" t="inlineStr">
        <is>
          <t>P103</t>
        </is>
      </c>
      <c r="E3772" t="n">
        <v>4</v>
      </c>
      <c r="F3772" t="n">
        <v>29</v>
      </c>
      <c r="G3772" t="n">
        <v>0</v>
      </c>
      <c r="H3772">
        <f>E3772*F3772*(1-G3772)</f>
        <v/>
      </c>
      <c r="I3772">
        <f>XLOOKUP(D3772,Products!$A$2:$A$15,Products!$B$2:$B$15,"Not found")</f>
        <v/>
      </c>
    </row>
    <row r="3773">
      <c r="A3773" t="n">
        <v>108092</v>
      </c>
      <c r="B3773" s="1" t="n">
        <v>45980</v>
      </c>
      <c r="C3773" t="inlineStr">
        <is>
          <t>S02</t>
        </is>
      </c>
      <c r="D3773" t="inlineStr">
        <is>
          <t>P101</t>
        </is>
      </c>
      <c r="E3773" t="n">
        <v>2</v>
      </c>
      <c r="F3773" t="n">
        <v>39</v>
      </c>
      <c r="G3773" t="n">
        <v>0</v>
      </c>
      <c r="H3773">
        <f>E3773*F3773*(1-G3773)</f>
        <v/>
      </c>
      <c r="I3773">
        <f>XLOOKUP(D3773,Products!$A$2:$A$15,Products!$B$2:$B$15,"Not found")</f>
        <v/>
      </c>
    </row>
    <row r="3774">
      <c r="A3774" t="n">
        <v>108093</v>
      </c>
      <c r="B3774" s="1" t="n">
        <v>45980</v>
      </c>
      <c r="C3774" t="inlineStr">
        <is>
          <t>S02</t>
        </is>
      </c>
      <c r="D3774" t="inlineStr">
        <is>
          <t>P102</t>
        </is>
      </c>
      <c r="E3774" t="n">
        <v>2</v>
      </c>
      <c r="F3774" t="n">
        <v>14.5</v>
      </c>
      <c r="G3774" t="n">
        <v>0</v>
      </c>
      <c r="H3774">
        <f>E3774*F3774*(1-G3774)</f>
        <v/>
      </c>
      <c r="I3774">
        <f>XLOOKUP(D3774,Products!$A$2:$A$15,Products!$B$2:$B$15,"Not found")</f>
        <v/>
      </c>
    </row>
    <row r="3775">
      <c r="A3775" t="n">
        <v>108094</v>
      </c>
      <c r="B3775" s="1" t="n">
        <v>45980</v>
      </c>
      <c r="C3775" t="inlineStr">
        <is>
          <t>S02</t>
        </is>
      </c>
      <c r="D3775" t="inlineStr">
        <is>
          <t>P303</t>
        </is>
      </c>
      <c r="E3775" t="n">
        <v>1</v>
      </c>
      <c r="F3775" t="n">
        <v>12</v>
      </c>
      <c r="G3775" t="n">
        <v>0.15</v>
      </c>
      <c r="H3775">
        <f>E3775*F3775*(1-G3775)</f>
        <v/>
      </c>
      <c r="I3775">
        <f>XLOOKUP(D3775,Products!$A$2:$A$15,Products!$B$2:$B$15,"Not found")</f>
        <v/>
      </c>
    </row>
    <row r="3776">
      <c r="A3776" t="n">
        <v>108095</v>
      </c>
      <c r="B3776" s="1" t="n">
        <v>45980</v>
      </c>
      <c r="C3776" t="inlineStr">
        <is>
          <t>S02</t>
        </is>
      </c>
      <c r="D3776" t="inlineStr">
        <is>
          <t>P203</t>
        </is>
      </c>
      <c r="E3776" t="n">
        <v>2</v>
      </c>
      <c r="F3776" t="n">
        <v>19.5</v>
      </c>
      <c r="G3776" t="n">
        <v>0</v>
      </c>
      <c r="H3776">
        <f>E3776*F3776*(1-G3776)</f>
        <v/>
      </c>
      <c r="I3776">
        <f>XLOOKUP(D3776,Products!$A$2:$A$15,Products!$B$2:$B$15,"Not found")</f>
        <v/>
      </c>
    </row>
    <row r="3777">
      <c r="A3777" t="n">
        <v>108096</v>
      </c>
      <c r="B3777" s="1" t="n">
        <v>45980</v>
      </c>
      <c r="C3777" t="inlineStr">
        <is>
          <t>S02</t>
        </is>
      </c>
      <c r="D3777" t="inlineStr">
        <is>
          <t>P301</t>
        </is>
      </c>
      <c r="E3777" t="n">
        <v>1</v>
      </c>
      <c r="F3777" t="n">
        <v>119</v>
      </c>
      <c r="G3777" t="n">
        <v>0</v>
      </c>
      <c r="H3777">
        <f>E3777*F3777*(1-G3777)</f>
        <v/>
      </c>
      <c r="I3777">
        <f>XLOOKUP(D3777,Products!$A$2:$A$15,Products!$B$2:$B$15,"Not found")</f>
        <v/>
      </c>
    </row>
    <row r="3778">
      <c r="A3778" t="n">
        <v>108097</v>
      </c>
      <c r="B3778" s="1" t="n">
        <v>45980</v>
      </c>
      <c r="C3778" t="inlineStr">
        <is>
          <t>S02</t>
        </is>
      </c>
      <c r="D3778" t="inlineStr">
        <is>
          <t>P303</t>
        </is>
      </c>
      <c r="E3778" t="n">
        <v>1</v>
      </c>
      <c r="F3778" t="n">
        <v>12</v>
      </c>
      <c r="G3778" t="n">
        <v>0</v>
      </c>
      <c r="H3778">
        <f>E3778*F3778*(1-G3778)</f>
        <v/>
      </c>
      <c r="I3778">
        <f>XLOOKUP(D3778,Products!$A$2:$A$15,Products!$B$2:$B$15,"Not found")</f>
        <v/>
      </c>
    </row>
    <row r="3779">
      <c r="A3779" t="n">
        <v>108098</v>
      </c>
      <c r="B3779" s="1" t="n">
        <v>45980</v>
      </c>
      <c r="C3779" t="inlineStr">
        <is>
          <t>S03</t>
        </is>
      </c>
      <c r="D3779" t="inlineStr">
        <is>
          <t>P102</t>
        </is>
      </c>
      <c r="E3779" t="n">
        <v>1</v>
      </c>
      <c r="F3779" t="n">
        <v>14.5</v>
      </c>
      <c r="G3779" t="n">
        <v>0</v>
      </c>
      <c r="H3779">
        <f>E3779*F3779*(1-G3779)</f>
        <v/>
      </c>
      <c r="I3779">
        <f>XLOOKUP(D3779,Products!$A$2:$A$15,Products!$B$2:$B$15,"Not found")</f>
        <v/>
      </c>
    </row>
    <row r="3780">
      <c r="A3780" t="n">
        <v>108099</v>
      </c>
      <c r="B3780" s="1" t="n">
        <v>45980</v>
      </c>
      <c r="C3780" t="inlineStr">
        <is>
          <t>S04</t>
        </is>
      </c>
      <c r="D3780" t="inlineStr">
        <is>
          <t>P301</t>
        </is>
      </c>
      <c r="E3780" t="n">
        <v>1</v>
      </c>
      <c r="F3780" t="n">
        <v>119</v>
      </c>
      <c r="G3780" t="n">
        <v>0.15</v>
      </c>
      <c r="H3780">
        <f>E3780*F3780*(1-G3780)</f>
        <v/>
      </c>
      <c r="I3780">
        <f>XLOOKUP(D3780,Products!$A$2:$A$15,Products!$B$2:$B$15,"Not found")</f>
        <v/>
      </c>
    </row>
    <row r="3781">
      <c r="A3781" t="n">
        <v>108100</v>
      </c>
      <c r="B3781" s="1" t="n">
        <v>45980</v>
      </c>
      <c r="C3781" t="inlineStr">
        <is>
          <t>S04</t>
        </is>
      </c>
      <c r="D3781" t="inlineStr">
        <is>
          <t>P102</t>
        </is>
      </c>
      <c r="E3781" t="n">
        <v>4</v>
      </c>
      <c r="F3781" t="n">
        <v>14.5</v>
      </c>
      <c r="G3781" t="n">
        <v>0</v>
      </c>
      <c r="H3781">
        <f>E3781*F3781*(1-G3781)</f>
        <v/>
      </c>
      <c r="I3781">
        <f>XLOOKUP(D3781,Products!$A$2:$A$15,Products!$B$2:$B$15,"Not found")</f>
        <v/>
      </c>
    </row>
    <row r="3782">
      <c r="A3782" t="n">
        <v>108101</v>
      </c>
      <c r="B3782" s="1" t="n">
        <v>45980</v>
      </c>
      <c r="C3782" t="inlineStr">
        <is>
          <t>S04</t>
        </is>
      </c>
      <c r="D3782" t="inlineStr">
        <is>
          <t>P101</t>
        </is>
      </c>
      <c r="E3782" t="n">
        <v>1</v>
      </c>
      <c r="F3782" t="n">
        <v>39</v>
      </c>
      <c r="G3782" t="n">
        <v>0</v>
      </c>
      <c r="H3782">
        <f>E3782*F3782*(1-G3782)</f>
        <v/>
      </c>
      <c r="I3782">
        <f>XLOOKUP(D3782,Products!$A$2:$A$15,Products!$B$2:$B$15,"Not found")</f>
        <v/>
      </c>
    </row>
    <row r="3783">
      <c r="A3783" t="n">
        <v>108102</v>
      </c>
      <c r="B3783" s="1" t="n">
        <v>45980</v>
      </c>
      <c r="C3783" t="inlineStr">
        <is>
          <t>S04</t>
        </is>
      </c>
      <c r="D3783" t="inlineStr">
        <is>
          <t>P301</t>
        </is>
      </c>
      <c r="E3783" t="n">
        <v>1</v>
      </c>
      <c r="F3783" t="n">
        <v>119</v>
      </c>
      <c r="G3783" t="n">
        <v>0.1</v>
      </c>
      <c r="H3783">
        <f>E3783*F3783*(1-G3783)</f>
        <v/>
      </c>
      <c r="I3783">
        <f>XLOOKUP(D3783,Products!$A$2:$A$15,Products!$B$2:$B$15,"Not found")</f>
        <v/>
      </c>
    </row>
    <row r="3784">
      <c r="A3784" t="n">
        <v>108103</v>
      </c>
      <c r="B3784" s="1" t="n">
        <v>45980</v>
      </c>
      <c r="C3784" t="inlineStr">
        <is>
          <t>S04</t>
        </is>
      </c>
      <c r="D3784" t="inlineStr">
        <is>
          <t>P101</t>
        </is>
      </c>
      <c r="E3784" t="n">
        <v>3</v>
      </c>
      <c r="F3784" t="n">
        <v>39</v>
      </c>
      <c r="G3784" t="n">
        <v>0.2</v>
      </c>
      <c r="H3784">
        <f>E3784*F3784*(1-G3784)</f>
        <v/>
      </c>
      <c r="I3784">
        <f>XLOOKUP(D3784,Products!$A$2:$A$15,Products!$B$2:$B$15,"Not found")</f>
        <v/>
      </c>
    </row>
    <row r="3785">
      <c r="A3785" t="n">
        <v>108104</v>
      </c>
      <c r="B3785" s="1" t="n">
        <v>45980</v>
      </c>
      <c r="C3785" t="inlineStr">
        <is>
          <t>S05</t>
        </is>
      </c>
      <c r="D3785" t="inlineStr">
        <is>
          <t>P102</t>
        </is>
      </c>
      <c r="E3785" t="n">
        <v>3</v>
      </c>
      <c r="F3785" t="n">
        <v>14.5</v>
      </c>
      <c r="G3785" t="n">
        <v>0.2</v>
      </c>
      <c r="H3785">
        <f>E3785*F3785*(1-G3785)</f>
        <v/>
      </c>
      <c r="I3785">
        <f>XLOOKUP(D3785,Products!$A$2:$A$15,Products!$B$2:$B$15,"Not found")</f>
        <v/>
      </c>
    </row>
    <row r="3786">
      <c r="A3786" t="n">
        <v>108105</v>
      </c>
      <c r="B3786" s="1" t="n">
        <v>45980</v>
      </c>
      <c r="C3786" t="inlineStr">
        <is>
          <t>S05</t>
        </is>
      </c>
      <c r="D3786" t="inlineStr">
        <is>
          <t>P101</t>
        </is>
      </c>
      <c r="E3786" t="n">
        <v>2</v>
      </c>
      <c r="F3786" t="n">
        <v>39</v>
      </c>
      <c r="G3786" t="n">
        <v>0</v>
      </c>
      <c r="H3786">
        <f>E3786*F3786*(1-G3786)</f>
        <v/>
      </c>
      <c r="I3786">
        <f>XLOOKUP(D3786,Products!$A$2:$A$15,Products!$B$2:$B$15,"Not found")</f>
        <v/>
      </c>
    </row>
    <row r="3787">
      <c r="A3787" t="n">
        <v>108106</v>
      </c>
      <c r="B3787" s="1" t="n">
        <v>45980</v>
      </c>
      <c r="C3787" t="inlineStr">
        <is>
          <t>S05</t>
        </is>
      </c>
      <c r="D3787" t="inlineStr">
        <is>
          <t>P201</t>
        </is>
      </c>
      <c r="E3787" t="n">
        <v>1</v>
      </c>
      <c r="F3787" t="n">
        <v>149</v>
      </c>
      <c r="G3787" t="n">
        <v>0</v>
      </c>
      <c r="H3787">
        <f>E3787*F3787*(1-G3787)</f>
        <v/>
      </c>
      <c r="I3787">
        <f>XLOOKUP(D3787,Products!$A$2:$A$15,Products!$B$2:$B$15,"Not found")</f>
        <v/>
      </c>
    </row>
    <row r="3788">
      <c r="A3788" t="n">
        <v>108107</v>
      </c>
      <c r="B3788" s="1" t="n">
        <v>45980</v>
      </c>
      <c r="C3788" t="inlineStr">
        <is>
          <t>S06</t>
        </is>
      </c>
      <c r="D3788" t="inlineStr">
        <is>
          <t>P403</t>
        </is>
      </c>
      <c r="E3788" t="n">
        <v>4</v>
      </c>
      <c r="F3788" t="n">
        <v>89</v>
      </c>
      <c r="G3788" t="n">
        <v>0</v>
      </c>
      <c r="H3788">
        <f>E3788*F3788*(1-G3788)</f>
        <v/>
      </c>
      <c r="I3788">
        <f>XLOOKUP(D3788,Products!$A$2:$A$15,Products!$B$2:$B$15,"Not found")</f>
        <v/>
      </c>
    </row>
    <row r="3789">
      <c r="A3789" t="n">
        <v>108108</v>
      </c>
      <c r="B3789" s="1" t="n">
        <v>45980</v>
      </c>
      <c r="C3789" t="inlineStr">
        <is>
          <t>S06</t>
        </is>
      </c>
      <c r="D3789" t="inlineStr">
        <is>
          <t>P103</t>
        </is>
      </c>
      <c r="E3789" t="n">
        <v>1</v>
      </c>
      <c r="F3789" t="n">
        <v>29</v>
      </c>
      <c r="G3789" t="n">
        <v>0.2</v>
      </c>
      <c r="H3789">
        <f>E3789*F3789*(1-G3789)</f>
        <v/>
      </c>
      <c r="I3789">
        <f>XLOOKUP(D3789,Products!$A$2:$A$15,Products!$B$2:$B$15,"Not found")</f>
        <v/>
      </c>
    </row>
    <row r="3790">
      <c r="A3790" t="n">
        <v>108109</v>
      </c>
      <c r="B3790" s="1" t="n">
        <v>45980</v>
      </c>
      <c r="C3790" t="inlineStr">
        <is>
          <t>S06</t>
        </is>
      </c>
      <c r="D3790" t="inlineStr">
        <is>
          <t>P104</t>
        </is>
      </c>
      <c r="E3790" t="n">
        <v>1</v>
      </c>
      <c r="F3790" t="n">
        <v>189</v>
      </c>
      <c r="G3790" t="n">
        <v>0</v>
      </c>
      <c r="H3790">
        <f>E3790*F3790*(1-G3790)</f>
        <v/>
      </c>
      <c r="I3790">
        <f>XLOOKUP(D3790,Products!$A$2:$A$15,Products!$B$2:$B$15,"Not found")</f>
        <v/>
      </c>
    </row>
    <row r="3791">
      <c r="A3791" t="n">
        <v>108110</v>
      </c>
      <c r="B3791" s="1" t="n">
        <v>45981</v>
      </c>
      <c r="C3791" t="inlineStr">
        <is>
          <t>S01</t>
        </is>
      </c>
      <c r="D3791" t="inlineStr">
        <is>
          <t>P101</t>
        </is>
      </c>
      <c r="E3791" t="n">
        <v>3</v>
      </c>
      <c r="F3791" t="n">
        <v>39</v>
      </c>
      <c r="G3791" t="n">
        <v>0.15</v>
      </c>
      <c r="H3791">
        <f>E3791*F3791*(1-G3791)</f>
        <v/>
      </c>
      <c r="I3791">
        <f>XLOOKUP(D3791,Products!$A$2:$A$15,Products!$B$2:$B$15,"Not found")</f>
        <v/>
      </c>
    </row>
    <row r="3792">
      <c r="A3792" t="n">
        <v>108111</v>
      </c>
      <c r="B3792" s="1" t="n">
        <v>45981</v>
      </c>
      <c r="C3792" t="inlineStr">
        <is>
          <t>S02</t>
        </is>
      </c>
      <c r="D3792" t="inlineStr">
        <is>
          <t>P201</t>
        </is>
      </c>
      <c r="E3792" t="n">
        <v>1</v>
      </c>
      <c r="F3792" t="n">
        <v>149</v>
      </c>
      <c r="G3792" t="n">
        <v>0.1</v>
      </c>
      <c r="H3792">
        <f>E3792*F3792*(1-G3792)</f>
        <v/>
      </c>
      <c r="I3792">
        <f>XLOOKUP(D3792,Products!$A$2:$A$15,Products!$B$2:$B$15,"Not found")</f>
        <v/>
      </c>
    </row>
    <row r="3793">
      <c r="A3793" t="n">
        <v>108112</v>
      </c>
      <c r="B3793" s="1" t="n">
        <v>45981</v>
      </c>
      <c r="C3793" t="inlineStr">
        <is>
          <t>S02</t>
        </is>
      </c>
      <c r="D3793" t="inlineStr">
        <is>
          <t>P202</t>
        </is>
      </c>
      <c r="E3793" t="n">
        <v>3</v>
      </c>
      <c r="F3793" t="n">
        <v>79</v>
      </c>
      <c r="G3793" t="n">
        <v>0.2</v>
      </c>
      <c r="H3793">
        <f>E3793*F3793*(1-G3793)</f>
        <v/>
      </c>
      <c r="I3793">
        <f>XLOOKUP(D3793,Products!$A$2:$A$15,Products!$B$2:$B$15,"Not found")</f>
        <v/>
      </c>
    </row>
    <row r="3794">
      <c r="A3794" t="n">
        <v>108113</v>
      </c>
      <c r="B3794" s="1" t="n">
        <v>45981</v>
      </c>
      <c r="C3794" t="inlineStr">
        <is>
          <t>S03</t>
        </is>
      </c>
      <c r="D3794" t="inlineStr">
        <is>
          <t>P303</t>
        </is>
      </c>
      <c r="E3794" t="n">
        <v>2</v>
      </c>
      <c r="F3794" t="n">
        <v>12</v>
      </c>
      <c r="G3794" t="n">
        <v>0</v>
      </c>
      <c r="H3794">
        <f>E3794*F3794*(1-G3794)</f>
        <v/>
      </c>
      <c r="I3794">
        <f>XLOOKUP(D3794,Products!$A$2:$A$15,Products!$B$2:$B$15,"Not found")</f>
        <v/>
      </c>
    </row>
    <row r="3795">
      <c r="A3795" t="n">
        <v>108114</v>
      </c>
      <c r="B3795" s="1" t="n">
        <v>45981</v>
      </c>
      <c r="C3795" t="inlineStr">
        <is>
          <t>S03</t>
        </is>
      </c>
      <c r="D3795" t="inlineStr">
        <is>
          <t>P303</t>
        </is>
      </c>
      <c r="E3795" t="n">
        <v>1</v>
      </c>
      <c r="F3795" t="n">
        <v>12</v>
      </c>
      <c r="G3795" t="n">
        <v>0.1</v>
      </c>
      <c r="H3795">
        <f>E3795*F3795*(1-G3795)</f>
        <v/>
      </c>
      <c r="I3795">
        <f>XLOOKUP(D3795,Products!$A$2:$A$15,Products!$B$2:$B$15,"Not found")</f>
        <v/>
      </c>
    </row>
    <row r="3796">
      <c r="A3796" t="n">
        <v>108115</v>
      </c>
      <c r="B3796" s="1" t="n">
        <v>45981</v>
      </c>
      <c r="C3796" t="inlineStr">
        <is>
          <t>S04</t>
        </is>
      </c>
      <c r="D3796" t="inlineStr">
        <is>
          <t>P102</t>
        </is>
      </c>
      <c r="E3796" t="n">
        <v>1</v>
      </c>
      <c r="F3796" t="n">
        <v>14.5</v>
      </c>
      <c r="G3796" t="n">
        <v>0.2</v>
      </c>
      <c r="H3796">
        <f>E3796*F3796*(1-G3796)</f>
        <v/>
      </c>
      <c r="I3796">
        <f>XLOOKUP(D3796,Products!$A$2:$A$15,Products!$B$2:$B$15,"Not found")</f>
        <v/>
      </c>
    </row>
    <row r="3797">
      <c r="A3797" t="n">
        <v>108116</v>
      </c>
      <c r="B3797" s="1" t="n">
        <v>45981</v>
      </c>
      <c r="C3797" t="inlineStr">
        <is>
          <t>S04</t>
        </is>
      </c>
      <c r="D3797" t="inlineStr">
        <is>
          <t>P102</t>
        </is>
      </c>
      <c r="E3797" t="n">
        <v>4</v>
      </c>
      <c r="F3797" t="n">
        <v>14.5</v>
      </c>
      <c r="G3797" t="n">
        <v>0.2</v>
      </c>
      <c r="H3797">
        <f>E3797*F3797*(1-G3797)</f>
        <v/>
      </c>
      <c r="I3797">
        <f>XLOOKUP(D3797,Products!$A$2:$A$15,Products!$B$2:$B$15,"Not found")</f>
        <v/>
      </c>
    </row>
    <row r="3798">
      <c r="A3798" t="n">
        <v>108117</v>
      </c>
      <c r="B3798" s="1" t="n">
        <v>45981</v>
      </c>
      <c r="C3798" t="inlineStr">
        <is>
          <t>S04</t>
        </is>
      </c>
      <c r="D3798" t="inlineStr">
        <is>
          <t>P102</t>
        </is>
      </c>
      <c r="E3798" t="n">
        <v>1</v>
      </c>
      <c r="F3798" t="n">
        <v>14.5</v>
      </c>
      <c r="G3798" t="n">
        <v>0</v>
      </c>
      <c r="H3798">
        <f>E3798*F3798*(1-G3798)</f>
        <v/>
      </c>
      <c r="I3798">
        <f>XLOOKUP(D3798,Products!$A$2:$A$15,Products!$B$2:$B$15,"Not found")</f>
        <v/>
      </c>
    </row>
    <row r="3799">
      <c r="A3799" t="n">
        <v>108118</v>
      </c>
      <c r="B3799" s="1" t="n">
        <v>45981</v>
      </c>
      <c r="C3799" t="inlineStr">
        <is>
          <t>S05</t>
        </is>
      </c>
      <c r="D3799" t="inlineStr">
        <is>
          <t>P303</t>
        </is>
      </c>
      <c r="E3799" t="n">
        <v>1</v>
      </c>
      <c r="F3799" t="n">
        <v>12</v>
      </c>
      <c r="G3799" t="n">
        <v>0</v>
      </c>
      <c r="H3799">
        <f>E3799*F3799*(1-G3799)</f>
        <v/>
      </c>
      <c r="I3799">
        <f>XLOOKUP(D3799,Products!$A$2:$A$15,Products!$B$2:$B$15,"Not found")</f>
        <v/>
      </c>
    </row>
    <row r="3800">
      <c r="A3800" t="n">
        <v>108119</v>
      </c>
      <c r="B3800" s="1" t="n">
        <v>45981</v>
      </c>
      <c r="C3800" t="inlineStr">
        <is>
          <t>S05</t>
        </is>
      </c>
      <c r="D3800" t="inlineStr">
        <is>
          <t>P102</t>
        </is>
      </c>
      <c r="E3800" t="n">
        <v>1</v>
      </c>
      <c r="F3800" t="n">
        <v>14.5</v>
      </c>
      <c r="G3800" t="n">
        <v>0</v>
      </c>
      <c r="H3800">
        <f>E3800*F3800*(1-G3800)</f>
        <v/>
      </c>
      <c r="I3800">
        <f>XLOOKUP(D3800,Products!$A$2:$A$15,Products!$B$2:$B$15,"Not found")</f>
        <v/>
      </c>
    </row>
    <row r="3801">
      <c r="A3801" t="n">
        <v>108120</v>
      </c>
      <c r="B3801" s="1" t="n">
        <v>45982</v>
      </c>
      <c r="C3801" t="inlineStr">
        <is>
          <t>S01</t>
        </is>
      </c>
      <c r="D3801" t="inlineStr">
        <is>
          <t>P202</t>
        </is>
      </c>
      <c r="E3801" t="n">
        <v>2</v>
      </c>
      <c r="F3801" t="n">
        <v>79</v>
      </c>
      <c r="G3801" t="n">
        <v>0</v>
      </c>
      <c r="H3801">
        <f>E3801*F3801*(1-G3801)</f>
        <v/>
      </c>
      <c r="I3801">
        <f>XLOOKUP(D3801,Products!$A$2:$A$15,Products!$B$2:$B$15,"Not found")</f>
        <v/>
      </c>
    </row>
    <row r="3802">
      <c r="A3802" t="n">
        <v>108121</v>
      </c>
      <c r="B3802" s="1" t="n">
        <v>45982</v>
      </c>
      <c r="C3802" t="inlineStr">
        <is>
          <t>S01</t>
        </is>
      </c>
      <c r="D3802" t="inlineStr">
        <is>
          <t>P103</t>
        </is>
      </c>
      <c r="E3802" t="n">
        <v>4</v>
      </c>
      <c r="F3802" t="n">
        <v>29</v>
      </c>
      <c r="G3802" t="n">
        <v>0.2</v>
      </c>
      <c r="H3802">
        <f>E3802*F3802*(1-G3802)</f>
        <v/>
      </c>
      <c r="I3802">
        <f>XLOOKUP(D3802,Products!$A$2:$A$15,Products!$B$2:$B$15,"Not found")</f>
        <v/>
      </c>
    </row>
    <row r="3803">
      <c r="A3803" t="n">
        <v>108122</v>
      </c>
      <c r="B3803" s="1" t="n">
        <v>45982</v>
      </c>
      <c r="C3803" t="inlineStr">
        <is>
          <t>S01</t>
        </is>
      </c>
      <c r="D3803" t="inlineStr">
        <is>
          <t>P302</t>
        </is>
      </c>
      <c r="E3803" t="n">
        <v>2</v>
      </c>
      <c r="F3803" t="n">
        <v>24</v>
      </c>
      <c r="G3803" t="n">
        <v>0.2</v>
      </c>
      <c r="H3803">
        <f>E3803*F3803*(1-G3803)</f>
        <v/>
      </c>
      <c r="I3803">
        <f>XLOOKUP(D3803,Products!$A$2:$A$15,Products!$B$2:$B$15,"Not found")</f>
        <v/>
      </c>
    </row>
    <row r="3804">
      <c r="A3804" t="n">
        <v>108123</v>
      </c>
      <c r="B3804" s="1" t="n">
        <v>45982</v>
      </c>
      <c r="C3804" t="inlineStr">
        <is>
          <t>S02</t>
        </is>
      </c>
      <c r="D3804" t="inlineStr">
        <is>
          <t>P303</t>
        </is>
      </c>
      <c r="E3804" t="n">
        <v>1</v>
      </c>
      <c r="F3804" t="n">
        <v>12</v>
      </c>
      <c r="G3804" t="n">
        <v>0</v>
      </c>
      <c r="H3804">
        <f>E3804*F3804*(1-G3804)</f>
        <v/>
      </c>
      <c r="I3804">
        <f>XLOOKUP(D3804,Products!$A$2:$A$15,Products!$B$2:$B$15,"Not found")</f>
        <v/>
      </c>
    </row>
    <row r="3805">
      <c r="A3805" t="n">
        <v>108124</v>
      </c>
      <c r="B3805" s="1" t="n">
        <v>45982</v>
      </c>
      <c r="C3805" t="inlineStr">
        <is>
          <t>S03</t>
        </is>
      </c>
      <c r="D3805" t="inlineStr">
        <is>
          <t>P202</t>
        </is>
      </c>
      <c r="E3805" t="n">
        <v>2</v>
      </c>
      <c r="F3805" t="n">
        <v>79</v>
      </c>
      <c r="G3805" t="n">
        <v>0.15</v>
      </c>
      <c r="H3805">
        <f>E3805*F3805*(1-G3805)</f>
        <v/>
      </c>
      <c r="I3805">
        <f>XLOOKUP(D3805,Products!$A$2:$A$15,Products!$B$2:$B$15,"Not found")</f>
        <v/>
      </c>
    </row>
    <row r="3806">
      <c r="A3806" t="n">
        <v>108125</v>
      </c>
      <c r="B3806" s="1" t="n">
        <v>45982</v>
      </c>
      <c r="C3806" t="inlineStr">
        <is>
          <t>S03</t>
        </is>
      </c>
      <c r="D3806" t="inlineStr">
        <is>
          <t>P303</t>
        </is>
      </c>
      <c r="E3806" t="n">
        <v>1</v>
      </c>
      <c r="F3806" t="n">
        <v>12</v>
      </c>
      <c r="G3806" t="n">
        <v>0</v>
      </c>
      <c r="H3806">
        <f>E3806*F3806*(1-G3806)</f>
        <v/>
      </c>
      <c r="I3806">
        <f>XLOOKUP(D3806,Products!$A$2:$A$15,Products!$B$2:$B$15,"Not found")</f>
        <v/>
      </c>
    </row>
    <row r="3807">
      <c r="A3807" t="n">
        <v>108126</v>
      </c>
      <c r="B3807" s="1" t="n">
        <v>45982</v>
      </c>
      <c r="C3807" t="inlineStr">
        <is>
          <t>S04</t>
        </is>
      </c>
      <c r="D3807" t="inlineStr">
        <is>
          <t>P201</t>
        </is>
      </c>
      <c r="E3807" t="n">
        <v>1</v>
      </c>
      <c r="F3807" t="n">
        <v>149</v>
      </c>
      <c r="G3807" t="n">
        <v>0</v>
      </c>
      <c r="H3807">
        <f>E3807*F3807*(1-G3807)</f>
        <v/>
      </c>
      <c r="I3807">
        <f>XLOOKUP(D3807,Products!$A$2:$A$15,Products!$B$2:$B$15,"Not found")</f>
        <v/>
      </c>
    </row>
    <row r="3808">
      <c r="A3808" t="n">
        <v>108127</v>
      </c>
      <c r="B3808" s="1" t="n">
        <v>45982</v>
      </c>
      <c r="C3808" t="inlineStr">
        <is>
          <t>S04</t>
        </is>
      </c>
      <c r="D3808" t="inlineStr">
        <is>
          <t>P103</t>
        </is>
      </c>
      <c r="E3808" t="n">
        <v>4</v>
      </c>
      <c r="F3808" t="n">
        <v>29</v>
      </c>
      <c r="G3808" t="n">
        <v>0.1</v>
      </c>
      <c r="H3808">
        <f>E3808*F3808*(1-G3808)</f>
        <v/>
      </c>
      <c r="I3808">
        <f>XLOOKUP(D3808,Products!$A$2:$A$15,Products!$B$2:$B$15,"Not found")</f>
        <v/>
      </c>
    </row>
    <row r="3809">
      <c r="A3809" t="n">
        <v>108128</v>
      </c>
      <c r="B3809" s="1" t="n">
        <v>45982</v>
      </c>
      <c r="C3809" t="inlineStr">
        <is>
          <t>S04</t>
        </is>
      </c>
      <c r="D3809" t="inlineStr">
        <is>
          <t>P103</t>
        </is>
      </c>
      <c r="E3809" t="n">
        <v>2</v>
      </c>
      <c r="F3809" t="n">
        <v>29</v>
      </c>
      <c r="G3809" t="n">
        <v>0</v>
      </c>
      <c r="H3809">
        <f>E3809*F3809*(1-G3809)</f>
        <v/>
      </c>
      <c r="I3809">
        <f>XLOOKUP(D3809,Products!$A$2:$A$15,Products!$B$2:$B$15,"Not found")</f>
        <v/>
      </c>
    </row>
    <row r="3810">
      <c r="A3810" t="n">
        <v>108129</v>
      </c>
      <c r="B3810" s="1" t="n">
        <v>45982</v>
      </c>
      <c r="C3810" t="inlineStr">
        <is>
          <t>S05</t>
        </is>
      </c>
      <c r="D3810" t="inlineStr">
        <is>
          <t>P303</t>
        </is>
      </c>
      <c r="E3810" t="n">
        <v>1</v>
      </c>
      <c r="F3810" t="n">
        <v>12</v>
      </c>
      <c r="G3810" t="n">
        <v>0.15</v>
      </c>
      <c r="H3810">
        <f>E3810*F3810*(1-G3810)</f>
        <v/>
      </c>
      <c r="I3810">
        <f>XLOOKUP(D3810,Products!$A$2:$A$15,Products!$B$2:$B$15,"Not found")</f>
        <v/>
      </c>
    </row>
    <row r="3811">
      <c r="A3811" t="n">
        <v>108130</v>
      </c>
      <c r="B3811" s="1" t="n">
        <v>45982</v>
      </c>
      <c r="C3811" t="inlineStr">
        <is>
          <t>S05</t>
        </is>
      </c>
      <c r="D3811" t="inlineStr">
        <is>
          <t>P104</t>
        </is>
      </c>
      <c r="E3811" t="n">
        <v>1</v>
      </c>
      <c r="F3811" t="n">
        <v>189</v>
      </c>
      <c r="G3811" t="n">
        <v>0</v>
      </c>
      <c r="H3811">
        <f>E3811*F3811*(1-G3811)</f>
        <v/>
      </c>
      <c r="I3811">
        <f>XLOOKUP(D3811,Products!$A$2:$A$15,Products!$B$2:$B$15,"Not found")</f>
        <v/>
      </c>
    </row>
    <row r="3812">
      <c r="A3812" t="n">
        <v>108131</v>
      </c>
      <c r="B3812" s="1" t="n">
        <v>45983</v>
      </c>
      <c r="C3812" t="inlineStr">
        <is>
          <t>S01</t>
        </is>
      </c>
      <c r="D3812" t="inlineStr">
        <is>
          <t>P303</t>
        </is>
      </c>
      <c r="E3812" t="n">
        <v>1</v>
      </c>
      <c r="F3812" t="n">
        <v>12</v>
      </c>
      <c r="G3812" t="n">
        <v>0.15</v>
      </c>
      <c r="H3812">
        <f>E3812*F3812*(1-G3812)</f>
        <v/>
      </c>
      <c r="I3812">
        <f>XLOOKUP(D3812,Products!$A$2:$A$15,Products!$B$2:$B$15,"Not found")</f>
        <v/>
      </c>
    </row>
    <row r="3813">
      <c r="A3813" t="n">
        <v>108132</v>
      </c>
      <c r="B3813" s="1" t="n">
        <v>45983</v>
      </c>
      <c r="C3813" t="inlineStr">
        <is>
          <t>S01</t>
        </is>
      </c>
      <c r="D3813" t="inlineStr">
        <is>
          <t>P204</t>
        </is>
      </c>
      <c r="E3813" t="n">
        <v>1</v>
      </c>
      <c r="F3813" t="n">
        <v>229</v>
      </c>
      <c r="G3813" t="n">
        <v>0</v>
      </c>
      <c r="H3813">
        <f>E3813*F3813*(1-G3813)</f>
        <v/>
      </c>
      <c r="I3813">
        <f>XLOOKUP(D3813,Products!$A$2:$A$15,Products!$B$2:$B$15,"Not found")</f>
        <v/>
      </c>
    </row>
    <row r="3814">
      <c r="A3814" t="n">
        <v>108133</v>
      </c>
      <c r="B3814" s="1" t="n">
        <v>45983</v>
      </c>
      <c r="C3814" t="inlineStr">
        <is>
          <t>S01</t>
        </is>
      </c>
      <c r="D3814" t="inlineStr">
        <is>
          <t>P201</t>
        </is>
      </c>
      <c r="E3814" t="n">
        <v>1</v>
      </c>
      <c r="F3814" t="n">
        <v>149</v>
      </c>
      <c r="G3814" t="n">
        <v>0.2</v>
      </c>
      <c r="H3814">
        <f>E3814*F3814*(1-G3814)</f>
        <v/>
      </c>
      <c r="I3814">
        <f>XLOOKUP(D3814,Products!$A$2:$A$15,Products!$B$2:$B$15,"Not found")</f>
        <v/>
      </c>
    </row>
    <row r="3815">
      <c r="A3815" t="n">
        <v>108134</v>
      </c>
      <c r="B3815" s="1" t="n">
        <v>45983</v>
      </c>
      <c r="C3815" t="inlineStr">
        <is>
          <t>S01</t>
        </is>
      </c>
      <c r="D3815" t="inlineStr">
        <is>
          <t>P303</t>
        </is>
      </c>
      <c r="E3815" t="n">
        <v>3</v>
      </c>
      <c r="F3815" t="n">
        <v>12</v>
      </c>
      <c r="G3815" t="n">
        <v>0.1</v>
      </c>
      <c r="H3815">
        <f>E3815*F3815*(1-G3815)</f>
        <v/>
      </c>
      <c r="I3815">
        <f>XLOOKUP(D3815,Products!$A$2:$A$15,Products!$B$2:$B$15,"Not found")</f>
        <v/>
      </c>
    </row>
    <row r="3816">
      <c r="A3816" t="n">
        <v>108135</v>
      </c>
      <c r="B3816" s="1" t="n">
        <v>45983</v>
      </c>
      <c r="C3816" t="inlineStr">
        <is>
          <t>S01</t>
        </is>
      </c>
      <c r="D3816" t="inlineStr">
        <is>
          <t>P303</t>
        </is>
      </c>
      <c r="E3816" t="n">
        <v>1</v>
      </c>
      <c r="F3816" t="n">
        <v>12</v>
      </c>
      <c r="G3816" t="n">
        <v>0.2</v>
      </c>
      <c r="H3816">
        <f>E3816*F3816*(1-G3816)</f>
        <v/>
      </c>
      <c r="I3816">
        <f>XLOOKUP(D3816,Products!$A$2:$A$15,Products!$B$2:$B$15,"Not found")</f>
        <v/>
      </c>
    </row>
    <row r="3817">
      <c r="A3817" t="n">
        <v>108136</v>
      </c>
      <c r="B3817" s="1" t="n">
        <v>45983</v>
      </c>
      <c r="C3817" t="inlineStr">
        <is>
          <t>S01</t>
        </is>
      </c>
      <c r="D3817" t="inlineStr">
        <is>
          <t>P202</t>
        </is>
      </c>
      <c r="E3817" t="n">
        <v>1</v>
      </c>
      <c r="F3817" t="n">
        <v>79</v>
      </c>
      <c r="G3817" t="n">
        <v>0</v>
      </c>
      <c r="H3817">
        <f>E3817*F3817*(1-G3817)</f>
        <v/>
      </c>
      <c r="I3817">
        <f>XLOOKUP(D3817,Products!$A$2:$A$15,Products!$B$2:$B$15,"Not found")</f>
        <v/>
      </c>
    </row>
    <row r="3818">
      <c r="A3818" t="n">
        <v>108137</v>
      </c>
      <c r="B3818" s="1" t="n">
        <v>45983</v>
      </c>
      <c r="C3818" t="inlineStr">
        <is>
          <t>S01</t>
        </is>
      </c>
      <c r="D3818" t="inlineStr">
        <is>
          <t>P302</t>
        </is>
      </c>
      <c r="E3818" t="n">
        <v>1</v>
      </c>
      <c r="F3818" t="n">
        <v>24</v>
      </c>
      <c r="G3818" t="n">
        <v>0.1</v>
      </c>
      <c r="H3818">
        <f>E3818*F3818*(1-G3818)</f>
        <v/>
      </c>
      <c r="I3818">
        <f>XLOOKUP(D3818,Products!$A$2:$A$15,Products!$B$2:$B$15,"Not found")</f>
        <v/>
      </c>
    </row>
    <row r="3819">
      <c r="A3819" t="n">
        <v>108138</v>
      </c>
      <c r="B3819" s="1" t="n">
        <v>45983</v>
      </c>
      <c r="C3819" t="inlineStr">
        <is>
          <t>S01</t>
        </is>
      </c>
      <c r="D3819" t="inlineStr">
        <is>
          <t>P401</t>
        </is>
      </c>
      <c r="E3819" t="n">
        <v>1</v>
      </c>
      <c r="F3819" t="n">
        <v>549</v>
      </c>
      <c r="G3819" t="n">
        <v>0.2</v>
      </c>
      <c r="H3819">
        <f>E3819*F3819*(1-G3819)</f>
        <v/>
      </c>
      <c r="I3819">
        <f>XLOOKUP(D3819,Products!$A$2:$A$15,Products!$B$2:$B$15,"Not found")</f>
        <v/>
      </c>
    </row>
    <row r="3820">
      <c r="A3820" t="n">
        <v>108139</v>
      </c>
      <c r="B3820" s="1" t="n">
        <v>45983</v>
      </c>
      <c r="C3820" t="inlineStr">
        <is>
          <t>S01</t>
        </is>
      </c>
      <c r="D3820" t="inlineStr">
        <is>
          <t>P204</t>
        </is>
      </c>
      <c r="E3820" t="n">
        <v>1</v>
      </c>
      <c r="F3820" t="n">
        <v>229</v>
      </c>
      <c r="G3820" t="n">
        <v>0</v>
      </c>
      <c r="H3820">
        <f>E3820*F3820*(1-G3820)</f>
        <v/>
      </c>
      <c r="I3820">
        <f>XLOOKUP(D3820,Products!$A$2:$A$15,Products!$B$2:$B$15,"Not found")</f>
        <v/>
      </c>
    </row>
    <row r="3821">
      <c r="A3821" t="n">
        <v>108140</v>
      </c>
      <c r="B3821" s="1" t="n">
        <v>45983</v>
      </c>
      <c r="C3821" t="inlineStr">
        <is>
          <t>S02</t>
        </is>
      </c>
      <c r="D3821" t="inlineStr">
        <is>
          <t>P203</t>
        </is>
      </c>
      <c r="E3821" t="n">
        <v>1</v>
      </c>
      <c r="F3821" t="n">
        <v>19.5</v>
      </c>
      <c r="G3821" t="n">
        <v>0</v>
      </c>
      <c r="H3821">
        <f>E3821*F3821*(1-G3821)</f>
        <v/>
      </c>
      <c r="I3821">
        <f>XLOOKUP(D3821,Products!$A$2:$A$15,Products!$B$2:$B$15,"Not found")</f>
        <v/>
      </c>
    </row>
    <row r="3822">
      <c r="A3822" t="n">
        <v>108141</v>
      </c>
      <c r="B3822" s="1" t="n">
        <v>45983</v>
      </c>
      <c r="C3822" t="inlineStr">
        <is>
          <t>S03</t>
        </is>
      </c>
      <c r="D3822" t="inlineStr">
        <is>
          <t>P101</t>
        </is>
      </c>
      <c r="E3822" t="n">
        <v>1</v>
      </c>
      <c r="F3822" t="n">
        <v>39</v>
      </c>
      <c r="G3822" t="n">
        <v>0.1</v>
      </c>
      <c r="H3822">
        <f>E3822*F3822*(1-G3822)</f>
        <v/>
      </c>
      <c r="I3822">
        <f>XLOOKUP(D3822,Products!$A$2:$A$15,Products!$B$2:$B$15,"Not found")</f>
        <v/>
      </c>
    </row>
    <row r="3823">
      <c r="A3823" t="n">
        <v>108142</v>
      </c>
      <c r="B3823" s="1" t="n">
        <v>45983</v>
      </c>
      <c r="C3823" t="inlineStr">
        <is>
          <t>S03</t>
        </is>
      </c>
      <c r="D3823" t="inlineStr">
        <is>
          <t>P101</t>
        </is>
      </c>
      <c r="E3823" t="n">
        <v>2</v>
      </c>
      <c r="F3823" t="n">
        <v>39</v>
      </c>
      <c r="G3823" t="n">
        <v>0</v>
      </c>
      <c r="H3823">
        <f>E3823*F3823*(1-G3823)</f>
        <v/>
      </c>
      <c r="I3823">
        <f>XLOOKUP(D3823,Products!$A$2:$A$15,Products!$B$2:$B$15,"Not found")</f>
        <v/>
      </c>
    </row>
    <row r="3824">
      <c r="A3824" t="n">
        <v>108143</v>
      </c>
      <c r="B3824" s="1" t="n">
        <v>45983</v>
      </c>
      <c r="C3824" t="inlineStr">
        <is>
          <t>S03</t>
        </is>
      </c>
      <c r="D3824" t="inlineStr">
        <is>
          <t>P101</t>
        </is>
      </c>
      <c r="E3824" t="n">
        <v>3</v>
      </c>
      <c r="F3824" t="n">
        <v>39</v>
      </c>
      <c r="G3824" t="n">
        <v>0.1</v>
      </c>
      <c r="H3824">
        <f>E3824*F3824*(1-G3824)</f>
        <v/>
      </c>
      <c r="I3824">
        <f>XLOOKUP(D3824,Products!$A$2:$A$15,Products!$B$2:$B$15,"Not found")</f>
        <v/>
      </c>
    </row>
    <row r="3825">
      <c r="A3825" t="n">
        <v>108144</v>
      </c>
      <c r="B3825" s="1" t="n">
        <v>45983</v>
      </c>
      <c r="C3825" t="inlineStr">
        <is>
          <t>S03</t>
        </is>
      </c>
      <c r="D3825" t="inlineStr">
        <is>
          <t>P302</t>
        </is>
      </c>
      <c r="E3825" t="n">
        <v>4</v>
      </c>
      <c r="F3825" t="n">
        <v>24</v>
      </c>
      <c r="G3825" t="n">
        <v>0</v>
      </c>
      <c r="H3825">
        <f>E3825*F3825*(1-G3825)</f>
        <v/>
      </c>
      <c r="I3825">
        <f>XLOOKUP(D3825,Products!$A$2:$A$15,Products!$B$2:$B$15,"Not found")</f>
        <v/>
      </c>
    </row>
    <row r="3826">
      <c r="A3826" t="n">
        <v>108145</v>
      </c>
      <c r="B3826" s="1" t="n">
        <v>45983</v>
      </c>
      <c r="C3826" t="inlineStr">
        <is>
          <t>S03</t>
        </is>
      </c>
      <c r="D3826" t="inlineStr">
        <is>
          <t>P303</t>
        </is>
      </c>
      <c r="E3826" t="n">
        <v>2</v>
      </c>
      <c r="F3826" t="n">
        <v>12</v>
      </c>
      <c r="G3826" t="n">
        <v>0.1</v>
      </c>
      <c r="H3826">
        <f>E3826*F3826*(1-G3826)</f>
        <v/>
      </c>
      <c r="I3826">
        <f>XLOOKUP(D3826,Products!$A$2:$A$15,Products!$B$2:$B$15,"Not found")</f>
        <v/>
      </c>
    </row>
    <row r="3827">
      <c r="A3827" t="n">
        <v>108146</v>
      </c>
      <c r="B3827" s="1" t="n">
        <v>45983</v>
      </c>
      <c r="C3827" t="inlineStr">
        <is>
          <t>S03</t>
        </is>
      </c>
      <c r="D3827" t="inlineStr">
        <is>
          <t>P301</t>
        </is>
      </c>
      <c r="E3827" t="n">
        <v>1</v>
      </c>
      <c r="F3827" t="n">
        <v>119</v>
      </c>
      <c r="G3827" t="n">
        <v>0</v>
      </c>
      <c r="H3827">
        <f>E3827*F3827*(1-G3827)</f>
        <v/>
      </c>
      <c r="I3827">
        <f>XLOOKUP(D3827,Products!$A$2:$A$15,Products!$B$2:$B$15,"Not found")</f>
        <v/>
      </c>
    </row>
    <row r="3828">
      <c r="A3828" t="n">
        <v>108147</v>
      </c>
      <c r="B3828" s="1" t="n">
        <v>45983</v>
      </c>
      <c r="C3828" t="inlineStr">
        <is>
          <t>S04</t>
        </is>
      </c>
      <c r="D3828" t="inlineStr">
        <is>
          <t>P402</t>
        </is>
      </c>
      <c r="E3828" t="n">
        <v>1</v>
      </c>
      <c r="F3828" t="n">
        <v>699</v>
      </c>
      <c r="G3828" t="n">
        <v>0.2</v>
      </c>
      <c r="H3828">
        <f>E3828*F3828*(1-G3828)</f>
        <v/>
      </c>
      <c r="I3828">
        <f>XLOOKUP(D3828,Products!$A$2:$A$15,Products!$B$2:$B$15,"Not found")</f>
        <v/>
      </c>
    </row>
    <row r="3829">
      <c r="A3829" t="n">
        <v>108148</v>
      </c>
      <c r="B3829" s="1" t="n">
        <v>45983</v>
      </c>
      <c r="C3829" t="inlineStr">
        <is>
          <t>S05</t>
        </is>
      </c>
      <c r="D3829" t="inlineStr">
        <is>
          <t>P303</t>
        </is>
      </c>
      <c r="E3829" t="n">
        <v>4</v>
      </c>
      <c r="F3829" t="n">
        <v>12</v>
      </c>
      <c r="G3829" t="n">
        <v>0</v>
      </c>
      <c r="H3829">
        <f>E3829*F3829*(1-G3829)</f>
        <v/>
      </c>
      <c r="I3829">
        <f>XLOOKUP(D3829,Products!$A$2:$A$15,Products!$B$2:$B$15,"Not found")</f>
        <v/>
      </c>
    </row>
    <row r="3830">
      <c r="A3830" t="n">
        <v>108149</v>
      </c>
      <c r="B3830" s="1" t="n">
        <v>45983</v>
      </c>
      <c r="C3830" t="inlineStr">
        <is>
          <t>S05</t>
        </is>
      </c>
      <c r="D3830" t="inlineStr">
        <is>
          <t>P203</t>
        </is>
      </c>
      <c r="E3830" t="n">
        <v>4</v>
      </c>
      <c r="F3830" t="n">
        <v>19.5</v>
      </c>
      <c r="G3830" t="n">
        <v>0.1</v>
      </c>
      <c r="H3830">
        <f>E3830*F3830*(1-G3830)</f>
        <v/>
      </c>
      <c r="I3830">
        <f>XLOOKUP(D3830,Products!$A$2:$A$15,Products!$B$2:$B$15,"Not found")</f>
        <v/>
      </c>
    </row>
    <row r="3831">
      <c r="A3831" t="n">
        <v>108150</v>
      </c>
      <c r="B3831" s="1" t="n">
        <v>45983</v>
      </c>
      <c r="C3831" t="inlineStr">
        <is>
          <t>S05</t>
        </is>
      </c>
      <c r="D3831" t="inlineStr">
        <is>
          <t>P101</t>
        </is>
      </c>
      <c r="E3831" t="n">
        <v>1</v>
      </c>
      <c r="F3831" t="n">
        <v>39</v>
      </c>
      <c r="G3831" t="n">
        <v>0</v>
      </c>
      <c r="H3831">
        <f>E3831*F3831*(1-G3831)</f>
        <v/>
      </c>
      <c r="I3831">
        <f>XLOOKUP(D3831,Products!$A$2:$A$15,Products!$B$2:$B$15,"Not found")</f>
        <v/>
      </c>
    </row>
    <row r="3832">
      <c r="A3832" t="n">
        <v>108151</v>
      </c>
      <c r="B3832" s="1" t="n">
        <v>45983</v>
      </c>
      <c r="C3832" t="inlineStr">
        <is>
          <t>S05</t>
        </is>
      </c>
      <c r="D3832" t="inlineStr">
        <is>
          <t>P403</t>
        </is>
      </c>
      <c r="E3832" t="n">
        <v>1</v>
      </c>
      <c r="F3832" t="n">
        <v>89</v>
      </c>
      <c r="G3832" t="n">
        <v>0</v>
      </c>
      <c r="H3832">
        <f>E3832*F3832*(1-G3832)</f>
        <v/>
      </c>
      <c r="I3832">
        <f>XLOOKUP(D3832,Products!$A$2:$A$15,Products!$B$2:$B$15,"Not found")</f>
        <v/>
      </c>
    </row>
    <row r="3833">
      <c r="A3833" t="n">
        <v>108152</v>
      </c>
      <c r="B3833" s="1" t="n">
        <v>45983</v>
      </c>
      <c r="C3833" t="inlineStr">
        <is>
          <t>S05</t>
        </is>
      </c>
      <c r="D3833" t="inlineStr">
        <is>
          <t>P201</t>
        </is>
      </c>
      <c r="E3833" t="n">
        <v>1</v>
      </c>
      <c r="F3833" t="n">
        <v>149</v>
      </c>
      <c r="G3833" t="n">
        <v>0</v>
      </c>
      <c r="H3833">
        <f>E3833*F3833*(1-G3833)</f>
        <v/>
      </c>
      <c r="I3833">
        <f>XLOOKUP(D3833,Products!$A$2:$A$15,Products!$B$2:$B$15,"Not found")</f>
        <v/>
      </c>
    </row>
    <row r="3834">
      <c r="A3834" t="n">
        <v>108153</v>
      </c>
      <c r="B3834" s="1" t="n">
        <v>45983</v>
      </c>
      <c r="C3834" t="inlineStr">
        <is>
          <t>S05</t>
        </is>
      </c>
      <c r="D3834" t="inlineStr">
        <is>
          <t>P301</t>
        </is>
      </c>
      <c r="E3834" t="n">
        <v>1</v>
      </c>
      <c r="F3834" t="n">
        <v>119</v>
      </c>
      <c r="G3834" t="n">
        <v>0.2</v>
      </c>
      <c r="H3834">
        <f>E3834*F3834*(1-G3834)</f>
        <v/>
      </c>
      <c r="I3834">
        <f>XLOOKUP(D3834,Products!$A$2:$A$15,Products!$B$2:$B$15,"Not found")</f>
        <v/>
      </c>
    </row>
    <row r="3835">
      <c r="A3835" t="n">
        <v>108154</v>
      </c>
      <c r="B3835" s="1" t="n">
        <v>45983</v>
      </c>
      <c r="C3835" t="inlineStr">
        <is>
          <t>S06</t>
        </is>
      </c>
      <c r="D3835" t="inlineStr">
        <is>
          <t>P102</t>
        </is>
      </c>
      <c r="E3835" t="n">
        <v>2</v>
      </c>
      <c r="F3835" t="n">
        <v>14.5</v>
      </c>
      <c r="G3835" t="n">
        <v>0</v>
      </c>
      <c r="H3835">
        <f>E3835*F3835*(1-G3835)</f>
        <v/>
      </c>
      <c r="I3835">
        <f>XLOOKUP(D3835,Products!$A$2:$A$15,Products!$B$2:$B$15,"Not found")</f>
        <v/>
      </c>
    </row>
    <row r="3836">
      <c r="A3836" t="n">
        <v>108155</v>
      </c>
      <c r="B3836" s="1" t="n">
        <v>45983</v>
      </c>
      <c r="C3836" t="inlineStr">
        <is>
          <t>S06</t>
        </is>
      </c>
      <c r="D3836" t="inlineStr">
        <is>
          <t>P202</t>
        </is>
      </c>
      <c r="E3836" t="n">
        <v>1</v>
      </c>
      <c r="F3836" t="n">
        <v>79</v>
      </c>
      <c r="G3836" t="n">
        <v>0</v>
      </c>
      <c r="H3836">
        <f>E3836*F3836*(1-G3836)</f>
        <v/>
      </c>
      <c r="I3836">
        <f>XLOOKUP(D3836,Products!$A$2:$A$15,Products!$B$2:$B$15,"Not found")</f>
        <v/>
      </c>
    </row>
    <row r="3837">
      <c r="A3837" t="n">
        <v>108156</v>
      </c>
      <c r="B3837" s="1" t="n">
        <v>45983</v>
      </c>
      <c r="C3837" t="inlineStr">
        <is>
          <t>S06</t>
        </is>
      </c>
      <c r="D3837" t="inlineStr">
        <is>
          <t>P203</t>
        </is>
      </c>
      <c r="E3837" t="n">
        <v>1</v>
      </c>
      <c r="F3837" t="n">
        <v>19.5</v>
      </c>
      <c r="G3837" t="n">
        <v>0.2</v>
      </c>
      <c r="H3837">
        <f>E3837*F3837*(1-G3837)</f>
        <v/>
      </c>
      <c r="I3837">
        <f>XLOOKUP(D3837,Products!$A$2:$A$15,Products!$B$2:$B$15,"Not found")</f>
        <v/>
      </c>
    </row>
    <row r="3838">
      <c r="A3838" t="n">
        <v>108157</v>
      </c>
      <c r="B3838" s="1" t="n">
        <v>45983</v>
      </c>
      <c r="C3838" t="inlineStr">
        <is>
          <t>S06</t>
        </is>
      </c>
      <c r="D3838" t="inlineStr">
        <is>
          <t>P203</t>
        </is>
      </c>
      <c r="E3838" t="n">
        <v>2</v>
      </c>
      <c r="F3838" t="n">
        <v>19.5</v>
      </c>
      <c r="G3838" t="n">
        <v>0</v>
      </c>
      <c r="H3838">
        <f>E3838*F3838*(1-G3838)</f>
        <v/>
      </c>
      <c r="I3838">
        <f>XLOOKUP(D3838,Products!$A$2:$A$15,Products!$B$2:$B$15,"Not found")</f>
        <v/>
      </c>
    </row>
    <row r="3839">
      <c r="A3839" t="n">
        <v>108158</v>
      </c>
      <c r="B3839" s="1" t="n">
        <v>45984</v>
      </c>
      <c r="C3839" t="inlineStr">
        <is>
          <t>S01</t>
        </is>
      </c>
      <c r="D3839" t="inlineStr">
        <is>
          <t>P102</t>
        </is>
      </c>
      <c r="E3839" t="n">
        <v>2</v>
      </c>
      <c r="F3839" t="n">
        <v>14.5</v>
      </c>
      <c r="G3839" t="n">
        <v>0</v>
      </c>
      <c r="H3839">
        <f>E3839*F3839*(1-G3839)</f>
        <v/>
      </c>
      <c r="I3839">
        <f>XLOOKUP(D3839,Products!$A$2:$A$15,Products!$B$2:$B$15,"Not found")</f>
        <v/>
      </c>
    </row>
    <row r="3840">
      <c r="A3840" t="n">
        <v>108159</v>
      </c>
      <c r="B3840" s="1" t="n">
        <v>45984</v>
      </c>
      <c r="C3840" t="inlineStr">
        <is>
          <t>S01</t>
        </is>
      </c>
      <c r="D3840" t="inlineStr">
        <is>
          <t>P101</t>
        </is>
      </c>
      <c r="E3840" t="n">
        <v>2</v>
      </c>
      <c r="F3840" t="n">
        <v>39</v>
      </c>
      <c r="G3840" t="n">
        <v>0</v>
      </c>
      <c r="H3840">
        <f>E3840*F3840*(1-G3840)</f>
        <v/>
      </c>
      <c r="I3840">
        <f>XLOOKUP(D3840,Products!$A$2:$A$15,Products!$B$2:$B$15,"Not found")</f>
        <v/>
      </c>
    </row>
    <row r="3841">
      <c r="A3841" t="n">
        <v>108160</v>
      </c>
      <c r="B3841" s="1" t="n">
        <v>45984</v>
      </c>
      <c r="C3841" t="inlineStr">
        <is>
          <t>S01</t>
        </is>
      </c>
      <c r="D3841" t="inlineStr">
        <is>
          <t>P302</t>
        </is>
      </c>
      <c r="E3841" t="n">
        <v>4</v>
      </c>
      <c r="F3841" t="n">
        <v>24</v>
      </c>
      <c r="G3841" t="n">
        <v>0.2</v>
      </c>
      <c r="H3841">
        <f>E3841*F3841*(1-G3841)</f>
        <v/>
      </c>
      <c r="I3841">
        <f>XLOOKUP(D3841,Products!$A$2:$A$15,Products!$B$2:$B$15,"Not found")</f>
        <v/>
      </c>
    </row>
    <row r="3842">
      <c r="A3842" t="n">
        <v>108161</v>
      </c>
      <c r="B3842" s="1" t="n">
        <v>45984</v>
      </c>
      <c r="C3842" t="inlineStr">
        <is>
          <t>S01</t>
        </is>
      </c>
      <c r="D3842" t="inlineStr">
        <is>
          <t>P103</t>
        </is>
      </c>
      <c r="E3842" t="n">
        <v>3</v>
      </c>
      <c r="F3842" t="n">
        <v>29</v>
      </c>
      <c r="G3842" t="n">
        <v>0</v>
      </c>
      <c r="H3842">
        <f>E3842*F3842*(1-G3842)</f>
        <v/>
      </c>
      <c r="I3842">
        <f>XLOOKUP(D3842,Products!$A$2:$A$15,Products!$B$2:$B$15,"Not found")</f>
        <v/>
      </c>
    </row>
    <row r="3843">
      <c r="A3843" t="n">
        <v>108162</v>
      </c>
      <c r="B3843" s="1" t="n">
        <v>45984</v>
      </c>
      <c r="C3843" t="inlineStr">
        <is>
          <t>S01</t>
        </is>
      </c>
      <c r="D3843" t="inlineStr">
        <is>
          <t>P201</t>
        </is>
      </c>
      <c r="E3843" t="n">
        <v>1</v>
      </c>
      <c r="F3843" t="n">
        <v>149</v>
      </c>
      <c r="G3843" t="n">
        <v>0</v>
      </c>
      <c r="H3843">
        <f>E3843*F3843*(1-G3843)</f>
        <v/>
      </c>
      <c r="I3843">
        <f>XLOOKUP(D3843,Products!$A$2:$A$15,Products!$B$2:$B$15,"Not found")</f>
        <v/>
      </c>
    </row>
    <row r="3844">
      <c r="A3844" t="n">
        <v>108163</v>
      </c>
      <c r="B3844" s="1" t="n">
        <v>45984</v>
      </c>
      <c r="C3844" t="inlineStr">
        <is>
          <t>S02</t>
        </is>
      </c>
      <c r="D3844" t="inlineStr">
        <is>
          <t>P102</t>
        </is>
      </c>
      <c r="E3844" t="n">
        <v>4</v>
      </c>
      <c r="F3844" t="n">
        <v>14.5</v>
      </c>
      <c r="G3844" t="n">
        <v>0.15</v>
      </c>
      <c r="H3844">
        <f>E3844*F3844*(1-G3844)</f>
        <v/>
      </c>
      <c r="I3844">
        <f>XLOOKUP(D3844,Products!$A$2:$A$15,Products!$B$2:$B$15,"Not found")</f>
        <v/>
      </c>
    </row>
    <row r="3845">
      <c r="A3845" t="n">
        <v>108164</v>
      </c>
      <c r="B3845" s="1" t="n">
        <v>45984</v>
      </c>
      <c r="C3845" t="inlineStr">
        <is>
          <t>S02</t>
        </is>
      </c>
      <c r="D3845" t="inlineStr">
        <is>
          <t>P202</t>
        </is>
      </c>
      <c r="E3845" t="n">
        <v>2</v>
      </c>
      <c r="F3845" t="n">
        <v>79</v>
      </c>
      <c r="G3845" t="n">
        <v>0</v>
      </c>
      <c r="H3845">
        <f>E3845*F3845*(1-G3845)</f>
        <v/>
      </c>
      <c r="I3845">
        <f>XLOOKUP(D3845,Products!$A$2:$A$15,Products!$B$2:$B$15,"Not found")</f>
        <v/>
      </c>
    </row>
    <row r="3846">
      <c r="A3846" t="n">
        <v>108165</v>
      </c>
      <c r="B3846" s="1" t="n">
        <v>45984</v>
      </c>
      <c r="C3846" t="inlineStr">
        <is>
          <t>S02</t>
        </is>
      </c>
      <c r="D3846" t="inlineStr">
        <is>
          <t>P203</t>
        </is>
      </c>
      <c r="E3846" t="n">
        <v>2</v>
      </c>
      <c r="F3846" t="n">
        <v>19.5</v>
      </c>
      <c r="G3846" t="n">
        <v>0.15</v>
      </c>
      <c r="H3846">
        <f>E3846*F3846*(1-G3846)</f>
        <v/>
      </c>
      <c r="I3846">
        <f>XLOOKUP(D3846,Products!$A$2:$A$15,Products!$B$2:$B$15,"Not found")</f>
        <v/>
      </c>
    </row>
    <row r="3847">
      <c r="A3847" t="n">
        <v>108166</v>
      </c>
      <c r="B3847" s="1" t="n">
        <v>45984</v>
      </c>
      <c r="C3847" t="inlineStr">
        <is>
          <t>S02</t>
        </is>
      </c>
      <c r="D3847" t="inlineStr">
        <is>
          <t>P204</t>
        </is>
      </c>
      <c r="E3847" t="n">
        <v>1</v>
      </c>
      <c r="F3847" t="n">
        <v>229</v>
      </c>
      <c r="G3847" t="n">
        <v>0</v>
      </c>
      <c r="H3847">
        <f>E3847*F3847*(1-G3847)</f>
        <v/>
      </c>
      <c r="I3847">
        <f>XLOOKUP(D3847,Products!$A$2:$A$15,Products!$B$2:$B$15,"Not found")</f>
        <v/>
      </c>
    </row>
    <row r="3848">
      <c r="A3848" t="n">
        <v>108167</v>
      </c>
      <c r="B3848" s="1" t="n">
        <v>45984</v>
      </c>
      <c r="C3848" t="inlineStr">
        <is>
          <t>S02</t>
        </is>
      </c>
      <c r="D3848" t="inlineStr">
        <is>
          <t>P103</t>
        </is>
      </c>
      <c r="E3848" t="n">
        <v>2</v>
      </c>
      <c r="F3848" t="n">
        <v>29</v>
      </c>
      <c r="G3848" t="n">
        <v>0.1</v>
      </c>
      <c r="H3848">
        <f>E3848*F3848*(1-G3848)</f>
        <v/>
      </c>
      <c r="I3848">
        <f>XLOOKUP(D3848,Products!$A$2:$A$15,Products!$B$2:$B$15,"Not found")</f>
        <v/>
      </c>
    </row>
    <row r="3849">
      <c r="A3849" t="n">
        <v>108168</v>
      </c>
      <c r="B3849" s="1" t="n">
        <v>45984</v>
      </c>
      <c r="C3849" t="inlineStr">
        <is>
          <t>S02</t>
        </is>
      </c>
      <c r="D3849" t="inlineStr">
        <is>
          <t>P303</t>
        </is>
      </c>
      <c r="E3849" t="n">
        <v>2</v>
      </c>
      <c r="F3849" t="n">
        <v>12</v>
      </c>
      <c r="G3849" t="n">
        <v>0</v>
      </c>
      <c r="H3849">
        <f>E3849*F3849*(1-G3849)</f>
        <v/>
      </c>
      <c r="I3849">
        <f>XLOOKUP(D3849,Products!$A$2:$A$15,Products!$B$2:$B$15,"Not found")</f>
        <v/>
      </c>
    </row>
    <row r="3850">
      <c r="A3850" t="n">
        <v>108169</v>
      </c>
      <c r="B3850" s="1" t="n">
        <v>45984</v>
      </c>
      <c r="C3850" t="inlineStr">
        <is>
          <t>S02</t>
        </is>
      </c>
      <c r="D3850" t="inlineStr">
        <is>
          <t>P203</t>
        </is>
      </c>
      <c r="E3850" t="n">
        <v>2</v>
      </c>
      <c r="F3850" t="n">
        <v>19.5</v>
      </c>
      <c r="G3850" t="n">
        <v>0.1</v>
      </c>
      <c r="H3850">
        <f>E3850*F3850*(1-G3850)</f>
        <v/>
      </c>
      <c r="I3850">
        <f>XLOOKUP(D3850,Products!$A$2:$A$15,Products!$B$2:$B$15,"Not found")</f>
        <v/>
      </c>
    </row>
    <row r="3851">
      <c r="A3851" t="n">
        <v>108170</v>
      </c>
      <c r="B3851" s="1" t="n">
        <v>45984</v>
      </c>
      <c r="C3851" t="inlineStr">
        <is>
          <t>S02</t>
        </is>
      </c>
      <c r="D3851" t="inlineStr">
        <is>
          <t>P301</t>
        </is>
      </c>
      <c r="E3851" t="n">
        <v>1</v>
      </c>
      <c r="F3851" t="n">
        <v>119</v>
      </c>
      <c r="G3851" t="n">
        <v>0</v>
      </c>
      <c r="H3851">
        <f>E3851*F3851*(1-G3851)</f>
        <v/>
      </c>
      <c r="I3851">
        <f>XLOOKUP(D3851,Products!$A$2:$A$15,Products!$B$2:$B$15,"Not found")</f>
        <v/>
      </c>
    </row>
    <row r="3852">
      <c r="A3852" t="n">
        <v>108171</v>
      </c>
      <c r="B3852" s="1" t="n">
        <v>45984</v>
      </c>
      <c r="C3852" t="inlineStr">
        <is>
          <t>S02</t>
        </is>
      </c>
      <c r="D3852" t="inlineStr">
        <is>
          <t>P403</t>
        </is>
      </c>
      <c r="E3852" t="n">
        <v>2</v>
      </c>
      <c r="F3852" t="n">
        <v>89</v>
      </c>
      <c r="G3852" t="n">
        <v>0</v>
      </c>
      <c r="H3852">
        <f>E3852*F3852*(1-G3852)</f>
        <v/>
      </c>
      <c r="I3852">
        <f>XLOOKUP(D3852,Products!$A$2:$A$15,Products!$B$2:$B$15,"Not found")</f>
        <v/>
      </c>
    </row>
    <row r="3853">
      <c r="A3853" t="n">
        <v>108172</v>
      </c>
      <c r="B3853" s="1" t="n">
        <v>45984</v>
      </c>
      <c r="C3853" t="inlineStr">
        <is>
          <t>S02</t>
        </is>
      </c>
      <c r="D3853" t="inlineStr">
        <is>
          <t>P203</t>
        </is>
      </c>
      <c r="E3853" t="n">
        <v>3</v>
      </c>
      <c r="F3853" t="n">
        <v>19.5</v>
      </c>
      <c r="G3853" t="n">
        <v>0.1</v>
      </c>
      <c r="H3853">
        <f>E3853*F3853*(1-G3853)</f>
        <v/>
      </c>
      <c r="I3853">
        <f>XLOOKUP(D3853,Products!$A$2:$A$15,Products!$B$2:$B$15,"Not found")</f>
        <v/>
      </c>
    </row>
    <row r="3854">
      <c r="A3854" t="n">
        <v>108173</v>
      </c>
      <c r="B3854" s="1" t="n">
        <v>45984</v>
      </c>
      <c r="C3854" t="inlineStr">
        <is>
          <t>S03</t>
        </is>
      </c>
      <c r="D3854" t="inlineStr">
        <is>
          <t>P203</t>
        </is>
      </c>
      <c r="E3854" t="n">
        <v>2</v>
      </c>
      <c r="F3854" t="n">
        <v>19.5</v>
      </c>
      <c r="G3854" t="n">
        <v>0</v>
      </c>
      <c r="H3854">
        <f>E3854*F3854*(1-G3854)</f>
        <v/>
      </c>
      <c r="I3854">
        <f>XLOOKUP(D3854,Products!$A$2:$A$15,Products!$B$2:$B$15,"Not found")</f>
        <v/>
      </c>
    </row>
    <row r="3855">
      <c r="A3855" t="n">
        <v>108174</v>
      </c>
      <c r="B3855" s="1" t="n">
        <v>45984</v>
      </c>
      <c r="C3855" t="inlineStr">
        <is>
          <t>S03</t>
        </is>
      </c>
      <c r="D3855" t="inlineStr">
        <is>
          <t>P303</t>
        </is>
      </c>
      <c r="E3855" t="n">
        <v>3</v>
      </c>
      <c r="F3855" t="n">
        <v>12</v>
      </c>
      <c r="G3855" t="n">
        <v>0</v>
      </c>
      <c r="H3855">
        <f>E3855*F3855*(1-G3855)</f>
        <v/>
      </c>
      <c r="I3855">
        <f>XLOOKUP(D3855,Products!$A$2:$A$15,Products!$B$2:$B$15,"Not found")</f>
        <v/>
      </c>
    </row>
    <row r="3856">
      <c r="A3856" t="n">
        <v>108175</v>
      </c>
      <c r="B3856" s="1" t="n">
        <v>45984</v>
      </c>
      <c r="C3856" t="inlineStr">
        <is>
          <t>S03</t>
        </is>
      </c>
      <c r="D3856" t="inlineStr">
        <is>
          <t>P303</t>
        </is>
      </c>
      <c r="E3856" t="n">
        <v>4</v>
      </c>
      <c r="F3856" t="n">
        <v>12</v>
      </c>
      <c r="G3856" t="n">
        <v>0.1</v>
      </c>
      <c r="H3856">
        <f>E3856*F3856*(1-G3856)</f>
        <v/>
      </c>
      <c r="I3856">
        <f>XLOOKUP(D3856,Products!$A$2:$A$15,Products!$B$2:$B$15,"Not found")</f>
        <v/>
      </c>
    </row>
    <row r="3857">
      <c r="A3857" t="n">
        <v>108176</v>
      </c>
      <c r="B3857" s="1" t="n">
        <v>45984</v>
      </c>
      <c r="C3857" t="inlineStr">
        <is>
          <t>S03</t>
        </is>
      </c>
      <c r="D3857" t="inlineStr">
        <is>
          <t>P201</t>
        </is>
      </c>
      <c r="E3857" t="n">
        <v>1</v>
      </c>
      <c r="F3857" t="n">
        <v>149</v>
      </c>
      <c r="G3857" t="n">
        <v>0</v>
      </c>
      <c r="H3857">
        <f>E3857*F3857*(1-G3857)</f>
        <v/>
      </c>
      <c r="I3857">
        <f>XLOOKUP(D3857,Products!$A$2:$A$15,Products!$B$2:$B$15,"Not found")</f>
        <v/>
      </c>
    </row>
    <row r="3858">
      <c r="A3858" t="n">
        <v>108177</v>
      </c>
      <c r="B3858" s="1" t="n">
        <v>45984</v>
      </c>
      <c r="C3858" t="inlineStr">
        <is>
          <t>S04</t>
        </is>
      </c>
      <c r="D3858" t="inlineStr">
        <is>
          <t>P403</t>
        </is>
      </c>
      <c r="E3858" t="n">
        <v>1</v>
      </c>
      <c r="F3858" t="n">
        <v>89</v>
      </c>
      <c r="G3858" t="n">
        <v>0.1</v>
      </c>
      <c r="H3858">
        <f>E3858*F3858*(1-G3858)</f>
        <v/>
      </c>
      <c r="I3858">
        <f>XLOOKUP(D3858,Products!$A$2:$A$15,Products!$B$2:$B$15,"Not found")</f>
        <v/>
      </c>
    </row>
    <row r="3859">
      <c r="A3859" t="n">
        <v>108178</v>
      </c>
      <c r="B3859" s="1" t="n">
        <v>45984</v>
      </c>
      <c r="C3859" t="inlineStr">
        <is>
          <t>S05</t>
        </is>
      </c>
      <c r="D3859" t="inlineStr">
        <is>
          <t>P102</t>
        </is>
      </c>
      <c r="E3859" t="n">
        <v>1</v>
      </c>
      <c r="F3859" t="n">
        <v>14.5</v>
      </c>
      <c r="G3859" t="n">
        <v>0</v>
      </c>
      <c r="H3859">
        <f>E3859*F3859*(1-G3859)</f>
        <v/>
      </c>
      <c r="I3859">
        <f>XLOOKUP(D3859,Products!$A$2:$A$15,Products!$B$2:$B$15,"Not found")</f>
        <v/>
      </c>
    </row>
    <row r="3860">
      <c r="A3860" t="n">
        <v>108179</v>
      </c>
      <c r="B3860" s="1" t="n">
        <v>45984</v>
      </c>
      <c r="C3860" t="inlineStr">
        <is>
          <t>S05</t>
        </is>
      </c>
      <c r="D3860" t="inlineStr">
        <is>
          <t>P302</t>
        </is>
      </c>
      <c r="E3860" t="n">
        <v>1</v>
      </c>
      <c r="F3860" t="n">
        <v>24</v>
      </c>
      <c r="G3860" t="n">
        <v>0</v>
      </c>
      <c r="H3860">
        <f>E3860*F3860*(1-G3860)</f>
        <v/>
      </c>
      <c r="I3860">
        <f>XLOOKUP(D3860,Products!$A$2:$A$15,Products!$B$2:$B$15,"Not found")</f>
        <v/>
      </c>
    </row>
    <row r="3861">
      <c r="A3861" t="n">
        <v>108180</v>
      </c>
      <c r="B3861" s="1" t="n">
        <v>45984</v>
      </c>
      <c r="C3861" t="inlineStr">
        <is>
          <t>S05</t>
        </is>
      </c>
      <c r="D3861" t="inlineStr">
        <is>
          <t>P203</t>
        </is>
      </c>
      <c r="E3861" t="n">
        <v>1</v>
      </c>
      <c r="F3861" t="n">
        <v>19.5</v>
      </c>
      <c r="G3861" t="n">
        <v>0</v>
      </c>
      <c r="H3861">
        <f>E3861*F3861*(1-G3861)</f>
        <v/>
      </c>
      <c r="I3861">
        <f>XLOOKUP(D3861,Products!$A$2:$A$15,Products!$B$2:$B$15,"Not found")</f>
        <v/>
      </c>
    </row>
    <row r="3862">
      <c r="A3862" t="n">
        <v>108181</v>
      </c>
      <c r="B3862" s="1" t="n">
        <v>45984</v>
      </c>
      <c r="C3862" t="inlineStr">
        <is>
          <t>S05</t>
        </is>
      </c>
      <c r="D3862" t="inlineStr">
        <is>
          <t>P302</t>
        </is>
      </c>
      <c r="E3862" t="n">
        <v>2</v>
      </c>
      <c r="F3862" t="n">
        <v>24</v>
      </c>
      <c r="G3862" t="n">
        <v>0</v>
      </c>
      <c r="H3862">
        <f>E3862*F3862*(1-G3862)</f>
        <v/>
      </c>
      <c r="I3862">
        <f>XLOOKUP(D3862,Products!$A$2:$A$15,Products!$B$2:$B$15,"Not found")</f>
        <v/>
      </c>
    </row>
    <row r="3863">
      <c r="A3863" t="n">
        <v>108182</v>
      </c>
      <c r="B3863" s="1" t="n">
        <v>45984</v>
      </c>
      <c r="C3863" t="inlineStr">
        <is>
          <t>S05</t>
        </is>
      </c>
      <c r="D3863" t="inlineStr">
        <is>
          <t>P102</t>
        </is>
      </c>
      <c r="E3863" t="n">
        <v>2</v>
      </c>
      <c r="F3863" t="n">
        <v>14.5</v>
      </c>
      <c r="G3863" t="n">
        <v>0.2</v>
      </c>
      <c r="H3863">
        <f>E3863*F3863*(1-G3863)</f>
        <v/>
      </c>
      <c r="I3863">
        <f>XLOOKUP(D3863,Products!$A$2:$A$15,Products!$B$2:$B$15,"Not found")</f>
        <v/>
      </c>
    </row>
    <row r="3864">
      <c r="A3864" t="n">
        <v>108183</v>
      </c>
      <c r="B3864" s="1" t="n">
        <v>45984</v>
      </c>
      <c r="C3864" t="inlineStr">
        <is>
          <t>S05</t>
        </is>
      </c>
      <c r="D3864" t="inlineStr">
        <is>
          <t>P203</t>
        </is>
      </c>
      <c r="E3864" t="n">
        <v>3</v>
      </c>
      <c r="F3864" t="n">
        <v>19.5</v>
      </c>
      <c r="G3864" t="n">
        <v>0.15</v>
      </c>
      <c r="H3864">
        <f>E3864*F3864*(1-G3864)</f>
        <v/>
      </c>
      <c r="I3864">
        <f>XLOOKUP(D3864,Products!$A$2:$A$15,Products!$B$2:$B$15,"Not found")</f>
        <v/>
      </c>
    </row>
    <row r="3865">
      <c r="A3865" t="n">
        <v>108184</v>
      </c>
      <c r="B3865" s="1" t="n">
        <v>45984</v>
      </c>
      <c r="C3865" t="inlineStr">
        <is>
          <t>S06</t>
        </is>
      </c>
      <c r="D3865" t="inlineStr">
        <is>
          <t>P102</t>
        </is>
      </c>
      <c r="E3865" t="n">
        <v>1</v>
      </c>
      <c r="F3865" t="n">
        <v>14.5</v>
      </c>
      <c r="G3865" t="n">
        <v>0</v>
      </c>
      <c r="H3865">
        <f>E3865*F3865*(1-G3865)</f>
        <v/>
      </c>
      <c r="I3865">
        <f>XLOOKUP(D3865,Products!$A$2:$A$15,Products!$B$2:$B$15,"Not found")</f>
        <v/>
      </c>
    </row>
    <row r="3866">
      <c r="A3866" t="n">
        <v>108185</v>
      </c>
      <c r="B3866" s="1" t="n">
        <v>45984</v>
      </c>
      <c r="C3866" t="inlineStr">
        <is>
          <t>S06</t>
        </is>
      </c>
      <c r="D3866" t="inlineStr">
        <is>
          <t>P102</t>
        </is>
      </c>
      <c r="E3866" t="n">
        <v>1</v>
      </c>
      <c r="F3866" t="n">
        <v>14.5</v>
      </c>
      <c r="G3866" t="n">
        <v>0</v>
      </c>
      <c r="H3866">
        <f>E3866*F3866*(1-G3866)</f>
        <v/>
      </c>
      <c r="I3866">
        <f>XLOOKUP(D3866,Products!$A$2:$A$15,Products!$B$2:$B$15,"Not found")</f>
        <v/>
      </c>
    </row>
    <row r="3867">
      <c r="A3867" t="n">
        <v>108186</v>
      </c>
      <c r="B3867" s="1" t="n">
        <v>45984</v>
      </c>
      <c r="C3867" t="inlineStr">
        <is>
          <t>S06</t>
        </is>
      </c>
      <c r="D3867" t="inlineStr">
        <is>
          <t>P201</t>
        </is>
      </c>
      <c r="E3867" t="n">
        <v>1</v>
      </c>
      <c r="F3867" t="n">
        <v>149</v>
      </c>
      <c r="G3867" t="n">
        <v>0.1</v>
      </c>
      <c r="H3867">
        <f>E3867*F3867*(1-G3867)</f>
        <v/>
      </c>
      <c r="I3867">
        <f>XLOOKUP(D3867,Products!$A$2:$A$15,Products!$B$2:$B$15,"Not found")</f>
        <v/>
      </c>
    </row>
    <row r="3868">
      <c r="A3868" t="n">
        <v>108187</v>
      </c>
      <c r="B3868" s="1" t="n">
        <v>45985</v>
      </c>
      <c r="C3868" t="inlineStr">
        <is>
          <t>S01</t>
        </is>
      </c>
      <c r="D3868" t="inlineStr">
        <is>
          <t>P102</t>
        </is>
      </c>
      <c r="E3868" t="n">
        <v>1</v>
      </c>
      <c r="F3868" t="n">
        <v>14.5</v>
      </c>
      <c r="G3868" t="n">
        <v>0.15</v>
      </c>
      <c r="H3868">
        <f>E3868*F3868*(1-G3868)</f>
        <v/>
      </c>
      <c r="I3868">
        <f>XLOOKUP(D3868,Products!$A$2:$A$15,Products!$B$2:$B$15,"Not found")</f>
        <v/>
      </c>
    </row>
    <row r="3869">
      <c r="A3869" t="n">
        <v>108188</v>
      </c>
      <c r="B3869" s="1" t="n">
        <v>45985</v>
      </c>
      <c r="C3869" t="inlineStr">
        <is>
          <t>S01</t>
        </is>
      </c>
      <c r="D3869" t="inlineStr">
        <is>
          <t>P101</t>
        </is>
      </c>
      <c r="E3869" t="n">
        <v>2</v>
      </c>
      <c r="F3869" t="n">
        <v>39</v>
      </c>
      <c r="G3869" t="n">
        <v>0.1</v>
      </c>
      <c r="H3869">
        <f>E3869*F3869*(1-G3869)</f>
        <v/>
      </c>
      <c r="I3869">
        <f>XLOOKUP(D3869,Products!$A$2:$A$15,Products!$B$2:$B$15,"Not found")</f>
        <v/>
      </c>
    </row>
    <row r="3870">
      <c r="A3870" t="n">
        <v>108189</v>
      </c>
      <c r="B3870" s="1" t="n">
        <v>45985</v>
      </c>
      <c r="C3870" t="inlineStr">
        <is>
          <t>S01</t>
        </is>
      </c>
      <c r="D3870" t="inlineStr">
        <is>
          <t>P204</t>
        </is>
      </c>
      <c r="E3870" t="n">
        <v>1</v>
      </c>
      <c r="F3870" t="n">
        <v>229</v>
      </c>
      <c r="G3870" t="n">
        <v>0.1</v>
      </c>
      <c r="H3870">
        <f>E3870*F3870*(1-G3870)</f>
        <v/>
      </c>
      <c r="I3870">
        <f>XLOOKUP(D3870,Products!$A$2:$A$15,Products!$B$2:$B$15,"Not found")</f>
        <v/>
      </c>
    </row>
    <row r="3871">
      <c r="A3871" t="n">
        <v>108190</v>
      </c>
      <c r="B3871" s="1" t="n">
        <v>45985</v>
      </c>
      <c r="C3871" t="inlineStr">
        <is>
          <t>S01</t>
        </is>
      </c>
      <c r="D3871" t="inlineStr">
        <is>
          <t>P303</t>
        </is>
      </c>
      <c r="E3871" t="n">
        <v>3</v>
      </c>
      <c r="F3871" t="n">
        <v>12</v>
      </c>
      <c r="G3871" t="n">
        <v>0.15</v>
      </c>
      <c r="H3871">
        <f>E3871*F3871*(1-G3871)</f>
        <v/>
      </c>
      <c r="I3871">
        <f>XLOOKUP(D3871,Products!$A$2:$A$15,Products!$B$2:$B$15,"Not found")</f>
        <v/>
      </c>
    </row>
    <row r="3872">
      <c r="A3872" t="n">
        <v>108191</v>
      </c>
      <c r="B3872" s="1" t="n">
        <v>45985</v>
      </c>
      <c r="C3872" t="inlineStr">
        <is>
          <t>S01</t>
        </is>
      </c>
      <c r="D3872" t="inlineStr">
        <is>
          <t>P102</t>
        </is>
      </c>
      <c r="E3872" t="n">
        <v>4</v>
      </c>
      <c r="F3872" t="n">
        <v>14.5</v>
      </c>
      <c r="G3872" t="n">
        <v>0</v>
      </c>
      <c r="H3872">
        <f>E3872*F3872*(1-G3872)</f>
        <v/>
      </c>
      <c r="I3872">
        <f>XLOOKUP(D3872,Products!$A$2:$A$15,Products!$B$2:$B$15,"Not found")</f>
        <v/>
      </c>
    </row>
    <row r="3873">
      <c r="A3873" t="n">
        <v>108192</v>
      </c>
      <c r="B3873" s="1" t="n">
        <v>45985</v>
      </c>
      <c r="C3873" t="inlineStr">
        <is>
          <t>S02</t>
        </is>
      </c>
      <c r="D3873" t="inlineStr">
        <is>
          <t>P301</t>
        </is>
      </c>
      <c r="E3873" t="n">
        <v>1</v>
      </c>
      <c r="F3873" t="n">
        <v>119</v>
      </c>
      <c r="G3873" t="n">
        <v>0</v>
      </c>
      <c r="H3873">
        <f>E3873*F3873*(1-G3873)</f>
        <v/>
      </c>
      <c r="I3873">
        <f>XLOOKUP(D3873,Products!$A$2:$A$15,Products!$B$2:$B$15,"Not found")</f>
        <v/>
      </c>
    </row>
    <row r="3874">
      <c r="A3874" t="n">
        <v>108193</v>
      </c>
      <c r="B3874" s="1" t="n">
        <v>45985</v>
      </c>
      <c r="C3874" t="inlineStr">
        <is>
          <t>S02</t>
        </is>
      </c>
      <c r="D3874" t="inlineStr">
        <is>
          <t>P103</t>
        </is>
      </c>
      <c r="E3874" t="n">
        <v>2</v>
      </c>
      <c r="F3874" t="n">
        <v>29</v>
      </c>
      <c r="G3874" t="n">
        <v>0</v>
      </c>
      <c r="H3874">
        <f>E3874*F3874*(1-G3874)</f>
        <v/>
      </c>
      <c r="I3874">
        <f>XLOOKUP(D3874,Products!$A$2:$A$15,Products!$B$2:$B$15,"Not found")</f>
        <v/>
      </c>
    </row>
    <row r="3875">
      <c r="A3875" t="n">
        <v>108194</v>
      </c>
      <c r="B3875" s="1" t="n">
        <v>45985</v>
      </c>
      <c r="C3875" t="inlineStr">
        <is>
          <t>S03</t>
        </is>
      </c>
      <c r="D3875" t="inlineStr">
        <is>
          <t>P303</t>
        </is>
      </c>
      <c r="E3875" t="n">
        <v>2</v>
      </c>
      <c r="F3875" t="n">
        <v>12</v>
      </c>
      <c r="G3875" t="n">
        <v>0</v>
      </c>
      <c r="H3875">
        <f>E3875*F3875*(1-G3875)</f>
        <v/>
      </c>
      <c r="I3875">
        <f>XLOOKUP(D3875,Products!$A$2:$A$15,Products!$B$2:$B$15,"Not found")</f>
        <v/>
      </c>
    </row>
    <row r="3876">
      <c r="A3876" t="n">
        <v>108195</v>
      </c>
      <c r="B3876" s="1" t="n">
        <v>45985</v>
      </c>
      <c r="C3876" t="inlineStr">
        <is>
          <t>S04</t>
        </is>
      </c>
      <c r="D3876" t="inlineStr">
        <is>
          <t>P102</t>
        </is>
      </c>
      <c r="E3876" t="n">
        <v>3</v>
      </c>
      <c r="F3876" t="n">
        <v>14.5</v>
      </c>
      <c r="G3876" t="n">
        <v>0</v>
      </c>
      <c r="H3876">
        <f>E3876*F3876*(1-G3876)</f>
        <v/>
      </c>
      <c r="I3876">
        <f>XLOOKUP(D3876,Products!$A$2:$A$15,Products!$B$2:$B$15,"Not found")</f>
        <v/>
      </c>
    </row>
    <row r="3877">
      <c r="A3877" t="n">
        <v>108196</v>
      </c>
      <c r="B3877" s="1" t="n">
        <v>45985</v>
      </c>
      <c r="C3877" t="inlineStr">
        <is>
          <t>S04</t>
        </is>
      </c>
      <c r="D3877" t="inlineStr">
        <is>
          <t>P203</t>
        </is>
      </c>
      <c r="E3877" t="n">
        <v>1</v>
      </c>
      <c r="F3877" t="n">
        <v>19.5</v>
      </c>
      <c r="G3877" t="n">
        <v>0.1</v>
      </c>
      <c r="H3877">
        <f>E3877*F3877*(1-G3877)</f>
        <v/>
      </c>
      <c r="I3877">
        <f>XLOOKUP(D3877,Products!$A$2:$A$15,Products!$B$2:$B$15,"Not found")</f>
        <v/>
      </c>
    </row>
    <row r="3878">
      <c r="A3878" t="n">
        <v>108197</v>
      </c>
      <c r="B3878" s="1" t="n">
        <v>45985</v>
      </c>
      <c r="C3878" t="inlineStr">
        <is>
          <t>S04</t>
        </is>
      </c>
      <c r="D3878" t="inlineStr">
        <is>
          <t>P101</t>
        </is>
      </c>
      <c r="E3878" t="n">
        <v>1</v>
      </c>
      <c r="F3878" t="n">
        <v>39</v>
      </c>
      <c r="G3878" t="n">
        <v>0.1</v>
      </c>
      <c r="H3878">
        <f>E3878*F3878*(1-G3878)</f>
        <v/>
      </c>
      <c r="I3878">
        <f>XLOOKUP(D3878,Products!$A$2:$A$15,Products!$B$2:$B$15,"Not found")</f>
        <v/>
      </c>
    </row>
    <row r="3879">
      <c r="A3879" t="n">
        <v>108198</v>
      </c>
      <c r="B3879" s="1" t="n">
        <v>45985</v>
      </c>
      <c r="C3879" t="inlineStr">
        <is>
          <t>S04</t>
        </is>
      </c>
      <c r="D3879" t="inlineStr">
        <is>
          <t>P303</t>
        </is>
      </c>
      <c r="E3879" t="n">
        <v>2</v>
      </c>
      <c r="F3879" t="n">
        <v>12</v>
      </c>
      <c r="G3879" t="n">
        <v>0</v>
      </c>
      <c r="H3879">
        <f>E3879*F3879*(1-G3879)</f>
        <v/>
      </c>
      <c r="I3879">
        <f>XLOOKUP(D3879,Products!$A$2:$A$15,Products!$B$2:$B$15,"Not found")</f>
        <v/>
      </c>
    </row>
    <row r="3880">
      <c r="A3880" t="n">
        <v>108199</v>
      </c>
      <c r="B3880" s="1" t="n">
        <v>45985</v>
      </c>
      <c r="C3880" t="inlineStr">
        <is>
          <t>S05</t>
        </is>
      </c>
      <c r="D3880" t="inlineStr">
        <is>
          <t>P202</t>
        </is>
      </c>
      <c r="E3880" t="n">
        <v>1</v>
      </c>
      <c r="F3880" t="n">
        <v>79</v>
      </c>
      <c r="G3880" t="n">
        <v>0.15</v>
      </c>
      <c r="H3880">
        <f>E3880*F3880*(1-G3880)</f>
        <v/>
      </c>
      <c r="I3880">
        <f>XLOOKUP(D3880,Products!$A$2:$A$15,Products!$B$2:$B$15,"Not found")</f>
        <v/>
      </c>
    </row>
    <row r="3881">
      <c r="A3881" t="n">
        <v>108200</v>
      </c>
      <c r="B3881" s="1" t="n">
        <v>45985</v>
      </c>
      <c r="C3881" t="inlineStr">
        <is>
          <t>S05</t>
        </is>
      </c>
      <c r="D3881" t="inlineStr">
        <is>
          <t>P102</t>
        </is>
      </c>
      <c r="E3881" t="n">
        <v>1</v>
      </c>
      <c r="F3881" t="n">
        <v>14.5</v>
      </c>
      <c r="G3881" t="n">
        <v>0.2</v>
      </c>
      <c r="H3881">
        <f>E3881*F3881*(1-G3881)</f>
        <v/>
      </c>
      <c r="I3881">
        <f>XLOOKUP(D3881,Products!$A$2:$A$15,Products!$B$2:$B$15,"Not found")</f>
        <v/>
      </c>
    </row>
    <row r="3882">
      <c r="A3882" t="n">
        <v>108201</v>
      </c>
      <c r="B3882" s="1" t="n">
        <v>45985</v>
      </c>
      <c r="C3882" t="inlineStr">
        <is>
          <t>S06</t>
        </is>
      </c>
      <c r="D3882" t="inlineStr">
        <is>
          <t>P202</t>
        </is>
      </c>
      <c r="E3882" t="n">
        <v>1</v>
      </c>
      <c r="F3882" t="n">
        <v>79</v>
      </c>
      <c r="G3882" t="n">
        <v>0.1</v>
      </c>
      <c r="H3882">
        <f>E3882*F3882*(1-G3882)</f>
        <v/>
      </c>
      <c r="I3882">
        <f>XLOOKUP(D3882,Products!$A$2:$A$15,Products!$B$2:$B$15,"Not found")</f>
        <v/>
      </c>
    </row>
    <row r="3883">
      <c r="A3883" t="n">
        <v>108202</v>
      </c>
      <c r="B3883" s="1" t="n">
        <v>45985</v>
      </c>
      <c r="C3883" t="inlineStr">
        <is>
          <t>S06</t>
        </is>
      </c>
      <c r="D3883" t="inlineStr">
        <is>
          <t>P303</t>
        </is>
      </c>
      <c r="E3883" t="n">
        <v>1</v>
      </c>
      <c r="F3883" t="n">
        <v>12</v>
      </c>
      <c r="G3883" t="n">
        <v>0</v>
      </c>
      <c r="H3883">
        <f>E3883*F3883*(1-G3883)</f>
        <v/>
      </c>
      <c r="I3883">
        <f>XLOOKUP(D3883,Products!$A$2:$A$15,Products!$B$2:$B$15,"Not found")</f>
        <v/>
      </c>
    </row>
    <row r="3884">
      <c r="A3884" t="n">
        <v>108203</v>
      </c>
      <c r="B3884" s="1" t="n">
        <v>45985</v>
      </c>
      <c r="C3884" t="inlineStr">
        <is>
          <t>S06</t>
        </is>
      </c>
      <c r="D3884" t="inlineStr">
        <is>
          <t>P102</t>
        </is>
      </c>
      <c r="E3884" t="n">
        <v>1</v>
      </c>
      <c r="F3884" t="n">
        <v>14.5</v>
      </c>
      <c r="G3884" t="n">
        <v>0.1</v>
      </c>
      <c r="H3884">
        <f>E3884*F3884*(1-G3884)</f>
        <v/>
      </c>
      <c r="I3884">
        <f>XLOOKUP(D3884,Products!$A$2:$A$15,Products!$B$2:$B$15,"Not found")</f>
        <v/>
      </c>
    </row>
    <row r="3885">
      <c r="A3885" t="n">
        <v>108204</v>
      </c>
      <c r="B3885" s="1" t="n">
        <v>45986</v>
      </c>
      <c r="C3885" t="inlineStr">
        <is>
          <t>S01</t>
        </is>
      </c>
      <c r="D3885" t="inlineStr">
        <is>
          <t>P302</t>
        </is>
      </c>
      <c r="E3885" t="n">
        <v>2</v>
      </c>
      <c r="F3885" t="n">
        <v>24</v>
      </c>
      <c r="G3885" t="n">
        <v>0.15</v>
      </c>
      <c r="H3885">
        <f>E3885*F3885*(1-G3885)</f>
        <v/>
      </c>
      <c r="I3885">
        <f>XLOOKUP(D3885,Products!$A$2:$A$15,Products!$B$2:$B$15,"Not found")</f>
        <v/>
      </c>
    </row>
    <row r="3886">
      <c r="A3886" t="n">
        <v>108205</v>
      </c>
      <c r="B3886" s="1" t="n">
        <v>45986</v>
      </c>
      <c r="C3886" t="inlineStr">
        <is>
          <t>S01</t>
        </is>
      </c>
      <c r="D3886" t="inlineStr">
        <is>
          <t>P203</t>
        </is>
      </c>
      <c r="E3886" t="n">
        <v>2</v>
      </c>
      <c r="F3886" t="n">
        <v>19.5</v>
      </c>
      <c r="G3886" t="n">
        <v>0.15</v>
      </c>
      <c r="H3886">
        <f>E3886*F3886*(1-G3886)</f>
        <v/>
      </c>
      <c r="I3886">
        <f>XLOOKUP(D3886,Products!$A$2:$A$15,Products!$B$2:$B$15,"Not found")</f>
        <v/>
      </c>
    </row>
    <row r="3887">
      <c r="A3887" t="n">
        <v>108206</v>
      </c>
      <c r="B3887" s="1" t="n">
        <v>45986</v>
      </c>
      <c r="C3887" t="inlineStr">
        <is>
          <t>S01</t>
        </is>
      </c>
      <c r="D3887" t="inlineStr">
        <is>
          <t>P203</t>
        </is>
      </c>
      <c r="E3887" t="n">
        <v>1</v>
      </c>
      <c r="F3887" t="n">
        <v>19.5</v>
      </c>
      <c r="G3887" t="n">
        <v>0.1</v>
      </c>
      <c r="H3887">
        <f>E3887*F3887*(1-G3887)</f>
        <v/>
      </c>
      <c r="I3887">
        <f>XLOOKUP(D3887,Products!$A$2:$A$15,Products!$B$2:$B$15,"Not found")</f>
        <v/>
      </c>
    </row>
    <row r="3888">
      <c r="A3888" t="n">
        <v>108207</v>
      </c>
      <c r="B3888" s="1" t="n">
        <v>45986</v>
      </c>
      <c r="C3888" t="inlineStr">
        <is>
          <t>S01</t>
        </is>
      </c>
      <c r="D3888" t="inlineStr">
        <is>
          <t>P302</t>
        </is>
      </c>
      <c r="E3888" t="n">
        <v>1</v>
      </c>
      <c r="F3888" t="n">
        <v>24</v>
      </c>
      <c r="G3888" t="n">
        <v>0.2</v>
      </c>
      <c r="H3888">
        <f>E3888*F3888*(1-G3888)</f>
        <v/>
      </c>
      <c r="I3888">
        <f>XLOOKUP(D3888,Products!$A$2:$A$15,Products!$B$2:$B$15,"Not found")</f>
        <v/>
      </c>
    </row>
    <row r="3889">
      <c r="A3889" t="n">
        <v>108208</v>
      </c>
      <c r="B3889" s="1" t="n">
        <v>45986</v>
      </c>
      <c r="C3889" t="inlineStr">
        <is>
          <t>S01</t>
        </is>
      </c>
      <c r="D3889" t="inlineStr">
        <is>
          <t>P103</t>
        </is>
      </c>
      <c r="E3889" t="n">
        <v>1</v>
      </c>
      <c r="F3889" t="n">
        <v>29</v>
      </c>
      <c r="G3889" t="n">
        <v>0.15</v>
      </c>
      <c r="H3889">
        <f>E3889*F3889*(1-G3889)</f>
        <v/>
      </c>
      <c r="I3889">
        <f>XLOOKUP(D3889,Products!$A$2:$A$15,Products!$B$2:$B$15,"Not found")</f>
        <v/>
      </c>
    </row>
    <row r="3890">
      <c r="A3890" t="n">
        <v>108209</v>
      </c>
      <c r="B3890" s="1" t="n">
        <v>45986</v>
      </c>
      <c r="C3890" t="inlineStr">
        <is>
          <t>S02</t>
        </is>
      </c>
      <c r="D3890" t="inlineStr">
        <is>
          <t>P104</t>
        </is>
      </c>
      <c r="E3890" t="n">
        <v>1</v>
      </c>
      <c r="F3890" t="n">
        <v>189</v>
      </c>
      <c r="G3890" t="n">
        <v>0.2</v>
      </c>
      <c r="H3890">
        <f>E3890*F3890*(1-G3890)</f>
        <v/>
      </c>
      <c r="I3890">
        <f>XLOOKUP(D3890,Products!$A$2:$A$15,Products!$B$2:$B$15,"Not found")</f>
        <v/>
      </c>
    </row>
    <row r="3891">
      <c r="A3891" t="n">
        <v>108210</v>
      </c>
      <c r="B3891" s="1" t="n">
        <v>45986</v>
      </c>
      <c r="C3891" t="inlineStr">
        <is>
          <t>S02</t>
        </is>
      </c>
      <c r="D3891" t="inlineStr">
        <is>
          <t>P302</t>
        </is>
      </c>
      <c r="E3891" t="n">
        <v>1</v>
      </c>
      <c r="F3891" t="n">
        <v>24</v>
      </c>
      <c r="G3891" t="n">
        <v>0</v>
      </c>
      <c r="H3891">
        <f>E3891*F3891*(1-G3891)</f>
        <v/>
      </c>
      <c r="I3891">
        <f>XLOOKUP(D3891,Products!$A$2:$A$15,Products!$B$2:$B$15,"Not found")</f>
        <v/>
      </c>
    </row>
    <row r="3892">
      <c r="A3892" t="n">
        <v>108211</v>
      </c>
      <c r="B3892" s="1" t="n">
        <v>45986</v>
      </c>
      <c r="C3892" t="inlineStr">
        <is>
          <t>S03</t>
        </is>
      </c>
      <c r="D3892" t="inlineStr">
        <is>
          <t>P202</t>
        </is>
      </c>
      <c r="E3892" t="n">
        <v>2</v>
      </c>
      <c r="F3892" t="n">
        <v>79</v>
      </c>
      <c r="G3892" t="n">
        <v>0.15</v>
      </c>
      <c r="H3892">
        <f>E3892*F3892*(1-G3892)</f>
        <v/>
      </c>
      <c r="I3892">
        <f>XLOOKUP(D3892,Products!$A$2:$A$15,Products!$B$2:$B$15,"Not found")</f>
        <v/>
      </c>
    </row>
    <row r="3893">
      <c r="A3893" t="n">
        <v>108212</v>
      </c>
      <c r="B3893" s="1" t="n">
        <v>45986</v>
      </c>
      <c r="C3893" t="inlineStr">
        <is>
          <t>S03</t>
        </is>
      </c>
      <c r="D3893" t="inlineStr">
        <is>
          <t>P103</t>
        </is>
      </c>
      <c r="E3893" t="n">
        <v>1</v>
      </c>
      <c r="F3893" t="n">
        <v>29</v>
      </c>
      <c r="G3893" t="n">
        <v>0.2</v>
      </c>
      <c r="H3893">
        <f>E3893*F3893*(1-G3893)</f>
        <v/>
      </c>
      <c r="I3893">
        <f>XLOOKUP(D3893,Products!$A$2:$A$15,Products!$B$2:$B$15,"Not found")</f>
        <v/>
      </c>
    </row>
    <row r="3894">
      <c r="A3894" t="n">
        <v>108213</v>
      </c>
      <c r="B3894" s="1" t="n">
        <v>45986</v>
      </c>
      <c r="C3894" t="inlineStr">
        <is>
          <t>S03</t>
        </is>
      </c>
      <c r="D3894" t="inlineStr">
        <is>
          <t>P102</t>
        </is>
      </c>
      <c r="E3894" t="n">
        <v>2</v>
      </c>
      <c r="F3894" t="n">
        <v>14.5</v>
      </c>
      <c r="G3894" t="n">
        <v>0</v>
      </c>
      <c r="H3894">
        <f>E3894*F3894*(1-G3894)</f>
        <v/>
      </c>
      <c r="I3894">
        <f>XLOOKUP(D3894,Products!$A$2:$A$15,Products!$B$2:$B$15,"Not found")</f>
        <v/>
      </c>
    </row>
    <row r="3895">
      <c r="A3895" t="n">
        <v>108214</v>
      </c>
      <c r="B3895" s="1" t="n">
        <v>45986</v>
      </c>
      <c r="C3895" t="inlineStr">
        <is>
          <t>S03</t>
        </is>
      </c>
      <c r="D3895" t="inlineStr">
        <is>
          <t>P103</t>
        </is>
      </c>
      <c r="E3895" t="n">
        <v>3</v>
      </c>
      <c r="F3895" t="n">
        <v>29</v>
      </c>
      <c r="G3895" t="n">
        <v>0.1</v>
      </c>
      <c r="H3895">
        <f>E3895*F3895*(1-G3895)</f>
        <v/>
      </c>
      <c r="I3895">
        <f>XLOOKUP(D3895,Products!$A$2:$A$15,Products!$B$2:$B$15,"Not found")</f>
        <v/>
      </c>
    </row>
    <row r="3896">
      <c r="A3896" t="n">
        <v>108215</v>
      </c>
      <c r="B3896" s="1" t="n">
        <v>45986</v>
      </c>
      <c r="C3896" t="inlineStr">
        <is>
          <t>S03</t>
        </is>
      </c>
      <c r="D3896" t="inlineStr">
        <is>
          <t>P101</t>
        </is>
      </c>
      <c r="E3896" t="n">
        <v>2</v>
      </c>
      <c r="F3896" t="n">
        <v>39</v>
      </c>
      <c r="G3896" t="n">
        <v>0.15</v>
      </c>
      <c r="H3896">
        <f>E3896*F3896*(1-G3896)</f>
        <v/>
      </c>
      <c r="I3896">
        <f>XLOOKUP(D3896,Products!$A$2:$A$15,Products!$B$2:$B$15,"Not found")</f>
        <v/>
      </c>
    </row>
    <row r="3897">
      <c r="A3897" t="n">
        <v>108216</v>
      </c>
      <c r="B3897" s="1" t="n">
        <v>45986</v>
      </c>
      <c r="C3897" t="inlineStr">
        <is>
          <t>S04</t>
        </is>
      </c>
      <c r="D3897" t="inlineStr">
        <is>
          <t>P203</t>
        </is>
      </c>
      <c r="E3897" t="n">
        <v>1</v>
      </c>
      <c r="F3897" t="n">
        <v>19.5</v>
      </c>
      <c r="G3897" t="n">
        <v>0.1</v>
      </c>
      <c r="H3897">
        <f>E3897*F3897*(1-G3897)</f>
        <v/>
      </c>
      <c r="I3897">
        <f>XLOOKUP(D3897,Products!$A$2:$A$15,Products!$B$2:$B$15,"Not found")</f>
        <v/>
      </c>
    </row>
    <row r="3898">
      <c r="A3898" t="n">
        <v>108217</v>
      </c>
      <c r="B3898" s="1" t="n">
        <v>45986</v>
      </c>
      <c r="C3898" t="inlineStr">
        <is>
          <t>S05</t>
        </is>
      </c>
      <c r="D3898" t="inlineStr">
        <is>
          <t>P303</t>
        </is>
      </c>
      <c r="E3898" t="n">
        <v>3</v>
      </c>
      <c r="F3898" t="n">
        <v>12</v>
      </c>
      <c r="G3898" t="n">
        <v>0.2</v>
      </c>
      <c r="H3898">
        <f>E3898*F3898*(1-G3898)</f>
        <v/>
      </c>
      <c r="I3898">
        <f>XLOOKUP(D3898,Products!$A$2:$A$15,Products!$B$2:$B$15,"Not found")</f>
        <v/>
      </c>
    </row>
    <row r="3899">
      <c r="A3899" t="n">
        <v>108218</v>
      </c>
      <c r="B3899" s="1" t="n">
        <v>45986</v>
      </c>
      <c r="C3899" t="inlineStr">
        <is>
          <t>S05</t>
        </is>
      </c>
      <c r="D3899" t="inlineStr">
        <is>
          <t>P403</t>
        </is>
      </c>
      <c r="E3899" t="n">
        <v>2</v>
      </c>
      <c r="F3899" t="n">
        <v>89</v>
      </c>
      <c r="G3899" t="n">
        <v>0</v>
      </c>
      <c r="H3899">
        <f>E3899*F3899*(1-G3899)</f>
        <v/>
      </c>
      <c r="I3899">
        <f>XLOOKUP(D3899,Products!$A$2:$A$15,Products!$B$2:$B$15,"Not found")</f>
        <v/>
      </c>
    </row>
    <row r="3900">
      <c r="A3900" t="n">
        <v>108219</v>
      </c>
      <c r="B3900" s="1" t="n">
        <v>45986</v>
      </c>
      <c r="C3900" t="inlineStr">
        <is>
          <t>S05</t>
        </is>
      </c>
      <c r="D3900" t="inlineStr">
        <is>
          <t>P103</t>
        </is>
      </c>
      <c r="E3900" t="n">
        <v>2</v>
      </c>
      <c r="F3900" t="n">
        <v>29</v>
      </c>
      <c r="G3900" t="n">
        <v>0.15</v>
      </c>
      <c r="H3900">
        <f>E3900*F3900*(1-G3900)</f>
        <v/>
      </c>
      <c r="I3900">
        <f>XLOOKUP(D3900,Products!$A$2:$A$15,Products!$B$2:$B$15,"Not found")</f>
        <v/>
      </c>
    </row>
    <row r="3901">
      <c r="A3901" t="n">
        <v>108220</v>
      </c>
      <c r="B3901" s="1" t="n">
        <v>45986</v>
      </c>
      <c r="C3901" t="inlineStr">
        <is>
          <t>S06</t>
        </is>
      </c>
      <c r="D3901" t="inlineStr">
        <is>
          <t>P103</t>
        </is>
      </c>
      <c r="E3901" t="n">
        <v>3</v>
      </c>
      <c r="F3901" t="n">
        <v>29</v>
      </c>
      <c r="G3901" t="n">
        <v>0</v>
      </c>
      <c r="H3901">
        <f>E3901*F3901*(1-G3901)</f>
        <v/>
      </c>
      <c r="I3901">
        <f>XLOOKUP(D3901,Products!$A$2:$A$15,Products!$B$2:$B$15,"Not found")</f>
        <v/>
      </c>
    </row>
    <row r="3902">
      <c r="A3902" t="n">
        <v>108221</v>
      </c>
      <c r="B3902" s="1" t="n">
        <v>45986</v>
      </c>
      <c r="C3902" t="inlineStr">
        <is>
          <t>S06</t>
        </is>
      </c>
      <c r="D3902" t="inlineStr">
        <is>
          <t>P203</t>
        </is>
      </c>
      <c r="E3902" t="n">
        <v>1</v>
      </c>
      <c r="F3902" t="n">
        <v>19.5</v>
      </c>
      <c r="G3902" t="n">
        <v>0</v>
      </c>
      <c r="H3902">
        <f>E3902*F3902*(1-G3902)</f>
        <v/>
      </c>
      <c r="I3902">
        <f>XLOOKUP(D3902,Products!$A$2:$A$15,Products!$B$2:$B$15,"Not found")</f>
        <v/>
      </c>
    </row>
    <row r="3903">
      <c r="A3903" t="n">
        <v>108222</v>
      </c>
      <c r="B3903" s="1" t="n">
        <v>45987</v>
      </c>
      <c r="C3903" t="inlineStr">
        <is>
          <t>S01</t>
        </is>
      </c>
      <c r="D3903" t="inlineStr">
        <is>
          <t>P203</t>
        </is>
      </c>
      <c r="E3903" t="n">
        <v>1</v>
      </c>
      <c r="F3903" t="n">
        <v>19.5</v>
      </c>
      <c r="G3903" t="n">
        <v>0</v>
      </c>
      <c r="H3903">
        <f>E3903*F3903*(1-G3903)</f>
        <v/>
      </c>
      <c r="I3903">
        <f>XLOOKUP(D3903,Products!$A$2:$A$15,Products!$B$2:$B$15,"Not found")</f>
        <v/>
      </c>
    </row>
    <row r="3904">
      <c r="A3904" t="n">
        <v>108223</v>
      </c>
      <c r="B3904" s="1" t="n">
        <v>45987</v>
      </c>
      <c r="C3904" t="inlineStr">
        <is>
          <t>S01</t>
        </is>
      </c>
      <c r="D3904" t="inlineStr">
        <is>
          <t>P101</t>
        </is>
      </c>
      <c r="E3904" t="n">
        <v>2</v>
      </c>
      <c r="F3904" t="n">
        <v>39</v>
      </c>
      <c r="G3904" t="n">
        <v>0.15</v>
      </c>
      <c r="H3904">
        <f>E3904*F3904*(1-G3904)</f>
        <v/>
      </c>
      <c r="I3904">
        <f>XLOOKUP(D3904,Products!$A$2:$A$15,Products!$B$2:$B$15,"Not found")</f>
        <v/>
      </c>
    </row>
    <row r="3905">
      <c r="A3905" t="n">
        <v>108224</v>
      </c>
      <c r="B3905" s="1" t="n">
        <v>45987</v>
      </c>
      <c r="C3905" t="inlineStr">
        <is>
          <t>S01</t>
        </is>
      </c>
      <c r="D3905" t="inlineStr">
        <is>
          <t>P102</t>
        </is>
      </c>
      <c r="E3905" t="n">
        <v>2</v>
      </c>
      <c r="F3905" t="n">
        <v>14.5</v>
      </c>
      <c r="G3905" t="n">
        <v>0</v>
      </c>
      <c r="H3905">
        <f>E3905*F3905*(1-G3905)</f>
        <v/>
      </c>
      <c r="I3905">
        <f>XLOOKUP(D3905,Products!$A$2:$A$15,Products!$B$2:$B$15,"Not found")</f>
        <v/>
      </c>
    </row>
    <row r="3906">
      <c r="A3906" t="n">
        <v>108225</v>
      </c>
      <c r="B3906" s="1" t="n">
        <v>45987</v>
      </c>
      <c r="C3906" t="inlineStr">
        <is>
          <t>S01</t>
        </is>
      </c>
      <c r="D3906" t="inlineStr">
        <is>
          <t>P204</t>
        </is>
      </c>
      <c r="E3906" t="n">
        <v>1</v>
      </c>
      <c r="F3906" t="n">
        <v>229</v>
      </c>
      <c r="G3906" t="n">
        <v>0.1</v>
      </c>
      <c r="H3906">
        <f>E3906*F3906*(1-G3906)</f>
        <v/>
      </c>
      <c r="I3906">
        <f>XLOOKUP(D3906,Products!$A$2:$A$15,Products!$B$2:$B$15,"Not found")</f>
        <v/>
      </c>
    </row>
    <row r="3907">
      <c r="A3907" t="n">
        <v>108226</v>
      </c>
      <c r="B3907" s="1" t="n">
        <v>45987</v>
      </c>
      <c r="C3907" t="inlineStr">
        <is>
          <t>S01</t>
        </is>
      </c>
      <c r="D3907" t="inlineStr">
        <is>
          <t>P301</t>
        </is>
      </c>
      <c r="E3907" t="n">
        <v>1</v>
      </c>
      <c r="F3907" t="n">
        <v>119</v>
      </c>
      <c r="G3907" t="n">
        <v>0.2</v>
      </c>
      <c r="H3907">
        <f>E3907*F3907*(1-G3907)</f>
        <v/>
      </c>
      <c r="I3907">
        <f>XLOOKUP(D3907,Products!$A$2:$A$15,Products!$B$2:$B$15,"Not found")</f>
        <v/>
      </c>
    </row>
    <row r="3908">
      <c r="A3908" t="n">
        <v>108227</v>
      </c>
      <c r="B3908" s="1" t="n">
        <v>45987</v>
      </c>
      <c r="C3908" t="inlineStr">
        <is>
          <t>S01</t>
        </is>
      </c>
      <c r="D3908" t="inlineStr">
        <is>
          <t>P103</t>
        </is>
      </c>
      <c r="E3908" t="n">
        <v>1</v>
      </c>
      <c r="F3908" t="n">
        <v>29</v>
      </c>
      <c r="G3908" t="n">
        <v>0.2</v>
      </c>
      <c r="H3908">
        <f>E3908*F3908*(1-G3908)</f>
        <v/>
      </c>
      <c r="I3908">
        <f>XLOOKUP(D3908,Products!$A$2:$A$15,Products!$B$2:$B$15,"Not found")</f>
        <v/>
      </c>
    </row>
    <row r="3909">
      <c r="A3909" t="n">
        <v>108228</v>
      </c>
      <c r="B3909" s="1" t="n">
        <v>45987</v>
      </c>
      <c r="C3909" t="inlineStr">
        <is>
          <t>S02</t>
        </is>
      </c>
      <c r="D3909" t="inlineStr">
        <is>
          <t>P204</t>
        </is>
      </c>
      <c r="E3909" t="n">
        <v>1</v>
      </c>
      <c r="F3909" t="n">
        <v>229</v>
      </c>
      <c r="G3909" t="n">
        <v>0</v>
      </c>
      <c r="H3909">
        <f>E3909*F3909*(1-G3909)</f>
        <v/>
      </c>
      <c r="I3909">
        <f>XLOOKUP(D3909,Products!$A$2:$A$15,Products!$B$2:$B$15,"Not found")</f>
        <v/>
      </c>
    </row>
    <row r="3910">
      <c r="A3910" t="n">
        <v>108229</v>
      </c>
      <c r="B3910" s="1" t="n">
        <v>45987</v>
      </c>
      <c r="C3910" t="inlineStr">
        <is>
          <t>S02</t>
        </is>
      </c>
      <c r="D3910" t="inlineStr">
        <is>
          <t>P301</t>
        </is>
      </c>
      <c r="E3910" t="n">
        <v>1</v>
      </c>
      <c r="F3910" t="n">
        <v>119</v>
      </c>
      <c r="G3910" t="n">
        <v>0</v>
      </c>
      <c r="H3910">
        <f>E3910*F3910*(1-G3910)</f>
        <v/>
      </c>
      <c r="I3910">
        <f>XLOOKUP(D3910,Products!$A$2:$A$15,Products!$B$2:$B$15,"Not found")</f>
        <v/>
      </c>
    </row>
    <row r="3911">
      <c r="A3911" t="n">
        <v>108230</v>
      </c>
      <c r="B3911" s="1" t="n">
        <v>45987</v>
      </c>
      <c r="C3911" t="inlineStr">
        <is>
          <t>S03</t>
        </is>
      </c>
      <c r="D3911" t="inlineStr">
        <is>
          <t>P302</t>
        </is>
      </c>
      <c r="E3911" t="n">
        <v>3</v>
      </c>
      <c r="F3911" t="n">
        <v>24</v>
      </c>
      <c r="G3911" t="n">
        <v>0</v>
      </c>
      <c r="H3911">
        <f>E3911*F3911*(1-G3911)</f>
        <v/>
      </c>
      <c r="I3911">
        <f>XLOOKUP(D3911,Products!$A$2:$A$15,Products!$B$2:$B$15,"Not found")</f>
        <v/>
      </c>
    </row>
    <row r="3912">
      <c r="A3912" t="n">
        <v>108231</v>
      </c>
      <c r="B3912" s="1" t="n">
        <v>45987</v>
      </c>
      <c r="C3912" t="inlineStr">
        <is>
          <t>S04</t>
        </is>
      </c>
      <c r="D3912" t="inlineStr">
        <is>
          <t>P302</t>
        </is>
      </c>
      <c r="E3912" t="n">
        <v>2</v>
      </c>
      <c r="F3912" t="n">
        <v>24</v>
      </c>
      <c r="G3912" t="n">
        <v>0.2</v>
      </c>
      <c r="H3912">
        <f>E3912*F3912*(1-G3912)</f>
        <v/>
      </c>
      <c r="I3912">
        <f>XLOOKUP(D3912,Products!$A$2:$A$15,Products!$B$2:$B$15,"Not found")</f>
        <v/>
      </c>
    </row>
    <row r="3913">
      <c r="A3913" t="n">
        <v>108232</v>
      </c>
      <c r="B3913" s="1" t="n">
        <v>45987</v>
      </c>
      <c r="C3913" t="inlineStr">
        <is>
          <t>S06</t>
        </is>
      </c>
      <c r="D3913" t="inlineStr">
        <is>
          <t>P201</t>
        </is>
      </c>
      <c r="E3913" t="n">
        <v>1</v>
      </c>
      <c r="F3913" t="n">
        <v>149</v>
      </c>
      <c r="G3913" t="n">
        <v>0</v>
      </c>
      <c r="H3913">
        <f>E3913*F3913*(1-G3913)</f>
        <v/>
      </c>
      <c r="I3913">
        <f>XLOOKUP(D3913,Products!$A$2:$A$15,Products!$B$2:$B$15,"Not found")</f>
        <v/>
      </c>
    </row>
    <row r="3914">
      <c r="A3914" t="n">
        <v>108233</v>
      </c>
      <c r="B3914" s="1" t="n">
        <v>45987</v>
      </c>
      <c r="C3914" t="inlineStr">
        <is>
          <t>S06</t>
        </is>
      </c>
      <c r="D3914" t="inlineStr">
        <is>
          <t>P201</t>
        </is>
      </c>
      <c r="E3914" t="n">
        <v>1</v>
      </c>
      <c r="F3914" t="n">
        <v>149</v>
      </c>
      <c r="G3914" t="n">
        <v>0</v>
      </c>
      <c r="H3914">
        <f>E3914*F3914*(1-G3914)</f>
        <v/>
      </c>
      <c r="I3914">
        <f>XLOOKUP(D3914,Products!$A$2:$A$15,Products!$B$2:$B$15,"Not found")</f>
        <v/>
      </c>
    </row>
    <row r="3915">
      <c r="A3915" t="n">
        <v>108234</v>
      </c>
      <c r="B3915" s="1" t="n">
        <v>45988</v>
      </c>
      <c r="C3915" t="inlineStr">
        <is>
          <t>S01</t>
        </is>
      </c>
      <c r="D3915" t="inlineStr">
        <is>
          <t>P302</t>
        </is>
      </c>
      <c r="E3915" t="n">
        <v>1</v>
      </c>
      <c r="F3915" t="n">
        <v>24</v>
      </c>
      <c r="G3915" t="n">
        <v>0</v>
      </c>
      <c r="H3915">
        <f>E3915*F3915*(1-G3915)</f>
        <v/>
      </c>
      <c r="I3915">
        <f>XLOOKUP(D3915,Products!$A$2:$A$15,Products!$B$2:$B$15,"Not found")</f>
        <v/>
      </c>
    </row>
    <row r="3916">
      <c r="A3916" t="n">
        <v>108235</v>
      </c>
      <c r="B3916" s="1" t="n">
        <v>45988</v>
      </c>
      <c r="C3916" t="inlineStr">
        <is>
          <t>S01</t>
        </is>
      </c>
      <c r="D3916" t="inlineStr">
        <is>
          <t>P203</t>
        </is>
      </c>
      <c r="E3916" t="n">
        <v>3</v>
      </c>
      <c r="F3916" t="n">
        <v>19.5</v>
      </c>
      <c r="G3916" t="n">
        <v>0.2</v>
      </c>
      <c r="H3916">
        <f>E3916*F3916*(1-G3916)</f>
        <v/>
      </c>
      <c r="I3916">
        <f>XLOOKUP(D3916,Products!$A$2:$A$15,Products!$B$2:$B$15,"Not found")</f>
        <v/>
      </c>
    </row>
    <row r="3917">
      <c r="A3917" t="n">
        <v>108236</v>
      </c>
      <c r="B3917" s="1" t="n">
        <v>45988</v>
      </c>
      <c r="C3917" t="inlineStr">
        <is>
          <t>S01</t>
        </is>
      </c>
      <c r="D3917" t="inlineStr">
        <is>
          <t>P303</t>
        </is>
      </c>
      <c r="E3917" t="n">
        <v>4</v>
      </c>
      <c r="F3917" t="n">
        <v>12</v>
      </c>
      <c r="G3917" t="n">
        <v>0.2</v>
      </c>
      <c r="H3917">
        <f>E3917*F3917*(1-G3917)</f>
        <v/>
      </c>
      <c r="I3917">
        <f>XLOOKUP(D3917,Products!$A$2:$A$15,Products!$B$2:$B$15,"Not found")</f>
        <v/>
      </c>
    </row>
    <row r="3918">
      <c r="A3918" t="n">
        <v>108237</v>
      </c>
      <c r="B3918" s="1" t="n">
        <v>45988</v>
      </c>
      <c r="C3918" t="inlineStr">
        <is>
          <t>S01</t>
        </is>
      </c>
      <c r="D3918" t="inlineStr">
        <is>
          <t>P202</t>
        </is>
      </c>
      <c r="E3918" t="n">
        <v>2</v>
      </c>
      <c r="F3918" t="n">
        <v>79</v>
      </c>
      <c r="G3918" t="n">
        <v>0.2</v>
      </c>
      <c r="H3918">
        <f>E3918*F3918*(1-G3918)</f>
        <v/>
      </c>
      <c r="I3918">
        <f>XLOOKUP(D3918,Products!$A$2:$A$15,Products!$B$2:$B$15,"Not found")</f>
        <v/>
      </c>
    </row>
    <row r="3919">
      <c r="A3919" t="n">
        <v>108238</v>
      </c>
      <c r="B3919" s="1" t="n">
        <v>45988</v>
      </c>
      <c r="C3919" t="inlineStr">
        <is>
          <t>S01</t>
        </is>
      </c>
      <c r="D3919" t="inlineStr">
        <is>
          <t>P104</t>
        </is>
      </c>
      <c r="E3919" t="n">
        <v>1</v>
      </c>
      <c r="F3919" t="n">
        <v>189</v>
      </c>
      <c r="G3919" t="n">
        <v>0</v>
      </c>
      <c r="H3919">
        <f>E3919*F3919*(1-G3919)</f>
        <v/>
      </c>
      <c r="I3919">
        <f>XLOOKUP(D3919,Products!$A$2:$A$15,Products!$B$2:$B$15,"Not found")</f>
        <v/>
      </c>
    </row>
    <row r="3920">
      <c r="A3920" t="n">
        <v>108239</v>
      </c>
      <c r="B3920" s="1" t="n">
        <v>45988</v>
      </c>
      <c r="C3920" t="inlineStr">
        <is>
          <t>S02</t>
        </is>
      </c>
      <c r="D3920" t="inlineStr">
        <is>
          <t>P101</t>
        </is>
      </c>
      <c r="E3920" t="n">
        <v>2</v>
      </c>
      <c r="F3920" t="n">
        <v>39</v>
      </c>
      <c r="G3920" t="n">
        <v>0.15</v>
      </c>
      <c r="H3920">
        <f>E3920*F3920*(1-G3920)</f>
        <v/>
      </c>
      <c r="I3920">
        <f>XLOOKUP(D3920,Products!$A$2:$A$15,Products!$B$2:$B$15,"Not found")</f>
        <v/>
      </c>
    </row>
    <row r="3921">
      <c r="A3921" t="n">
        <v>108240</v>
      </c>
      <c r="B3921" s="1" t="n">
        <v>45988</v>
      </c>
      <c r="C3921" t="inlineStr">
        <is>
          <t>S02</t>
        </is>
      </c>
      <c r="D3921" t="inlineStr">
        <is>
          <t>P202</t>
        </is>
      </c>
      <c r="E3921" t="n">
        <v>4</v>
      </c>
      <c r="F3921" t="n">
        <v>79</v>
      </c>
      <c r="G3921" t="n">
        <v>0.15</v>
      </c>
      <c r="H3921">
        <f>E3921*F3921*(1-G3921)</f>
        <v/>
      </c>
      <c r="I3921">
        <f>XLOOKUP(D3921,Products!$A$2:$A$15,Products!$B$2:$B$15,"Not found")</f>
        <v/>
      </c>
    </row>
    <row r="3922">
      <c r="A3922" t="n">
        <v>108241</v>
      </c>
      <c r="B3922" s="1" t="n">
        <v>45988</v>
      </c>
      <c r="C3922" t="inlineStr">
        <is>
          <t>S03</t>
        </is>
      </c>
      <c r="D3922" t="inlineStr">
        <is>
          <t>P203</t>
        </is>
      </c>
      <c r="E3922" t="n">
        <v>1</v>
      </c>
      <c r="F3922" t="n">
        <v>19.5</v>
      </c>
      <c r="G3922" t="n">
        <v>0</v>
      </c>
      <c r="H3922">
        <f>E3922*F3922*(1-G3922)</f>
        <v/>
      </c>
      <c r="I3922">
        <f>XLOOKUP(D3922,Products!$A$2:$A$15,Products!$B$2:$B$15,"Not found")</f>
        <v/>
      </c>
    </row>
    <row r="3923">
      <c r="A3923" t="n">
        <v>108242</v>
      </c>
      <c r="B3923" s="1" t="n">
        <v>45988</v>
      </c>
      <c r="C3923" t="inlineStr">
        <is>
          <t>S03</t>
        </is>
      </c>
      <c r="D3923" t="inlineStr">
        <is>
          <t>P401</t>
        </is>
      </c>
      <c r="E3923" t="n">
        <v>1</v>
      </c>
      <c r="F3923" t="n">
        <v>549</v>
      </c>
      <c r="G3923" t="n">
        <v>0.1</v>
      </c>
      <c r="H3923">
        <f>E3923*F3923*(1-G3923)</f>
        <v/>
      </c>
      <c r="I3923">
        <f>XLOOKUP(D3923,Products!$A$2:$A$15,Products!$B$2:$B$15,"Not found")</f>
        <v/>
      </c>
    </row>
    <row r="3924">
      <c r="A3924" t="n">
        <v>108243</v>
      </c>
      <c r="B3924" s="1" t="n">
        <v>45988</v>
      </c>
      <c r="C3924" t="inlineStr">
        <is>
          <t>S03</t>
        </is>
      </c>
      <c r="D3924" t="inlineStr">
        <is>
          <t>P301</t>
        </is>
      </c>
      <c r="E3924" t="n">
        <v>1</v>
      </c>
      <c r="F3924" t="n">
        <v>119</v>
      </c>
      <c r="G3924" t="n">
        <v>0</v>
      </c>
      <c r="H3924">
        <f>E3924*F3924*(1-G3924)</f>
        <v/>
      </c>
      <c r="I3924">
        <f>XLOOKUP(D3924,Products!$A$2:$A$15,Products!$B$2:$B$15,"Not found")</f>
        <v/>
      </c>
    </row>
    <row r="3925">
      <c r="A3925" t="n">
        <v>108244</v>
      </c>
      <c r="B3925" s="1" t="n">
        <v>45988</v>
      </c>
      <c r="C3925" t="inlineStr">
        <is>
          <t>S04</t>
        </is>
      </c>
      <c r="D3925" t="inlineStr">
        <is>
          <t>P202</t>
        </is>
      </c>
      <c r="E3925" t="n">
        <v>1</v>
      </c>
      <c r="F3925" t="n">
        <v>79</v>
      </c>
      <c r="G3925" t="n">
        <v>0.15</v>
      </c>
      <c r="H3925">
        <f>E3925*F3925*(1-G3925)</f>
        <v/>
      </c>
      <c r="I3925">
        <f>XLOOKUP(D3925,Products!$A$2:$A$15,Products!$B$2:$B$15,"Not found")</f>
        <v/>
      </c>
    </row>
    <row r="3926">
      <c r="A3926" t="n">
        <v>108245</v>
      </c>
      <c r="B3926" s="1" t="n">
        <v>45988</v>
      </c>
      <c r="C3926" t="inlineStr">
        <is>
          <t>S04</t>
        </is>
      </c>
      <c r="D3926" t="inlineStr">
        <is>
          <t>P203</t>
        </is>
      </c>
      <c r="E3926" t="n">
        <v>2</v>
      </c>
      <c r="F3926" t="n">
        <v>19.5</v>
      </c>
      <c r="G3926" t="n">
        <v>0.1</v>
      </c>
      <c r="H3926">
        <f>E3926*F3926*(1-G3926)</f>
        <v/>
      </c>
      <c r="I3926">
        <f>XLOOKUP(D3926,Products!$A$2:$A$15,Products!$B$2:$B$15,"Not found")</f>
        <v/>
      </c>
    </row>
    <row r="3927">
      <c r="A3927" t="n">
        <v>108246</v>
      </c>
      <c r="B3927" s="1" t="n">
        <v>45988</v>
      </c>
      <c r="C3927" t="inlineStr">
        <is>
          <t>S04</t>
        </is>
      </c>
      <c r="D3927" t="inlineStr">
        <is>
          <t>P103</t>
        </is>
      </c>
      <c r="E3927" t="n">
        <v>1</v>
      </c>
      <c r="F3927" t="n">
        <v>29</v>
      </c>
      <c r="G3927" t="n">
        <v>0</v>
      </c>
      <c r="H3927">
        <f>E3927*F3927*(1-G3927)</f>
        <v/>
      </c>
      <c r="I3927">
        <f>XLOOKUP(D3927,Products!$A$2:$A$15,Products!$B$2:$B$15,"Not found")</f>
        <v/>
      </c>
    </row>
    <row r="3928">
      <c r="A3928" t="n">
        <v>108247</v>
      </c>
      <c r="B3928" s="1" t="n">
        <v>45988</v>
      </c>
      <c r="C3928" t="inlineStr">
        <is>
          <t>S05</t>
        </is>
      </c>
      <c r="D3928" t="inlineStr">
        <is>
          <t>P101</t>
        </is>
      </c>
      <c r="E3928" t="n">
        <v>1</v>
      </c>
      <c r="F3928" t="n">
        <v>39</v>
      </c>
      <c r="G3928" t="n">
        <v>0</v>
      </c>
      <c r="H3928">
        <f>E3928*F3928*(1-G3928)</f>
        <v/>
      </c>
      <c r="I3928">
        <f>XLOOKUP(D3928,Products!$A$2:$A$15,Products!$B$2:$B$15,"Not found")</f>
        <v/>
      </c>
    </row>
    <row r="3929">
      <c r="A3929" t="n">
        <v>108248</v>
      </c>
      <c r="B3929" s="1" t="n">
        <v>45988</v>
      </c>
      <c r="C3929" t="inlineStr">
        <is>
          <t>S05</t>
        </is>
      </c>
      <c r="D3929" t="inlineStr">
        <is>
          <t>P403</t>
        </is>
      </c>
      <c r="E3929" t="n">
        <v>1</v>
      </c>
      <c r="F3929" t="n">
        <v>89</v>
      </c>
      <c r="G3929" t="n">
        <v>0</v>
      </c>
      <c r="H3929">
        <f>E3929*F3929*(1-G3929)</f>
        <v/>
      </c>
      <c r="I3929">
        <f>XLOOKUP(D3929,Products!$A$2:$A$15,Products!$B$2:$B$15,"Not found")</f>
        <v/>
      </c>
    </row>
    <row r="3930">
      <c r="A3930" t="n">
        <v>108249</v>
      </c>
      <c r="B3930" s="1" t="n">
        <v>45988</v>
      </c>
      <c r="C3930" t="inlineStr">
        <is>
          <t>S06</t>
        </is>
      </c>
      <c r="D3930" t="inlineStr">
        <is>
          <t>P303</t>
        </is>
      </c>
      <c r="E3930" t="n">
        <v>1</v>
      </c>
      <c r="F3930" t="n">
        <v>12</v>
      </c>
      <c r="G3930" t="n">
        <v>0.15</v>
      </c>
      <c r="H3930">
        <f>E3930*F3930*(1-G3930)</f>
        <v/>
      </c>
      <c r="I3930">
        <f>XLOOKUP(D3930,Products!$A$2:$A$15,Products!$B$2:$B$15,"Not found")</f>
        <v/>
      </c>
    </row>
    <row r="3931">
      <c r="A3931" t="n">
        <v>108250</v>
      </c>
      <c r="B3931" s="1" t="n">
        <v>45988</v>
      </c>
      <c r="C3931" t="inlineStr">
        <is>
          <t>S06</t>
        </is>
      </c>
      <c r="D3931" t="inlineStr">
        <is>
          <t>P302</t>
        </is>
      </c>
      <c r="E3931" t="n">
        <v>1</v>
      </c>
      <c r="F3931" t="n">
        <v>24</v>
      </c>
      <c r="G3931" t="n">
        <v>0.2</v>
      </c>
      <c r="H3931">
        <f>E3931*F3931*(1-G3931)</f>
        <v/>
      </c>
      <c r="I3931">
        <f>XLOOKUP(D3931,Products!$A$2:$A$15,Products!$B$2:$B$15,"Not found")</f>
        <v/>
      </c>
    </row>
    <row r="3932">
      <c r="A3932" t="n">
        <v>108251</v>
      </c>
      <c r="B3932" s="1" t="n">
        <v>45988</v>
      </c>
      <c r="C3932" t="inlineStr">
        <is>
          <t>S06</t>
        </is>
      </c>
      <c r="D3932" t="inlineStr">
        <is>
          <t>P203</t>
        </is>
      </c>
      <c r="E3932" t="n">
        <v>1</v>
      </c>
      <c r="F3932" t="n">
        <v>19.5</v>
      </c>
      <c r="G3932" t="n">
        <v>0.1</v>
      </c>
      <c r="H3932">
        <f>E3932*F3932*(1-G3932)</f>
        <v/>
      </c>
      <c r="I3932">
        <f>XLOOKUP(D3932,Products!$A$2:$A$15,Products!$B$2:$B$15,"Not found")</f>
        <v/>
      </c>
    </row>
    <row r="3933">
      <c r="A3933" t="n">
        <v>108252</v>
      </c>
      <c r="B3933" s="1" t="n">
        <v>45988</v>
      </c>
      <c r="C3933" t="inlineStr">
        <is>
          <t>S06</t>
        </is>
      </c>
      <c r="D3933" t="inlineStr">
        <is>
          <t>P202</t>
        </is>
      </c>
      <c r="E3933" t="n">
        <v>1</v>
      </c>
      <c r="F3933" t="n">
        <v>79</v>
      </c>
      <c r="G3933" t="n">
        <v>0.2</v>
      </c>
      <c r="H3933">
        <f>E3933*F3933*(1-G3933)</f>
        <v/>
      </c>
      <c r="I3933">
        <f>XLOOKUP(D3933,Products!$A$2:$A$15,Products!$B$2:$B$15,"Not found")</f>
        <v/>
      </c>
    </row>
    <row r="3934">
      <c r="A3934" t="n">
        <v>108253</v>
      </c>
      <c r="B3934" s="1" t="n">
        <v>45989</v>
      </c>
      <c r="C3934" t="inlineStr">
        <is>
          <t>S01</t>
        </is>
      </c>
      <c r="D3934" t="inlineStr">
        <is>
          <t>P302</t>
        </is>
      </c>
      <c r="E3934" t="n">
        <v>2</v>
      </c>
      <c r="F3934" t="n">
        <v>24</v>
      </c>
      <c r="G3934" t="n">
        <v>0</v>
      </c>
      <c r="H3934">
        <f>E3934*F3934*(1-G3934)</f>
        <v/>
      </c>
      <c r="I3934">
        <f>XLOOKUP(D3934,Products!$A$2:$A$15,Products!$B$2:$B$15,"Not found")</f>
        <v/>
      </c>
    </row>
    <row r="3935">
      <c r="A3935" t="n">
        <v>108254</v>
      </c>
      <c r="B3935" s="1" t="n">
        <v>45989</v>
      </c>
      <c r="C3935" t="inlineStr">
        <is>
          <t>S01</t>
        </is>
      </c>
      <c r="D3935" t="inlineStr">
        <is>
          <t>P103</t>
        </is>
      </c>
      <c r="E3935" t="n">
        <v>3</v>
      </c>
      <c r="F3935" t="n">
        <v>29</v>
      </c>
      <c r="G3935" t="n">
        <v>0</v>
      </c>
      <c r="H3935">
        <f>E3935*F3935*(1-G3935)</f>
        <v/>
      </c>
      <c r="I3935">
        <f>XLOOKUP(D3935,Products!$A$2:$A$15,Products!$B$2:$B$15,"Not found")</f>
        <v/>
      </c>
    </row>
    <row r="3936">
      <c r="A3936" t="n">
        <v>108255</v>
      </c>
      <c r="B3936" s="1" t="n">
        <v>45989</v>
      </c>
      <c r="C3936" t="inlineStr">
        <is>
          <t>S01</t>
        </is>
      </c>
      <c r="D3936" t="inlineStr">
        <is>
          <t>P103</t>
        </is>
      </c>
      <c r="E3936" t="n">
        <v>1</v>
      </c>
      <c r="F3936" t="n">
        <v>29</v>
      </c>
      <c r="G3936" t="n">
        <v>0</v>
      </c>
      <c r="H3936">
        <f>E3936*F3936*(1-G3936)</f>
        <v/>
      </c>
      <c r="I3936">
        <f>XLOOKUP(D3936,Products!$A$2:$A$15,Products!$B$2:$B$15,"Not found")</f>
        <v/>
      </c>
    </row>
    <row r="3937">
      <c r="A3937" t="n">
        <v>108256</v>
      </c>
      <c r="B3937" s="1" t="n">
        <v>45989</v>
      </c>
      <c r="C3937" t="inlineStr">
        <is>
          <t>S01</t>
        </is>
      </c>
      <c r="D3937" t="inlineStr">
        <is>
          <t>P303</t>
        </is>
      </c>
      <c r="E3937" t="n">
        <v>1</v>
      </c>
      <c r="F3937" t="n">
        <v>12</v>
      </c>
      <c r="G3937" t="n">
        <v>0</v>
      </c>
      <c r="H3937">
        <f>E3937*F3937*(1-G3937)</f>
        <v/>
      </c>
      <c r="I3937">
        <f>XLOOKUP(D3937,Products!$A$2:$A$15,Products!$B$2:$B$15,"Not found")</f>
        <v/>
      </c>
    </row>
    <row r="3938">
      <c r="A3938" t="n">
        <v>108257</v>
      </c>
      <c r="B3938" s="1" t="n">
        <v>45989</v>
      </c>
      <c r="C3938" t="inlineStr">
        <is>
          <t>S02</t>
        </is>
      </c>
      <c r="D3938" t="inlineStr">
        <is>
          <t>P403</t>
        </is>
      </c>
      <c r="E3938" t="n">
        <v>2</v>
      </c>
      <c r="F3938" t="n">
        <v>89</v>
      </c>
      <c r="G3938" t="n">
        <v>0</v>
      </c>
      <c r="H3938">
        <f>E3938*F3938*(1-G3938)</f>
        <v/>
      </c>
      <c r="I3938">
        <f>XLOOKUP(D3938,Products!$A$2:$A$15,Products!$B$2:$B$15,"Not found")</f>
        <v/>
      </c>
    </row>
    <row r="3939">
      <c r="A3939" t="n">
        <v>108258</v>
      </c>
      <c r="B3939" s="1" t="n">
        <v>45989</v>
      </c>
      <c r="C3939" t="inlineStr">
        <is>
          <t>S03</t>
        </is>
      </c>
      <c r="D3939" t="inlineStr">
        <is>
          <t>P302</t>
        </is>
      </c>
      <c r="E3939" t="n">
        <v>1</v>
      </c>
      <c r="F3939" t="n">
        <v>24</v>
      </c>
      <c r="G3939" t="n">
        <v>0.15</v>
      </c>
      <c r="H3939">
        <f>E3939*F3939*(1-G3939)</f>
        <v/>
      </c>
      <c r="I3939">
        <f>XLOOKUP(D3939,Products!$A$2:$A$15,Products!$B$2:$B$15,"Not found")</f>
        <v/>
      </c>
    </row>
    <row r="3940">
      <c r="A3940" t="n">
        <v>108259</v>
      </c>
      <c r="B3940" s="1" t="n">
        <v>45989</v>
      </c>
      <c r="C3940" t="inlineStr">
        <is>
          <t>S03</t>
        </is>
      </c>
      <c r="D3940" t="inlineStr">
        <is>
          <t>P302</t>
        </is>
      </c>
      <c r="E3940" t="n">
        <v>4</v>
      </c>
      <c r="F3940" t="n">
        <v>24</v>
      </c>
      <c r="G3940" t="n">
        <v>0.15</v>
      </c>
      <c r="H3940">
        <f>E3940*F3940*(1-G3940)</f>
        <v/>
      </c>
      <c r="I3940">
        <f>XLOOKUP(D3940,Products!$A$2:$A$15,Products!$B$2:$B$15,"Not found")</f>
        <v/>
      </c>
    </row>
    <row r="3941">
      <c r="A3941" t="n">
        <v>108260</v>
      </c>
      <c r="B3941" s="1" t="n">
        <v>45989</v>
      </c>
      <c r="C3941" t="inlineStr">
        <is>
          <t>S03</t>
        </is>
      </c>
      <c r="D3941" t="inlineStr">
        <is>
          <t>P402</t>
        </is>
      </c>
      <c r="E3941" t="n">
        <v>1</v>
      </c>
      <c r="F3941" t="n">
        <v>699</v>
      </c>
      <c r="G3941" t="n">
        <v>0</v>
      </c>
      <c r="H3941">
        <f>E3941*F3941*(1-G3941)</f>
        <v/>
      </c>
      <c r="I3941">
        <f>XLOOKUP(D3941,Products!$A$2:$A$15,Products!$B$2:$B$15,"Not found")</f>
        <v/>
      </c>
    </row>
    <row r="3942">
      <c r="A3942" t="n">
        <v>108261</v>
      </c>
      <c r="B3942" s="1" t="n">
        <v>45989</v>
      </c>
      <c r="C3942" t="inlineStr">
        <is>
          <t>S03</t>
        </is>
      </c>
      <c r="D3942" t="inlineStr">
        <is>
          <t>P201</t>
        </is>
      </c>
      <c r="E3942" t="n">
        <v>1</v>
      </c>
      <c r="F3942" t="n">
        <v>149</v>
      </c>
      <c r="G3942" t="n">
        <v>0</v>
      </c>
      <c r="H3942">
        <f>E3942*F3942*(1-G3942)</f>
        <v/>
      </c>
      <c r="I3942">
        <f>XLOOKUP(D3942,Products!$A$2:$A$15,Products!$B$2:$B$15,"Not found")</f>
        <v/>
      </c>
    </row>
    <row r="3943">
      <c r="A3943" t="n">
        <v>108262</v>
      </c>
      <c r="B3943" s="1" t="n">
        <v>45989</v>
      </c>
      <c r="C3943" t="inlineStr">
        <is>
          <t>S03</t>
        </is>
      </c>
      <c r="D3943" t="inlineStr">
        <is>
          <t>P402</t>
        </is>
      </c>
      <c r="E3943" t="n">
        <v>1</v>
      </c>
      <c r="F3943" t="n">
        <v>699</v>
      </c>
      <c r="G3943" t="n">
        <v>0</v>
      </c>
      <c r="H3943">
        <f>E3943*F3943*(1-G3943)</f>
        <v/>
      </c>
      <c r="I3943">
        <f>XLOOKUP(D3943,Products!$A$2:$A$15,Products!$B$2:$B$15,"Not found")</f>
        <v/>
      </c>
    </row>
    <row r="3944">
      <c r="A3944" t="n">
        <v>108263</v>
      </c>
      <c r="B3944" s="1" t="n">
        <v>45989</v>
      </c>
      <c r="C3944" t="inlineStr">
        <is>
          <t>S03</t>
        </is>
      </c>
      <c r="D3944" t="inlineStr">
        <is>
          <t>P303</t>
        </is>
      </c>
      <c r="E3944" t="n">
        <v>3</v>
      </c>
      <c r="F3944" t="n">
        <v>12</v>
      </c>
      <c r="G3944" t="n">
        <v>0</v>
      </c>
      <c r="H3944">
        <f>E3944*F3944*(1-G3944)</f>
        <v/>
      </c>
      <c r="I3944">
        <f>XLOOKUP(D3944,Products!$A$2:$A$15,Products!$B$2:$B$15,"Not found")</f>
        <v/>
      </c>
    </row>
    <row r="3945">
      <c r="A3945" t="n">
        <v>108264</v>
      </c>
      <c r="B3945" s="1" t="n">
        <v>45989</v>
      </c>
      <c r="C3945" t="inlineStr">
        <is>
          <t>S03</t>
        </is>
      </c>
      <c r="D3945" t="inlineStr">
        <is>
          <t>P201</t>
        </is>
      </c>
      <c r="E3945" t="n">
        <v>1</v>
      </c>
      <c r="F3945" t="n">
        <v>149</v>
      </c>
      <c r="G3945" t="n">
        <v>0.2</v>
      </c>
      <c r="H3945">
        <f>E3945*F3945*(1-G3945)</f>
        <v/>
      </c>
      <c r="I3945">
        <f>XLOOKUP(D3945,Products!$A$2:$A$15,Products!$B$2:$B$15,"Not found")</f>
        <v/>
      </c>
    </row>
    <row r="3946">
      <c r="A3946" t="n">
        <v>108265</v>
      </c>
      <c r="B3946" s="1" t="n">
        <v>45989</v>
      </c>
      <c r="C3946" t="inlineStr">
        <is>
          <t>S04</t>
        </is>
      </c>
      <c r="D3946" t="inlineStr">
        <is>
          <t>P102</t>
        </is>
      </c>
      <c r="E3946" t="n">
        <v>1</v>
      </c>
      <c r="F3946" t="n">
        <v>14.5</v>
      </c>
      <c r="G3946" t="n">
        <v>0</v>
      </c>
      <c r="H3946">
        <f>E3946*F3946*(1-G3946)</f>
        <v/>
      </c>
      <c r="I3946">
        <f>XLOOKUP(D3946,Products!$A$2:$A$15,Products!$B$2:$B$15,"Not found")</f>
        <v/>
      </c>
    </row>
    <row r="3947">
      <c r="A3947" t="n">
        <v>108266</v>
      </c>
      <c r="B3947" s="1" t="n">
        <v>45989</v>
      </c>
      <c r="C3947" t="inlineStr">
        <is>
          <t>S04</t>
        </is>
      </c>
      <c r="D3947" t="inlineStr">
        <is>
          <t>P104</t>
        </is>
      </c>
      <c r="E3947" t="n">
        <v>1</v>
      </c>
      <c r="F3947" t="n">
        <v>189</v>
      </c>
      <c r="G3947" t="n">
        <v>0</v>
      </c>
      <c r="H3947">
        <f>E3947*F3947*(1-G3947)</f>
        <v/>
      </c>
      <c r="I3947">
        <f>XLOOKUP(D3947,Products!$A$2:$A$15,Products!$B$2:$B$15,"Not found")</f>
        <v/>
      </c>
    </row>
    <row r="3948">
      <c r="A3948" t="n">
        <v>108267</v>
      </c>
      <c r="B3948" s="1" t="n">
        <v>45989</v>
      </c>
      <c r="C3948" t="inlineStr">
        <is>
          <t>S04</t>
        </is>
      </c>
      <c r="D3948" t="inlineStr">
        <is>
          <t>P104</t>
        </is>
      </c>
      <c r="E3948" t="n">
        <v>1</v>
      </c>
      <c r="F3948" t="n">
        <v>189</v>
      </c>
      <c r="G3948" t="n">
        <v>0.2</v>
      </c>
      <c r="H3948">
        <f>E3948*F3948*(1-G3948)</f>
        <v/>
      </c>
      <c r="I3948">
        <f>XLOOKUP(D3948,Products!$A$2:$A$15,Products!$B$2:$B$15,"Not found")</f>
        <v/>
      </c>
    </row>
    <row r="3949">
      <c r="A3949" t="n">
        <v>108268</v>
      </c>
      <c r="B3949" s="1" t="n">
        <v>45989</v>
      </c>
      <c r="C3949" t="inlineStr">
        <is>
          <t>S05</t>
        </is>
      </c>
      <c r="D3949" t="inlineStr">
        <is>
          <t>P301</t>
        </is>
      </c>
      <c r="E3949" t="n">
        <v>1</v>
      </c>
      <c r="F3949" t="n">
        <v>119</v>
      </c>
      <c r="G3949" t="n">
        <v>0</v>
      </c>
      <c r="H3949">
        <f>E3949*F3949*(1-G3949)</f>
        <v/>
      </c>
      <c r="I3949">
        <f>XLOOKUP(D3949,Products!$A$2:$A$15,Products!$B$2:$B$15,"Not found")</f>
        <v/>
      </c>
    </row>
    <row r="3950">
      <c r="A3950" t="n">
        <v>108269</v>
      </c>
      <c r="B3950" s="1" t="n">
        <v>45989</v>
      </c>
      <c r="C3950" t="inlineStr">
        <is>
          <t>S05</t>
        </is>
      </c>
      <c r="D3950" t="inlineStr">
        <is>
          <t>P202</t>
        </is>
      </c>
      <c r="E3950" t="n">
        <v>1</v>
      </c>
      <c r="F3950" t="n">
        <v>79</v>
      </c>
      <c r="G3950" t="n">
        <v>0</v>
      </c>
      <c r="H3950">
        <f>E3950*F3950*(1-G3950)</f>
        <v/>
      </c>
      <c r="I3950">
        <f>XLOOKUP(D3950,Products!$A$2:$A$15,Products!$B$2:$B$15,"Not found")</f>
        <v/>
      </c>
    </row>
    <row r="3951">
      <c r="A3951" t="n">
        <v>108270</v>
      </c>
      <c r="B3951" s="1" t="n">
        <v>45989</v>
      </c>
      <c r="C3951" t="inlineStr">
        <is>
          <t>S06</t>
        </is>
      </c>
      <c r="D3951" t="inlineStr">
        <is>
          <t>P302</t>
        </is>
      </c>
      <c r="E3951" t="n">
        <v>1</v>
      </c>
      <c r="F3951" t="n">
        <v>24</v>
      </c>
      <c r="G3951" t="n">
        <v>0</v>
      </c>
      <c r="H3951">
        <f>E3951*F3951*(1-G3951)</f>
        <v/>
      </c>
      <c r="I3951">
        <f>XLOOKUP(D3951,Products!$A$2:$A$15,Products!$B$2:$B$15,"Not found")</f>
        <v/>
      </c>
    </row>
    <row r="3952">
      <c r="A3952" t="n">
        <v>108271</v>
      </c>
      <c r="B3952" s="1" t="n">
        <v>45990</v>
      </c>
      <c r="C3952" t="inlineStr">
        <is>
          <t>S01</t>
        </is>
      </c>
      <c r="D3952" t="inlineStr">
        <is>
          <t>P102</t>
        </is>
      </c>
      <c r="E3952" t="n">
        <v>1</v>
      </c>
      <c r="F3952" t="n">
        <v>14.5</v>
      </c>
      <c r="G3952" t="n">
        <v>0</v>
      </c>
      <c r="H3952">
        <f>E3952*F3952*(1-G3952)</f>
        <v/>
      </c>
      <c r="I3952">
        <f>XLOOKUP(D3952,Products!$A$2:$A$15,Products!$B$2:$B$15,"Not found")</f>
        <v/>
      </c>
    </row>
    <row r="3953">
      <c r="A3953" t="n">
        <v>108272</v>
      </c>
      <c r="B3953" s="1" t="n">
        <v>45990</v>
      </c>
      <c r="C3953" t="inlineStr">
        <is>
          <t>S01</t>
        </is>
      </c>
      <c r="D3953" t="inlineStr">
        <is>
          <t>P301</t>
        </is>
      </c>
      <c r="E3953" t="n">
        <v>1</v>
      </c>
      <c r="F3953" t="n">
        <v>119</v>
      </c>
      <c r="G3953" t="n">
        <v>0</v>
      </c>
      <c r="H3953">
        <f>E3953*F3953*(1-G3953)</f>
        <v/>
      </c>
      <c r="I3953">
        <f>XLOOKUP(D3953,Products!$A$2:$A$15,Products!$B$2:$B$15,"Not found")</f>
        <v/>
      </c>
    </row>
    <row r="3954">
      <c r="A3954" t="n">
        <v>108273</v>
      </c>
      <c r="B3954" s="1" t="n">
        <v>45990</v>
      </c>
      <c r="C3954" t="inlineStr">
        <is>
          <t>S01</t>
        </is>
      </c>
      <c r="D3954" t="inlineStr">
        <is>
          <t>P102</t>
        </is>
      </c>
      <c r="E3954" t="n">
        <v>3</v>
      </c>
      <c r="F3954" t="n">
        <v>14.5</v>
      </c>
      <c r="G3954" t="n">
        <v>0.2</v>
      </c>
      <c r="H3954">
        <f>E3954*F3954*(1-G3954)</f>
        <v/>
      </c>
      <c r="I3954">
        <f>XLOOKUP(D3954,Products!$A$2:$A$15,Products!$B$2:$B$15,"Not found")</f>
        <v/>
      </c>
    </row>
    <row r="3955">
      <c r="A3955" t="n">
        <v>108274</v>
      </c>
      <c r="B3955" s="1" t="n">
        <v>45990</v>
      </c>
      <c r="C3955" t="inlineStr">
        <is>
          <t>S01</t>
        </is>
      </c>
      <c r="D3955" t="inlineStr">
        <is>
          <t>P301</t>
        </is>
      </c>
      <c r="E3955" t="n">
        <v>1</v>
      </c>
      <c r="F3955" t="n">
        <v>119</v>
      </c>
      <c r="G3955" t="n">
        <v>0</v>
      </c>
      <c r="H3955">
        <f>E3955*F3955*(1-G3955)</f>
        <v/>
      </c>
      <c r="I3955">
        <f>XLOOKUP(D3955,Products!$A$2:$A$15,Products!$B$2:$B$15,"Not found")</f>
        <v/>
      </c>
    </row>
    <row r="3956">
      <c r="A3956" t="n">
        <v>108275</v>
      </c>
      <c r="B3956" s="1" t="n">
        <v>45990</v>
      </c>
      <c r="C3956" t="inlineStr">
        <is>
          <t>S02</t>
        </is>
      </c>
      <c r="D3956" t="inlineStr">
        <is>
          <t>P102</t>
        </is>
      </c>
      <c r="E3956" t="n">
        <v>1</v>
      </c>
      <c r="F3956" t="n">
        <v>14.5</v>
      </c>
      <c r="G3956" t="n">
        <v>0</v>
      </c>
      <c r="H3956">
        <f>E3956*F3956*(1-G3956)</f>
        <v/>
      </c>
      <c r="I3956">
        <f>XLOOKUP(D3956,Products!$A$2:$A$15,Products!$B$2:$B$15,"Not found")</f>
        <v/>
      </c>
    </row>
    <row r="3957">
      <c r="A3957" t="n">
        <v>108276</v>
      </c>
      <c r="B3957" s="1" t="n">
        <v>45990</v>
      </c>
      <c r="C3957" t="inlineStr">
        <is>
          <t>S02</t>
        </is>
      </c>
      <c r="D3957" t="inlineStr">
        <is>
          <t>P203</t>
        </is>
      </c>
      <c r="E3957" t="n">
        <v>2</v>
      </c>
      <c r="F3957" t="n">
        <v>19.5</v>
      </c>
      <c r="G3957" t="n">
        <v>0.1</v>
      </c>
      <c r="H3957">
        <f>E3957*F3957*(1-G3957)</f>
        <v/>
      </c>
      <c r="I3957">
        <f>XLOOKUP(D3957,Products!$A$2:$A$15,Products!$B$2:$B$15,"Not found")</f>
        <v/>
      </c>
    </row>
    <row r="3958">
      <c r="A3958" t="n">
        <v>108277</v>
      </c>
      <c r="B3958" s="1" t="n">
        <v>45990</v>
      </c>
      <c r="C3958" t="inlineStr">
        <is>
          <t>S02</t>
        </is>
      </c>
      <c r="D3958" t="inlineStr">
        <is>
          <t>P202</t>
        </is>
      </c>
      <c r="E3958" t="n">
        <v>1</v>
      </c>
      <c r="F3958" t="n">
        <v>79</v>
      </c>
      <c r="G3958" t="n">
        <v>0</v>
      </c>
      <c r="H3958">
        <f>E3958*F3958*(1-G3958)</f>
        <v/>
      </c>
      <c r="I3958">
        <f>XLOOKUP(D3958,Products!$A$2:$A$15,Products!$B$2:$B$15,"Not found")</f>
        <v/>
      </c>
    </row>
    <row r="3959">
      <c r="A3959" t="n">
        <v>108278</v>
      </c>
      <c r="B3959" s="1" t="n">
        <v>45990</v>
      </c>
      <c r="C3959" t="inlineStr">
        <is>
          <t>S02</t>
        </is>
      </c>
      <c r="D3959" t="inlineStr">
        <is>
          <t>P303</t>
        </is>
      </c>
      <c r="E3959" t="n">
        <v>1</v>
      </c>
      <c r="F3959" t="n">
        <v>12</v>
      </c>
      <c r="G3959" t="n">
        <v>0</v>
      </c>
      <c r="H3959">
        <f>E3959*F3959*(1-G3959)</f>
        <v/>
      </c>
      <c r="I3959">
        <f>XLOOKUP(D3959,Products!$A$2:$A$15,Products!$B$2:$B$15,"Not found")</f>
        <v/>
      </c>
    </row>
    <row r="3960">
      <c r="A3960" t="n">
        <v>108279</v>
      </c>
      <c r="B3960" s="1" t="n">
        <v>45990</v>
      </c>
      <c r="C3960" t="inlineStr">
        <is>
          <t>S03</t>
        </is>
      </c>
      <c r="D3960" t="inlineStr">
        <is>
          <t>P302</t>
        </is>
      </c>
      <c r="E3960" t="n">
        <v>1</v>
      </c>
      <c r="F3960" t="n">
        <v>24</v>
      </c>
      <c r="G3960" t="n">
        <v>0</v>
      </c>
      <c r="H3960">
        <f>E3960*F3960*(1-G3960)</f>
        <v/>
      </c>
      <c r="I3960">
        <f>XLOOKUP(D3960,Products!$A$2:$A$15,Products!$B$2:$B$15,"Not found")</f>
        <v/>
      </c>
    </row>
    <row r="3961">
      <c r="A3961" t="n">
        <v>108280</v>
      </c>
      <c r="B3961" s="1" t="n">
        <v>45990</v>
      </c>
      <c r="C3961" t="inlineStr">
        <is>
          <t>S03</t>
        </is>
      </c>
      <c r="D3961" t="inlineStr">
        <is>
          <t>P203</t>
        </is>
      </c>
      <c r="E3961" t="n">
        <v>2</v>
      </c>
      <c r="F3961" t="n">
        <v>19.5</v>
      </c>
      <c r="G3961" t="n">
        <v>0.2</v>
      </c>
      <c r="H3961">
        <f>E3961*F3961*(1-G3961)</f>
        <v/>
      </c>
      <c r="I3961">
        <f>XLOOKUP(D3961,Products!$A$2:$A$15,Products!$B$2:$B$15,"Not found")</f>
        <v/>
      </c>
    </row>
    <row r="3962">
      <c r="A3962" t="n">
        <v>108281</v>
      </c>
      <c r="B3962" s="1" t="n">
        <v>45990</v>
      </c>
      <c r="C3962" t="inlineStr">
        <is>
          <t>S03</t>
        </is>
      </c>
      <c r="D3962" t="inlineStr">
        <is>
          <t>P303</t>
        </is>
      </c>
      <c r="E3962" t="n">
        <v>2</v>
      </c>
      <c r="F3962" t="n">
        <v>12</v>
      </c>
      <c r="G3962" t="n">
        <v>0</v>
      </c>
      <c r="H3962">
        <f>E3962*F3962*(1-G3962)</f>
        <v/>
      </c>
      <c r="I3962">
        <f>XLOOKUP(D3962,Products!$A$2:$A$15,Products!$B$2:$B$15,"Not found")</f>
        <v/>
      </c>
    </row>
    <row r="3963">
      <c r="A3963" t="n">
        <v>108282</v>
      </c>
      <c r="B3963" s="1" t="n">
        <v>45990</v>
      </c>
      <c r="C3963" t="inlineStr">
        <is>
          <t>S03</t>
        </is>
      </c>
      <c r="D3963" t="inlineStr">
        <is>
          <t>P102</t>
        </is>
      </c>
      <c r="E3963" t="n">
        <v>2</v>
      </c>
      <c r="F3963" t="n">
        <v>14.5</v>
      </c>
      <c r="G3963" t="n">
        <v>0</v>
      </c>
      <c r="H3963">
        <f>E3963*F3963*(1-G3963)</f>
        <v/>
      </c>
      <c r="I3963">
        <f>XLOOKUP(D3963,Products!$A$2:$A$15,Products!$B$2:$B$15,"Not found")</f>
        <v/>
      </c>
    </row>
    <row r="3964">
      <c r="A3964" t="n">
        <v>108283</v>
      </c>
      <c r="B3964" s="1" t="n">
        <v>45990</v>
      </c>
      <c r="C3964" t="inlineStr">
        <is>
          <t>S04</t>
        </is>
      </c>
      <c r="D3964" t="inlineStr">
        <is>
          <t>P303</t>
        </is>
      </c>
      <c r="E3964" t="n">
        <v>1</v>
      </c>
      <c r="F3964" t="n">
        <v>12</v>
      </c>
      <c r="G3964" t="n">
        <v>0</v>
      </c>
      <c r="H3964">
        <f>E3964*F3964*(1-G3964)</f>
        <v/>
      </c>
      <c r="I3964">
        <f>XLOOKUP(D3964,Products!$A$2:$A$15,Products!$B$2:$B$15,"Not found")</f>
        <v/>
      </c>
    </row>
    <row r="3965">
      <c r="A3965" t="n">
        <v>108284</v>
      </c>
      <c r="B3965" s="1" t="n">
        <v>45990</v>
      </c>
      <c r="C3965" t="inlineStr">
        <is>
          <t>S04</t>
        </is>
      </c>
      <c r="D3965" t="inlineStr">
        <is>
          <t>P403</t>
        </is>
      </c>
      <c r="E3965" t="n">
        <v>3</v>
      </c>
      <c r="F3965" t="n">
        <v>89</v>
      </c>
      <c r="G3965" t="n">
        <v>0</v>
      </c>
      <c r="H3965">
        <f>E3965*F3965*(1-G3965)</f>
        <v/>
      </c>
      <c r="I3965">
        <f>XLOOKUP(D3965,Products!$A$2:$A$15,Products!$B$2:$B$15,"Not found")</f>
        <v/>
      </c>
    </row>
    <row r="3966">
      <c r="A3966" t="n">
        <v>108285</v>
      </c>
      <c r="B3966" s="1" t="n">
        <v>45990</v>
      </c>
      <c r="C3966" t="inlineStr">
        <is>
          <t>S04</t>
        </is>
      </c>
      <c r="D3966" t="inlineStr">
        <is>
          <t>P101</t>
        </is>
      </c>
      <c r="E3966" t="n">
        <v>2</v>
      </c>
      <c r="F3966" t="n">
        <v>39</v>
      </c>
      <c r="G3966" t="n">
        <v>0</v>
      </c>
      <c r="H3966">
        <f>E3966*F3966*(1-G3966)</f>
        <v/>
      </c>
      <c r="I3966">
        <f>XLOOKUP(D3966,Products!$A$2:$A$15,Products!$B$2:$B$15,"Not found")</f>
        <v/>
      </c>
    </row>
    <row r="3967">
      <c r="A3967" t="n">
        <v>108286</v>
      </c>
      <c r="B3967" s="1" t="n">
        <v>45990</v>
      </c>
      <c r="C3967" t="inlineStr">
        <is>
          <t>S04</t>
        </is>
      </c>
      <c r="D3967" t="inlineStr">
        <is>
          <t>P102</t>
        </is>
      </c>
      <c r="E3967" t="n">
        <v>3</v>
      </c>
      <c r="F3967" t="n">
        <v>14.5</v>
      </c>
      <c r="G3967" t="n">
        <v>0.2</v>
      </c>
      <c r="H3967">
        <f>E3967*F3967*(1-G3967)</f>
        <v/>
      </c>
      <c r="I3967">
        <f>XLOOKUP(D3967,Products!$A$2:$A$15,Products!$B$2:$B$15,"Not found")</f>
        <v/>
      </c>
    </row>
    <row r="3968">
      <c r="A3968" t="n">
        <v>108287</v>
      </c>
      <c r="B3968" s="1" t="n">
        <v>45990</v>
      </c>
      <c r="C3968" t="inlineStr">
        <is>
          <t>S04</t>
        </is>
      </c>
      <c r="D3968" t="inlineStr">
        <is>
          <t>P103</t>
        </is>
      </c>
      <c r="E3968" t="n">
        <v>2</v>
      </c>
      <c r="F3968" t="n">
        <v>29</v>
      </c>
      <c r="G3968" t="n">
        <v>0</v>
      </c>
      <c r="H3968">
        <f>E3968*F3968*(1-G3968)</f>
        <v/>
      </c>
      <c r="I3968">
        <f>XLOOKUP(D3968,Products!$A$2:$A$15,Products!$B$2:$B$15,"Not found")</f>
        <v/>
      </c>
    </row>
    <row r="3969">
      <c r="A3969" t="n">
        <v>108288</v>
      </c>
      <c r="B3969" s="1" t="n">
        <v>45990</v>
      </c>
      <c r="C3969" t="inlineStr">
        <is>
          <t>S05</t>
        </is>
      </c>
      <c r="D3969" t="inlineStr">
        <is>
          <t>P101</t>
        </is>
      </c>
      <c r="E3969" t="n">
        <v>2</v>
      </c>
      <c r="F3969" t="n">
        <v>39</v>
      </c>
      <c r="G3969" t="n">
        <v>0</v>
      </c>
      <c r="H3969">
        <f>E3969*F3969*(1-G3969)</f>
        <v/>
      </c>
      <c r="I3969">
        <f>XLOOKUP(D3969,Products!$A$2:$A$15,Products!$B$2:$B$15,"Not found")</f>
        <v/>
      </c>
    </row>
    <row r="3970">
      <c r="A3970" t="n">
        <v>108289</v>
      </c>
      <c r="B3970" s="1" t="n">
        <v>45990</v>
      </c>
      <c r="C3970" t="inlineStr">
        <is>
          <t>S05</t>
        </is>
      </c>
      <c r="D3970" t="inlineStr">
        <is>
          <t>P303</t>
        </is>
      </c>
      <c r="E3970" t="n">
        <v>2</v>
      </c>
      <c r="F3970" t="n">
        <v>12</v>
      </c>
      <c r="G3970" t="n">
        <v>0</v>
      </c>
      <c r="H3970">
        <f>E3970*F3970*(1-G3970)</f>
        <v/>
      </c>
      <c r="I3970">
        <f>XLOOKUP(D3970,Products!$A$2:$A$15,Products!$B$2:$B$15,"Not found")</f>
        <v/>
      </c>
    </row>
    <row r="3971">
      <c r="A3971" t="n">
        <v>108290</v>
      </c>
      <c r="B3971" s="1" t="n">
        <v>45990</v>
      </c>
      <c r="C3971" t="inlineStr">
        <is>
          <t>S06</t>
        </is>
      </c>
      <c r="D3971" t="inlineStr">
        <is>
          <t>P103</t>
        </is>
      </c>
      <c r="E3971" t="n">
        <v>1</v>
      </c>
      <c r="F3971" t="n">
        <v>29</v>
      </c>
      <c r="G3971" t="n">
        <v>0</v>
      </c>
      <c r="H3971">
        <f>E3971*F3971*(1-G3971)</f>
        <v/>
      </c>
      <c r="I3971">
        <f>XLOOKUP(D3971,Products!$A$2:$A$15,Products!$B$2:$B$15,"Not found")</f>
        <v/>
      </c>
    </row>
    <row r="3972">
      <c r="A3972" t="n">
        <v>108291</v>
      </c>
      <c r="B3972" s="1" t="n">
        <v>45991</v>
      </c>
      <c r="C3972" t="inlineStr">
        <is>
          <t>S01</t>
        </is>
      </c>
      <c r="D3972" t="inlineStr">
        <is>
          <t>P101</t>
        </is>
      </c>
      <c r="E3972" t="n">
        <v>1</v>
      </c>
      <c r="F3972" t="n">
        <v>39</v>
      </c>
      <c r="G3972" t="n">
        <v>0</v>
      </c>
      <c r="H3972">
        <f>E3972*F3972*(1-G3972)</f>
        <v/>
      </c>
      <c r="I3972">
        <f>XLOOKUP(D3972,Products!$A$2:$A$15,Products!$B$2:$B$15,"Not found")</f>
        <v/>
      </c>
    </row>
    <row r="3973">
      <c r="A3973" t="n">
        <v>108292</v>
      </c>
      <c r="B3973" s="1" t="n">
        <v>45991</v>
      </c>
      <c r="C3973" t="inlineStr">
        <is>
          <t>S01</t>
        </is>
      </c>
      <c r="D3973" t="inlineStr">
        <is>
          <t>P103</t>
        </is>
      </c>
      <c r="E3973" t="n">
        <v>2</v>
      </c>
      <c r="F3973" t="n">
        <v>29</v>
      </c>
      <c r="G3973" t="n">
        <v>0.1</v>
      </c>
      <c r="H3973">
        <f>E3973*F3973*(1-G3973)</f>
        <v/>
      </c>
      <c r="I3973">
        <f>XLOOKUP(D3973,Products!$A$2:$A$15,Products!$B$2:$B$15,"Not found")</f>
        <v/>
      </c>
    </row>
    <row r="3974">
      <c r="A3974" t="n">
        <v>108293</v>
      </c>
      <c r="B3974" s="1" t="n">
        <v>45991</v>
      </c>
      <c r="C3974" t="inlineStr">
        <is>
          <t>S01</t>
        </is>
      </c>
      <c r="D3974" t="inlineStr">
        <is>
          <t>P303</t>
        </is>
      </c>
      <c r="E3974" t="n">
        <v>3</v>
      </c>
      <c r="F3974" t="n">
        <v>12</v>
      </c>
      <c r="G3974" t="n">
        <v>0</v>
      </c>
      <c r="H3974">
        <f>E3974*F3974*(1-G3974)</f>
        <v/>
      </c>
      <c r="I3974">
        <f>XLOOKUP(D3974,Products!$A$2:$A$15,Products!$B$2:$B$15,"Not found")</f>
        <v/>
      </c>
    </row>
    <row r="3975">
      <c r="A3975" t="n">
        <v>108294</v>
      </c>
      <c r="B3975" s="1" t="n">
        <v>45991</v>
      </c>
      <c r="C3975" t="inlineStr">
        <is>
          <t>S01</t>
        </is>
      </c>
      <c r="D3975" t="inlineStr">
        <is>
          <t>P301</t>
        </is>
      </c>
      <c r="E3975" t="n">
        <v>1</v>
      </c>
      <c r="F3975" t="n">
        <v>119</v>
      </c>
      <c r="G3975" t="n">
        <v>0</v>
      </c>
      <c r="H3975">
        <f>E3975*F3975*(1-G3975)</f>
        <v/>
      </c>
      <c r="I3975">
        <f>XLOOKUP(D3975,Products!$A$2:$A$15,Products!$B$2:$B$15,"Not found")</f>
        <v/>
      </c>
    </row>
    <row r="3976">
      <c r="A3976" t="n">
        <v>108295</v>
      </c>
      <c r="B3976" s="1" t="n">
        <v>45991</v>
      </c>
      <c r="C3976" t="inlineStr">
        <is>
          <t>S01</t>
        </is>
      </c>
      <c r="D3976" t="inlineStr">
        <is>
          <t>P303</t>
        </is>
      </c>
      <c r="E3976" t="n">
        <v>4</v>
      </c>
      <c r="F3976" t="n">
        <v>12</v>
      </c>
      <c r="G3976" t="n">
        <v>0.1</v>
      </c>
      <c r="H3976">
        <f>E3976*F3976*(1-G3976)</f>
        <v/>
      </c>
      <c r="I3976">
        <f>XLOOKUP(D3976,Products!$A$2:$A$15,Products!$B$2:$B$15,"Not found")</f>
        <v/>
      </c>
    </row>
    <row r="3977">
      <c r="A3977" t="n">
        <v>108296</v>
      </c>
      <c r="B3977" s="1" t="n">
        <v>45991</v>
      </c>
      <c r="C3977" t="inlineStr">
        <is>
          <t>S01</t>
        </is>
      </c>
      <c r="D3977" t="inlineStr">
        <is>
          <t>P103</t>
        </is>
      </c>
      <c r="E3977" t="n">
        <v>1</v>
      </c>
      <c r="F3977" t="n">
        <v>29</v>
      </c>
      <c r="G3977" t="n">
        <v>0</v>
      </c>
      <c r="H3977">
        <f>E3977*F3977*(1-G3977)</f>
        <v/>
      </c>
      <c r="I3977">
        <f>XLOOKUP(D3977,Products!$A$2:$A$15,Products!$B$2:$B$15,"Not found")</f>
        <v/>
      </c>
    </row>
    <row r="3978">
      <c r="A3978" t="n">
        <v>108297</v>
      </c>
      <c r="B3978" s="1" t="n">
        <v>45991</v>
      </c>
      <c r="C3978" t="inlineStr">
        <is>
          <t>S01</t>
        </is>
      </c>
      <c r="D3978" t="inlineStr">
        <is>
          <t>P302</t>
        </is>
      </c>
      <c r="E3978" t="n">
        <v>1</v>
      </c>
      <c r="F3978" t="n">
        <v>24</v>
      </c>
      <c r="G3978" t="n">
        <v>0</v>
      </c>
      <c r="H3978">
        <f>E3978*F3978*(1-G3978)</f>
        <v/>
      </c>
      <c r="I3978">
        <f>XLOOKUP(D3978,Products!$A$2:$A$15,Products!$B$2:$B$15,"Not found")</f>
        <v/>
      </c>
    </row>
    <row r="3979">
      <c r="A3979" t="n">
        <v>108298</v>
      </c>
      <c r="B3979" s="1" t="n">
        <v>45991</v>
      </c>
      <c r="C3979" t="inlineStr">
        <is>
          <t>S01</t>
        </is>
      </c>
      <c r="D3979" t="inlineStr">
        <is>
          <t>P103</t>
        </is>
      </c>
      <c r="E3979" t="n">
        <v>3</v>
      </c>
      <c r="F3979" t="n">
        <v>29</v>
      </c>
      <c r="G3979" t="n">
        <v>0</v>
      </c>
      <c r="H3979">
        <f>E3979*F3979*(1-G3979)</f>
        <v/>
      </c>
      <c r="I3979">
        <f>XLOOKUP(D3979,Products!$A$2:$A$15,Products!$B$2:$B$15,"Not found")</f>
        <v/>
      </c>
    </row>
    <row r="3980">
      <c r="A3980" t="n">
        <v>108299</v>
      </c>
      <c r="B3980" s="1" t="n">
        <v>45991</v>
      </c>
      <c r="C3980" t="inlineStr">
        <is>
          <t>S01</t>
        </is>
      </c>
      <c r="D3980" t="inlineStr">
        <is>
          <t>P102</t>
        </is>
      </c>
      <c r="E3980" t="n">
        <v>1</v>
      </c>
      <c r="F3980" t="n">
        <v>14.5</v>
      </c>
      <c r="G3980" t="n">
        <v>0</v>
      </c>
      <c r="H3980">
        <f>E3980*F3980*(1-G3980)</f>
        <v/>
      </c>
      <c r="I3980">
        <f>XLOOKUP(D3980,Products!$A$2:$A$15,Products!$B$2:$B$15,"Not found")</f>
        <v/>
      </c>
    </row>
    <row r="3981">
      <c r="A3981" t="n">
        <v>108300</v>
      </c>
      <c r="B3981" s="1" t="n">
        <v>45991</v>
      </c>
      <c r="C3981" t="inlineStr">
        <is>
          <t>S02</t>
        </is>
      </c>
      <c r="D3981" t="inlineStr">
        <is>
          <t>P201</t>
        </is>
      </c>
      <c r="E3981" t="n">
        <v>1</v>
      </c>
      <c r="F3981" t="n">
        <v>149</v>
      </c>
      <c r="G3981" t="n">
        <v>0.1</v>
      </c>
      <c r="H3981">
        <f>E3981*F3981*(1-G3981)</f>
        <v/>
      </c>
      <c r="I3981">
        <f>XLOOKUP(D3981,Products!$A$2:$A$15,Products!$B$2:$B$15,"Not found")</f>
        <v/>
      </c>
    </row>
    <row r="3982">
      <c r="A3982" t="n">
        <v>108301</v>
      </c>
      <c r="B3982" s="1" t="n">
        <v>45991</v>
      </c>
      <c r="C3982" t="inlineStr">
        <is>
          <t>S02</t>
        </is>
      </c>
      <c r="D3982" t="inlineStr">
        <is>
          <t>P102</t>
        </is>
      </c>
      <c r="E3982" t="n">
        <v>1</v>
      </c>
      <c r="F3982" t="n">
        <v>14.5</v>
      </c>
      <c r="G3982" t="n">
        <v>0</v>
      </c>
      <c r="H3982">
        <f>E3982*F3982*(1-G3982)</f>
        <v/>
      </c>
      <c r="I3982">
        <f>XLOOKUP(D3982,Products!$A$2:$A$15,Products!$B$2:$B$15,"Not found")</f>
        <v/>
      </c>
    </row>
    <row r="3983">
      <c r="A3983" t="n">
        <v>108302</v>
      </c>
      <c r="B3983" s="1" t="n">
        <v>45991</v>
      </c>
      <c r="C3983" t="inlineStr">
        <is>
          <t>S02</t>
        </is>
      </c>
      <c r="D3983" t="inlineStr">
        <is>
          <t>P303</t>
        </is>
      </c>
      <c r="E3983" t="n">
        <v>2</v>
      </c>
      <c r="F3983" t="n">
        <v>12</v>
      </c>
      <c r="G3983" t="n">
        <v>0</v>
      </c>
      <c r="H3983">
        <f>E3983*F3983*(1-G3983)</f>
        <v/>
      </c>
      <c r="I3983">
        <f>XLOOKUP(D3983,Products!$A$2:$A$15,Products!$B$2:$B$15,"Not found")</f>
        <v/>
      </c>
    </row>
    <row r="3984">
      <c r="A3984" t="n">
        <v>108303</v>
      </c>
      <c r="B3984" s="1" t="n">
        <v>45991</v>
      </c>
      <c r="C3984" t="inlineStr">
        <is>
          <t>S03</t>
        </is>
      </c>
      <c r="D3984" t="inlineStr">
        <is>
          <t>P102</t>
        </is>
      </c>
      <c r="E3984" t="n">
        <v>3</v>
      </c>
      <c r="F3984" t="n">
        <v>14.5</v>
      </c>
      <c r="G3984" t="n">
        <v>0.1</v>
      </c>
      <c r="H3984">
        <f>E3984*F3984*(1-G3984)</f>
        <v/>
      </c>
      <c r="I3984">
        <f>XLOOKUP(D3984,Products!$A$2:$A$15,Products!$B$2:$B$15,"Not found")</f>
        <v/>
      </c>
    </row>
    <row r="3985">
      <c r="A3985" t="n">
        <v>108304</v>
      </c>
      <c r="B3985" s="1" t="n">
        <v>45991</v>
      </c>
      <c r="C3985" t="inlineStr">
        <is>
          <t>S03</t>
        </is>
      </c>
      <c r="D3985" t="inlineStr">
        <is>
          <t>P302</t>
        </is>
      </c>
      <c r="E3985" t="n">
        <v>2</v>
      </c>
      <c r="F3985" t="n">
        <v>24</v>
      </c>
      <c r="G3985" t="n">
        <v>0</v>
      </c>
      <c r="H3985">
        <f>E3985*F3985*(1-G3985)</f>
        <v/>
      </c>
      <c r="I3985">
        <f>XLOOKUP(D3985,Products!$A$2:$A$15,Products!$B$2:$B$15,"Not found")</f>
        <v/>
      </c>
    </row>
    <row r="3986">
      <c r="A3986" t="n">
        <v>108305</v>
      </c>
      <c r="B3986" s="1" t="n">
        <v>45991</v>
      </c>
      <c r="C3986" t="inlineStr">
        <is>
          <t>S03</t>
        </is>
      </c>
      <c r="D3986" t="inlineStr">
        <is>
          <t>P203</t>
        </is>
      </c>
      <c r="E3986" t="n">
        <v>3</v>
      </c>
      <c r="F3986" t="n">
        <v>19.5</v>
      </c>
      <c r="G3986" t="n">
        <v>0</v>
      </c>
      <c r="H3986">
        <f>E3986*F3986*(1-G3986)</f>
        <v/>
      </c>
      <c r="I3986">
        <f>XLOOKUP(D3986,Products!$A$2:$A$15,Products!$B$2:$B$15,"Not found")</f>
        <v/>
      </c>
    </row>
    <row r="3987">
      <c r="A3987" t="n">
        <v>108306</v>
      </c>
      <c r="B3987" s="1" t="n">
        <v>45991</v>
      </c>
      <c r="C3987" t="inlineStr">
        <is>
          <t>S04</t>
        </is>
      </c>
      <c r="D3987" t="inlineStr">
        <is>
          <t>P103</t>
        </is>
      </c>
      <c r="E3987" t="n">
        <v>2</v>
      </c>
      <c r="F3987" t="n">
        <v>29</v>
      </c>
      <c r="G3987" t="n">
        <v>0.1</v>
      </c>
      <c r="H3987">
        <f>E3987*F3987*(1-G3987)</f>
        <v/>
      </c>
      <c r="I3987">
        <f>XLOOKUP(D3987,Products!$A$2:$A$15,Products!$B$2:$B$15,"Not found")</f>
        <v/>
      </c>
    </row>
    <row r="3988">
      <c r="A3988" t="n">
        <v>108307</v>
      </c>
      <c r="B3988" s="1" t="n">
        <v>45991</v>
      </c>
      <c r="C3988" t="inlineStr">
        <is>
          <t>S04</t>
        </is>
      </c>
      <c r="D3988" t="inlineStr">
        <is>
          <t>P201</t>
        </is>
      </c>
      <c r="E3988" t="n">
        <v>1</v>
      </c>
      <c r="F3988" t="n">
        <v>149</v>
      </c>
      <c r="G3988" t="n">
        <v>0.1</v>
      </c>
      <c r="H3988">
        <f>E3988*F3988*(1-G3988)</f>
        <v/>
      </c>
      <c r="I3988">
        <f>XLOOKUP(D3988,Products!$A$2:$A$15,Products!$B$2:$B$15,"Not found")</f>
        <v/>
      </c>
    </row>
    <row r="3989">
      <c r="A3989" t="n">
        <v>108308</v>
      </c>
      <c r="B3989" s="1" t="n">
        <v>45991</v>
      </c>
      <c r="C3989" t="inlineStr">
        <is>
          <t>S04</t>
        </is>
      </c>
      <c r="D3989" t="inlineStr">
        <is>
          <t>P102</t>
        </is>
      </c>
      <c r="E3989" t="n">
        <v>1</v>
      </c>
      <c r="F3989" t="n">
        <v>14.5</v>
      </c>
      <c r="G3989" t="n">
        <v>0</v>
      </c>
      <c r="H3989">
        <f>E3989*F3989*(1-G3989)</f>
        <v/>
      </c>
      <c r="I3989">
        <f>XLOOKUP(D3989,Products!$A$2:$A$15,Products!$B$2:$B$15,"Not found")</f>
        <v/>
      </c>
    </row>
    <row r="3990">
      <c r="A3990" t="n">
        <v>108309</v>
      </c>
      <c r="B3990" s="1" t="n">
        <v>45991</v>
      </c>
      <c r="C3990" t="inlineStr">
        <is>
          <t>S04</t>
        </is>
      </c>
      <c r="D3990" t="inlineStr">
        <is>
          <t>P102</t>
        </is>
      </c>
      <c r="E3990" t="n">
        <v>1</v>
      </c>
      <c r="F3990" t="n">
        <v>14.5</v>
      </c>
      <c r="G3990" t="n">
        <v>0</v>
      </c>
      <c r="H3990">
        <f>E3990*F3990*(1-G3990)</f>
        <v/>
      </c>
      <c r="I3990">
        <f>XLOOKUP(D3990,Products!$A$2:$A$15,Products!$B$2:$B$15,"Not found")</f>
        <v/>
      </c>
    </row>
    <row r="3991">
      <c r="A3991" t="n">
        <v>108310</v>
      </c>
      <c r="B3991" s="1" t="n">
        <v>45991</v>
      </c>
      <c r="C3991" t="inlineStr">
        <is>
          <t>S04</t>
        </is>
      </c>
      <c r="D3991" t="inlineStr">
        <is>
          <t>P201</t>
        </is>
      </c>
      <c r="E3991" t="n">
        <v>1</v>
      </c>
      <c r="F3991" t="n">
        <v>149</v>
      </c>
      <c r="G3991" t="n">
        <v>0</v>
      </c>
      <c r="H3991">
        <f>E3991*F3991*(1-G3991)</f>
        <v/>
      </c>
      <c r="I3991">
        <f>XLOOKUP(D3991,Products!$A$2:$A$15,Products!$B$2:$B$15,"Not found")</f>
        <v/>
      </c>
    </row>
    <row r="3992">
      <c r="A3992" t="n">
        <v>108311</v>
      </c>
      <c r="B3992" s="1" t="n">
        <v>45991</v>
      </c>
      <c r="C3992" t="inlineStr">
        <is>
          <t>S04</t>
        </is>
      </c>
      <c r="D3992" t="inlineStr">
        <is>
          <t>P103</t>
        </is>
      </c>
      <c r="E3992" t="n">
        <v>1</v>
      </c>
      <c r="F3992" t="n">
        <v>29</v>
      </c>
      <c r="G3992" t="n">
        <v>0</v>
      </c>
      <c r="H3992">
        <f>E3992*F3992*(1-G3992)</f>
        <v/>
      </c>
      <c r="I3992">
        <f>XLOOKUP(D3992,Products!$A$2:$A$15,Products!$B$2:$B$15,"Not found")</f>
        <v/>
      </c>
    </row>
    <row r="3993">
      <c r="A3993" t="n">
        <v>108312</v>
      </c>
      <c r="B3993" s="1" t="n">
        <v>45991</v>
      </c>
      <c r="C3993" t="inlineStr">
        <is>
          <t>S04</t>
        </is>
      </c>
      <c r="D3993" t="inlineStr">
        <is>
          <t>P401</t>
        </is>
      </c>
      <c r="E3993" t="n">
        <v>1</v>
      </c>
      <c r="F3993" t="n">
        <v>549</v>
      </c>
      <c r="G3993" t="n">
        <v>0.2</v>
      </c>
      <c r="H3993">
        <f>E3993*F3993*(1-G3993)</f>
        <v/>
      </c>
      <c r="I3993">
        <f>XLOOKUP(D3993,Products!$A$2:$A$15,Products!$B$2:$B$15,"Not found")</f>
        <v/>
      </c>
    </row>
    <row r="3994">
      <c r="A3994" t="n">
        <v>108313</v>
      </c>
      <c r="B3994" s="1" t="n">
        <v>45991</v>
      </c>
      <c r="C3994" t="inlineStr">
        <is>
          <t>S05</t>
        </is>
      </c>
      <c r="D3994" t="inlineStr">
        <is>
          <t>P301</t>
        </is>
      </c>
      <c r="E3994" t="n">
        <v>1</v>
      </c>
      <c r="F3994" t="n">
        <v>119</v>
      </c>
      <c r="G3994" t="n">
        <v>0.1</v>
      </c>
      <c r="H3994">
        <f>E3994*F3994*(1-G3994)</f>
        <v/>
      </c>
      <c r="I3994">
        <f>XLOOKUP(D3994,Products!$A$2:$A$15,Products!$B$2:$B$15,"Not found")</f>
        <v/>
      </c>
    </row>
    <row r="3995">
      <c r="A3995" t="n">
        <v>108314</v>
      </c>
      <c r="B3995" s="1" t="n">
        <v>45991</v>
      </c>
      <c r="C3995" t="inlineStr">
        <is>
          <t>S05</t>
        </is>
      </c>
      <c r="D3995" t="inlineStr">
        <is>
          <t>P102</t>
        </is>
      </c>
      <c r="E3995" t="n">
        <v>1</v>
      </c>
      <c r="F3995" t="n">
        <v>14.5</v>
      </c>
      <c r="G3995" t="n">
        <v>0.15</v>
      </c>
      <c r="H3995">
        <f>E3995*F3995*(1-G3995)</f>
        <v/>
      </c>
      <c r="I3995">
        <f>XLOOKUP(D3995,Products!$A$2:$A$15,Products!$B$2:$B$15,"Not found")</f>
        <v/>
      </c>
    </row>
    <row r="3996">
      <c r="A3996" t="n">
        <v>108315</v>
      </c>
      <c r="B3996" s="1" t="n">
        <v>45991</v>
      </c>
      <c r="C3996" t="inlineStr">
        <is>
          <t>S05</t>
        </is>
      </c>
      <c r="D3996" t="inlineStr">
        <is>
          <t>P201</t>
        </is>
      </c>
      <c r="E3996" t="n">
        <v>1</v>
      </c>
      <c r="F3996" t="n">
        <v>149</v>
      </c>
      <c r="G3996" t="n">
        <v>0.15</v>
      </c>
      <c r="H3996">
        <f>E3996*F3996*(1-G3996)</f>
        <v/>
      </c>
      <c r="I3996">
        <f>XLOOKUP(D3996,Products!$A$2:$A$15,Products!$B$2:$B$15,"Not found")</f>
        <v/>
      </c>
    </row>
    <row r="3997">
      <c r="A3997" t="n">
        <v>108316</v>
      </c>
      <c r="B3997" s="1" t="n">
        <v>45991</v>
      </c>
      <c r="C3997" t="inlineStr">
        <is>
          <t>S05</t>
        </is>
      </c>
      <c r="D3997" t="inlineStr">
        <is>
          <t>P303</t>
        </is>
      </c>
      <c r="E3997" t="n">
        <v>1</v>
      </c>
      <c r="F3997" t="n">
        <v>12</v>
      </c>
      <c r="G3997" t="n">
        <v>0.1</v>
      </c>
      <c r="H3997">
        <f>E3997*F3997*(1-G3997)</f>
        <v/>
      </c>
      <c r="I3997">
        <f>XLOOKUP(D3997,Products!$A$2:$A$15,Products!$B$2:$B$15,"Not found")</f>
        <v/>
      </c>
    </row>
    <row r="3998">
      <c r="A3998" t="n">
        <v>108317</v>
      </c>
      <c r="B3998" s="1" t="n">
        <v>45991</v>
      </c>
      <c r="C3998" t="inlineStr">
        <is>
          <t>S05</t>
        </is>
      </c>
      <c r="D3998" t="inlineStr">
        <is>
          <t>P103</t>
        </is>
      </c>
      <c r="E3998" t="n">
        <v>1</v>
      </c>
      <c r="F3998" t="n">
        <v>29</v>
      </c>
      <c r="G3998" t="n">
        <v>0</v>
      </c>
      <c r="H3998">
        <f>E3998*F3998*(1-G3998)</f>
        <v/>
      </c>
      <c r="I3998">
        <f>XLOOKUP(D3998,Products!$A$2:$A$15,Products!$B$2:$B$15,"Not found")</f>
        <v/>
      </c>
    </row>
    <row r="3999">
      <c r="A3999" t="n">
        <v>108318</v>
      </c>
      <c r="B3999" s="1" t="n">
        <v>45991</v>
      </c>
      <c r="C3999" t="inlineStr">
        <is>
          <t>S06</t>
        </is>
      </c>
      <c r="D3999" t="inlineStr">
        <is>
          <t>P102</t>
        </is>
      </c>
      <c r="E3999" t="n">
        <v>2</v>
      </c>
      <c r="F3999" t="n">
        <v>14.5</v>
      </c>
      <c r="G3999" t="n">
        <v>0</v>
      </c>
      <c r="H3999">
        <f>E3999*F3999*(1-G3999)</f>
        <v/>
      </c>
      <c r="I3999">
        <f>XLOOKUP(D3999,Products!$A$2:$A$15,Products!$B$2:$B$15,"Not found")</f>
        <v/>
      </c>
    </row>
    <row r="4000">
      <c r="A4000" t="n">
        <v>108319</v>
      </c>
      <c r="B4000" s="1" t="n">
        <v>45991</v>
      </c>
      <c r="C4000" t="inlineStr">
        <is>
          <t>S06</t>
        </is>
      </c>
      <c r="D4000" t="inlineStr">
        <is>
          <t>P303</t>
        </is>
      </c>
      <c r="E4000" t="n">
        <v>1</v>
      </c>
      <c r="F4000" t="n">
        <v>12</v>
      </c>
      <c r="G4000" t="n">
        <v>0</v>
      </c>
      <c r="H4000">
        <f>E4000*F4000*(1-G4000)</f>
        <v/>
      </c>
      <c r="I4000">
        <f>XLOOKUP(D4000,Products!$A$2:$A$15,Products!$B$2:$B$15,"Not found")</f>
        <v/>
      </c>
    </row>
    <row r="4001">
      <c r="A4001" t="n">
        <v>108320</v>
      </c>
      <c r="B4001" s="1" t="n">
        <v>45991</v>
      </c>
      <c r="C4001" t="inlineStr">
        <is>
          <t>S06</t>
        </is>
      </c>
      <c r="D4001" t="inlineStr">
        <is>
          <t>P101</t>
        </is>
      </c>
      <c r="E4001" t="n">
        <v>3</v>
      </c>
      <c r="F4001" t="n">
        <v>39</v>
      </c>
      <c r="G4001" t="n">
        <v>0.15</v>
      </c>
      <c r="H4001">
        <f>E4001*F4001*(1-G4001)</f>
        <v/>
      </c>
      <c r="I4001">
        <f>XLOOKUP(D4001,Products!$A$2:$A$15,Products!$B$2:$B$15,"Not found")</f>
        <v/>
      </c>
    </row>
    <row r="4002">
      <c r="A4002" t="n">
        <v>108321</v>
      </c>
      <c r="B4002" s="1" t="n">
        <v>45992</v>
      </c>
      <c r="C4002" t="inlineStr">
        <is>
          <t>S01</t>
        </is>
      </c>
      <c r="D4002" t="inlineStr">
        <is>
          <t>P301</t>
        </is>
      </c>
      <c r="E4002" t="n">
        <v>1</v>
      </c>
      <c r="F4002" t="n">
        <v>119</v>
      </c>
      <c r="G4002" t="n">
        <v>0.15</v>
      </c>
      <c r="H4002">
        <f>E4002*F4002*(1-G4002)</f>
        <v/>
      </c>
      <c r="I4002">
        <f>XLOOKUP(D4002,Products!$A$2:$A$15,Products!$B$2:$B$15,"Not found")</f>
        <v/>
      </c>
    </row>
    <row r="4003">
      <c r="A4003" t="n">
        <v>108322</v>
      </c>
      <c r="B4003" s="1" t="n">
        <v>45992</v>
      </c>
      <c r="C4003" t="inlineStr">
        <is>
          <t>S02</t>
        </is>
      </c>
      <c r="D4003" t="inlineStr">
        <is>
          <t>P201</t>
        </is>
      </c>
      <c r="E4003" t="n">
        <v>1</v>
      </c>
      <c r="F4003" t="n">
        <v>149</v>
      </c>
      <c r="G4003" t="n">
        <v>0.2</v>
      </c>
      <c r="H4003">
        <f>E4003*F4003*(1-G4003)</f>
        <v/>
      </c>
      <c r="I4003">
        <f>XLOOKUP(D4003,Products!$A$2:$A$15,Products!$B$2:$B$15,"Not found")</f>
        <v/>
      </c>
    </row>
    <row r="4004">
      <c r="A4004" t="n">
        <v>108323</v>
      </c>
      <c r="B4004" s="1" t="n">
        <v>45992</v>
      </c>
      <c r="C4004" t="inlineStr">
        <is>
          <t>S02</t>
        </is>
      </c>
      <c r="D4004" t="inlineStr">
        <is>
          <t>P102</t>
        </is>
      </c>
      <c r="E4004" t="n">
        <v>3</v>
      </c>
      <c r="F4004" t="n">
        <v>14.5</v>
      </c>
      <c r="G4004" t="n">
        <v>0.2</v>
      </c>
      <c r="H4004">
        <f>E4004*F4004*(1-G4004)</f>
        <v/>
      </c>
      <c r="I4004">
        <f>XLOOKUP(D4004,Products!$A$2:$A$15,Products!$B$2:$B$15,"Not found")</f>
        <v/>
      </c>
    </row>
    <row r="4005">
      <c r="A4005" t="n">
        <v>108324</v>
      </c>
      <c r="B4005" s="1" t="n">
        <v>45992</v>
      </c>
      <c r="C4005" t="inlineStr">
        <is>
          <t>S04</t>
        </is>
      </c>
      <c r="D4005" t="inlineStr">
        <is>
          <t>P202</t>
        </is>
      </c>
      <c r="E4005" t="n">
        <v>3</v>
      </c>
      <c r="F4005" t="n">
        <v>79</v>
      </c>
      <c r="G4005" t="n">
        <v>0</v>
      </c>
      <c r="H4005">
        <f>E4005*F4005*(1-G4005)</f>
        <v/>
      </c>
      <c r="I4005">
        <f>XLOOKUP(D4005,Products!$A$2:$A$15,Products!$B$2:$B$15,"Not found")</f>
        <v/>
      </c>
    </row>
    <row r="4006">
      <c r="A4006" t="n">
        <v>108325</v>
      </c>
      <c r="B4006" s="1" t="n">
        <v>45992</v>
      </c>
      <c r="C4006" t="inlineStr">
        <is>
          <t>S04</t>
        </is>
      </c>
      <c r="D4006" t="inlineStr">
        <is>
          <t>P104</t>
        </is>
      </c>
      <c r="E4006" t="n">
        <v>1</v>
      </c>
      <c r="F4006" t="n">
        <v>189</v>
      </c>
      <c r="G4006" t="n">
        <v>0</v>
      </c>
      <c r="H4006">
        <f>E4006*F4006*(1-G4006)</f>
        <v/>
      </c>
      <c r="I4006">
        <f>XLOOKUP(D4006,Products!$A$2:$A$15,Products!$B$2:$B$15,"Not found")</f>
        <v/>
      </c>
    </row>
    <row r="4007">
      <c r="A4007" t="n">
        <v>108326</v>
      </c>
      <c r="B4007" s="1" t="n">
        <v>45992</v>
      </c>
      <c r="C4007" t="inlineStr">
        <is>
          <t>S05</t>
        </is>
      </c>
      <c r="D4007" t="inlineStr">
        <is>
          <t>P202</t>
        </is>
      </c>
      <c r="E4007" t="n">
        <v>3</v>
      </c>
      <c r="F4007" t="n">
        <v>79</v>
      </c>
      <c r="G4007" t="n">
        <v>0.15</v>
      </c>
      <c r="H4007">
        <f>E4007*F4007*(1-G4007)</f>
        <v/>
      </c>
      <c r="I4007">
        <f>XLOOKUP(D4007,Products!$A$2:$A$15,Products!$B$2:$B$15,"Not found")</f>
        <v/>
      </c>
    </row>
    <row r="4008">
      <c r="A4008" t="n">
        <v>108327</v>
      </c>
      <c r="B4008" s="1" t="n">
        <v>45992</v>
      </c>
      <c r="C4008" t="inlineStr">
        <is>
          <t>S05</t>
        </is>
      </c>
      <c r="D4008" t="inlineStr">
        <is>
          <t>P101</t>
        </is>
      </c>
      <c r="E4008" t="n">
        <v>2</v>
      </c>
      <c r="F4008" t="n">
        <v>39</v>
      </c>
      <c r="G4008" t="n">
        <v>0</v>
      </c>
      <c r="H4008">
        <f>E4008*F4008*(1-G4008)</f>
        <v/>
      </c>
      <c r="I4008">
        <f>XLOOKUP(D4008,Products!$A$2:$A$15,Products!$B$2:$B$15,"Not found")</f>
        <v/>
      </c>
    </row>
    <row r="4009">
      <c r="A4009" t="n">
        <v>108328</v>
      </c>
      <c r="B4009" s="1" t="n">
        <v>45992</v>
      </c>
      <c r="C4009" t="inlineStr">
        <is>
          <t>S06</t>
        </is>
      </c>
      <c r="D4009" t="inlineStr">
        <is>
          <t>P402</t>
        </is>
      </c>
      <c r="E4009" t="n">
        <v>1</v>
      </c>
      <c r="F4009" t="n">
        <v>699</v>
      </c>
      <c r="G4009" t="n">
        <v>0.1</v>
      </c>
      <c r="H4009">
        <f>E4009*F4009*(1-G4009)</f>
        <v/>
      </c>
      <c r="I4009">
        <f>XLOOKUP(D4009,Products!$A$2:$A$15,Products!$B$2:$B$15,"Not found")</f>
        <v/>
      </c>
    </row>
    <row r="4010">
      <c r="A4010" t="n">
        <v>108329</v>
      </c>
      <c r="B4010" s="1" t="n">
        <v>45992</v>
      </c>
      <c r="C4010" t="inlineStr">
        <is>
          <t>S06</t>
        </is>
      </c>
      <c r="D4010" t="inlineStr">
        <is>
          <t>P103</t>
        </is>
      </c>
      <c r="E4010" t="n">
        <v>4</v>
      </c>
      <c r="F4010" t="n">
        <v>29</v>
      </c>
      <c r="G4010" t="n">
        <v>0.15</v>
      </c>
      <c r="H4010">
        <f>E4010*F4010*(1-G4010)</f>
        <v/>
      </c>
      <c r="I4010">
        <f>XLOOKUP(D4010,Products!$A$2:$A$15,Products!$B$2:$B$15,"Not found")</f>
        <v/>
      </c>
    </row>
    <row r="4011">
      <c r="A4011" t="n">
        <v>108330</v>
      </c>
      <c r="B4011" s="1" t="n">
        <v>45993</v>
      </c>
      <c r="C4011" t="inlineStr">
        <is>
          <t>S01</t>
        </is>
      </c>
      <c r="D4011" t="inlineStr">
        <is>
          <t>P402</t>
        </is>
      </c>
      <c r="E4011" t="n">
        <v>1</v>
      </c>
      <c r="F4011" t="n">
        <v>699</v>
      </c>
      <c r="G4011" t="n">
        <v>0</v>
      </c>
      <c r="H4011">
        <f>E4011*F4011*(1-G4011)</f>
        <v/>
      </c>
      <c r="I4011">
        <f>XLOOKUP(D4011,Products!$A$2:$A$15,Products!$B$2:$B$15,"Not found")</f>
        <v/>
      </c>
    </row>
    <row r="4012">
      <c r="A4012" t="n">
        <v>108331</v>
      </c>
      <c r="B4012" s="1" t="n">
        <v>45993</v>
      </c>
      <c r="C4012" t="inlineStr">
        <is>
          <t>S01</t>
        </is>
      </c>
      <c r="D4012" t="inlineStr">
        <is>
          <t>P301</t>
        </is>
      </c>
      <c r="E4012" t="n">
        <v>1</v>
      </c>
      <c r="F4012" t="n">
        <v>119</v>
      </c>
      <c r="G4012" t="n">
        <v>0</v>
      </c>
      <c r="H4012">
        <f>E4012*F4012*(1-G4012)</f>
        <v/>
      </c>
      <c r="I4012">
        <f>XLOOKUP(D4012,Products!$A$2:$A$15,Products!$B$2:$B$15,"Not found")</f>
        <v/>
      </c>
    </row>
    <row r="4013">
      <c r="A4013" t="n">
        <v>108332</v>
      </c>
      <c r="B4013" s="1" t="n">
        <v>45993</v>
      </c>
      <c r="C4013" t="inlineStr">
        <is>
          <t>S01</t>
        </is>
      </c>
      <c r="D4013" t="inlineStr">
        <is>
          <t>P302</t>
        </is>
      </c>
      <c r="E4013" t="n">
        <v>2</v>
      </c>
      <c r="F4013" t="n">
        <v>24</v>
      </c>
      <c r="G4013" t="n">
        <v>0</v>
      </c>
      <c r="H4013">
        <f>E4013*F4013*(1-G4013)</f>
        <v/>
      </c>
      <c r="I4013">
        <f>XLOOKUP(D4013,Products!$A$2:$A$15,Products!$B$2:$B$15,"Not found")</f>
        <v/>
      </c>
    </row>
    <row r="4014">
      <c r="A4014" t="n">
        <v>108333</v>
      </c>
      <c r="B4014" s="1" t="n">
        <v>45993</v>
      </c>
      <c r="C4014" t="inlineStr">
        <is>
          <t>S01</t>
        </is>
      </c>
      <c r="D4014" t="inlineStr">
        <is>
          <t>P302</t>
        </is>
      </c>
      <c r="E4014" t="n">
        <v>1</v>
      </c>
      <c r="F4014" t="n">
        <v>24</v>
      </c>
      <c r="G4014" t="n">
        <v>0.15</v>
      </c>
      <c r="H4014">
        <f>E4014*F4014*(1-G4014)</f>
        <v/>
      </c>
      <c r="I4014">
        <f>XLOOKUP(D4014,Products!$A$2:$A$15,Products!$B$2:$B$15,"Not found")</f>
        <v/>
      </c>
    </row>
    <row r="4015">
      <c r="A4015" t="n">
        <v>108334</v>
      </c>
      <c r="B4015" s="1" t="n">
        <v>45993</v>
      </c>
      <c r="C4015" t="inlineStr">
        <is>
          <t>S02</t>
        </is>
      </c>
      <c r="D4015" t="inlineStr">
        <is>
          <t>P101</t>
        </is>
      </c>
      <c r="E4015" t="n">
        <v>2</v>
      </c>
      <c r="F4015" t="n">
        <v>39</v>
      </c>
      <c r="G4015" t="n">
        <v>0</v>
      </c>
      <c r="H4015">
        <f>E4015*F4015*(1-G4015)</f>
        <v/>
      </c>
      <c r="I4015">
        <f>XLOOKUP(D4015,Products!$A$2:$A$15,Products!$B$2:$B$15,"Not found")</f>
        <v/>
      </c>
    </row>
    <row r="4016">
      <c r="A4016" t="n">
        <v>108335</v>
      </c>
      <c r="B4016" s="1" t="n">
        <v>45993</v>
      </c>
      <c r="C4016" t="inlineStr">
        <is>
          <t>S02</t>
        </is>
      </c>
      <c r="D4016" t="inlineStr">
        <is>
          <t>P303</t>
        </is>
      </c>
      <c r="E4016" t="n">
        <v>2</v>
      </c>
      <c r="F4016" t="n">
        <v>12</v>
      </c>
      <c r="G4016" t="n">
        <v>0</v>
      </c>
      <c r="H4016">
        <f>E4016*F4016*(1-G4016)</f>
        <v/>
      </c>
      <c r="I4016">
        <f>XLOOKUP(D4016,Products!$A$2:$A$15,Products!$B$2:$B$15,"Not found")</f>
        <v/>
      </c>
    </row>
    <row r="4017">
      <c r="A4017" t="n">
        <v>108336</v>
      </c>
      <c r="B4017" s="1" t="n">
        <v>45993</v>
      </c>
      <c r="C4017" t="inlineStr">
        <is>
          <t>S02</t>
        </is>
      </c>
      <c r="D4017" t="inlineStr">
        <is>
          <t>P302</t>
        </is>
      </c>
      <c r="E4017" t="n">
        <v>2</v>
      </c>
      <c r="F4017" t="n">
        <v>24</v>
      </c>
      <c r="G4017" t="n">
        <v>0.1</v>
      </c>
      <c r="H4017">
        <f>E4017*F4017*(1-G4017)</f>
        <v/>
      </c>
      <c r="I4017">
        <f>XLOOKUP(D4017,Products!$A$2:$A$15,Products!$B$2:$B$15,"Not found")</f>
        <v/>
      </c>
    </row>
    <row r="4018">
      <c r="A4018" t="n">
        <v>108337</v>
      </c>
      <c r="B4018" s="1" t="n">
        <v>45993</v>
      </c>
      <c r="C4018" t="inlineStr">
        <is>
          <t>S03</t>
        </is>
      </c>
      <c r="D4018" t="inlineStr">
        <is>
          <t>P302</t>
        </is>
      </c>
      <c r="E4018" t="n">
        <v>3</v>
      </c>
      <c r="F4018" t="n">
        <v>24</v>
      </c>
      <c r="G4018" t="n">
        <v>0</v>
      </c>
      <c r="H4018">
        <f>E4018*F4018*(1-G4018)</f>
        <v/>
      </c>
      <c r="I4018">
        <f>XLOOKUP(D4018,Products!$A$2:$A$15,Products!$B$2:$B$15,"Not found")</f>
        <v/>
      </c>
    </row>
    <row r="4019">
      <c r="A4019" t="n">
        <v>108338</v>
      </c>
      <c r="B4019" s="1" t="n">
        <v>45993</v>
      </c>
      <c r="C4019" t="inlineStr">
        <is>
          <t>S03</t>
        </is>
      </c>
      <c r="D4019" t="inlineStr">
        <is>
          <t>P302</t>
        </is>
      </c>
      <c r="E4019" t="n">
        <v>2</v>
      </c>
      <c r="F4019" t="n">
        <v>24</v>
      </c>
      <c r="G4019" t="n">
        <v>0</v>
      </c>
      <c r="H4019">
        <f>E4019*F4019*(1-G4019)</f>
        <v/>
      </c>
      <c r="I4019">
        <f>XLOOKUP(D4019,Products!$A$2:$A$15,Products!$B$2:$B$15,"Not found")</f>
        <v/>
      </c>
    </row>
    <row r="4020">
      <c r="A4020" t="n">
        <v>108339</v>
      </c>
      <c r="B4020" s="1" t="n">
        <v>45993</v>
      </c>
      <c r="C4020" t="inlineStr">
        <is>
          <t>S03</t>
        </is>
      </c>
      <c r="D4020" t="inlineStr">
        <is>
          <t>P103</t>
        </is>
      </c>
      <c r="E4020" t="n">
        <v>2</v>
      </c>
      <c r="F4020" t="n">
        <v>29</v>
      </c>
      <c r="G4020" t="n">
        <v>0</v>
      </c>
      <c r="H4020">
        <f>E4020*F4020*(1-G4020)</f>
        <v/>
      </c>
      <c r="I4020">
        <f>XLOOKUP(D4020,Products!$A$2:$A$15,Products!$B$2:$B$15,"Not found")</f>
        <v/>
      </c>
    </row>
    <row r="4021">
      <c r="A4021" t="n">
        <v>108340</v>
      </c>
      <c r="B4021" s="1" t="n">
        <v>45993</v>
      </c>
      <c r="C4021" t="inlineStr">
        <is>
          <t>S04</t>
        </is>
      </c>
      <c r="D4021" t="inlineStr">
        <is>
          <t>P204</t>
        </is>
      </c>
      <c r="E4021" t="n">
        <v>1</v>
      </c>
      <c r="F4021" t="n">
        <v>229</v>
      </c>
      <c r="G4021" t="n">
        <v>0</v>
      </c>
      <c r="H4021">
        <f>E4021*F4021*(1-G4021)</f>
        <v/>
      </c>
      <c r="I4021">
        <f>XLOOKUP(D4021,Products!$A$2:$A$15,Products!$B$2:$B$15,"Not found")</f>
        <v/>
      </c>
    </row>
    <row r="4022">
      <c r="A4022" t="n">
        <v>108341</v>
      </c>
      <c r="B4022" s="1" t="n">
        <v>45993</v>
      </c>
      <c r="C4022" t="inlineStr">
        <is>
          <t>S04</t>
        </is>
      </c>
      <c r="D4022" t="inlineStr">
        <is>
          <t>P102</t>
        </is>
      </c>
      <c r="E4022" t="n">
        <v>2</v>
      </c>
      <c r="F4022" t="n">
        <v>14.5</v>
      </c>
      <c r="G4022" t="n">
        <v>0.2</v>
      </c>
      <c r="H4022">
        <f>E4022*F4022*(1-G4022)</f>
        <v/>
      </c>
      <c r="I4022">
        <f>XLOOKUP(D4022,Products!$A$2:$A$15,Products!$B$2:$B$15,"Not found")</f>
        <v/>
      </c>
    </row>
    <row r="4023">
      <c r="A4023" t="n">
        <v>108342</v>
      </c>
      <c r="B4023" s="1" t="n">
        <v>45993</v>
      </c>
      <c r="C4023" t="inlineStr">
        <is>
          <t>S04</t>
        </is>
      </c>
      <c r="D4023" t="inlineStr">
        <is>
          <t>P301</t>
        </is>
      </c>
      <c r="E4023" t="n">
        <v>1</v>
      </c>
      <c r="F4023" t="n">
        <v>119</v>
      </c>
      <c r="G4023" t="n">
        <v>0.1</v>
      </c>
      <c r="H4023">
        <f>E4023*F4023*(1-G4023)</f>
        <v/>
      </c>
      <c r="I4023">
        <f>XLOOKUP(D4023,Products!$A$2:$A$15,Products!$B$2:$B$15,"Not found")</f>
        <v/>
      </c>
    </row>
    <row r="4024">
      <c r="A4024" t="n">
        <v>108343</v>
      </c>
      <c r="B4024" s="1" t="n">
        <v>45993</v>
      </c>
      <c r="C4024" t="inlineStr">
        <is>
          <t>S05</t>
        </is>
      </c>
      <c r="D4024" t="inlineStr">
        <is>
          <t>P101</t>
        </is>
      </c>
      <c r="E4024" t="n">
        <v>1</v>
      </c>
      <c r="F4024" t="n">
        <v>39</v>
      </c>
      <c r="G4024" t="n">
        <v>0</v>
      </c>
      <c r="H4024">
        <f>E4024*F4024*(1-G4024)</f>
        <v/>
      </c>
      <c r="I4024">
        <f>XLOOKUP(D4024,Products!$A$2:$A$15,Products!$B$2:$B$15,"Not found")</f>
        <v/>
      </c>
    </row>
    <row r="4025">
      <c r="A4025" t="n">
        <v>108344</v>
      </c>
      <c r="B4025" s="1" t="n">
        <v>45993</v>
      </c>
      <c r="C4025" t="inlineStr">
        <is>
          <t>S05</t>
        </is>
      </c>
      <c r="D4025" t="inlineStr">
        <is>
          <t>P303</t>
        </is>
      </c>
      <c r="E4025" t="n">
        <v>2</v>
      </c>
      <c r="F4025" t="n">
        <v>12</v>
      </c>
      <c r="G4025" t="n">
        <v>0.1</v>
      </c>
      <c r="H4025">
        <f>E4025*F4025*(1-G4025)</f>
        <v/>
      </c>
      <c r="I4025">
        <f>XLOOKUP(D4025,Products!$A$2:$A$15,Products!$B$2:$B$15,"Not found")</f>
        <v/>
      </c>
    </row>
    <row r="4026">
      <c r="A4026" t="n">
        <v>108345</v>
      </c>
      <c r="B4026" s="1" t="n">
        <v>45993</v>
      </c>
      <c r="C4026" t="inlineStr">
        <is>
          <t>S06</t>
        </is>
      </c>
      <c r="D4026" t="inlineStr">
        <is>
          <t>P401</t>
        </is>
      </c>
      <c r="E4026" t="n">
        <v>1</v>
      </c>
      <c r="F4026" t="n">
        <v>549</v>
      </c>
      <c r="G4026" t="n">
        <v>0.15</v>
      </c>
      <c r="H4026">
        <f>E4026*F4026*(1-G4026)</f>
        <v/>
      </c>
      <c r="I4026">
        <f>XLOOKUP(D4026,Products!$A$2:$A$15,Products!$B$2:$B$15,"Not found")</f>
        <v/>
      </c>
    </row>
    <row r="4027">
      <c r="A4027" t="n">
        <v>108346</v>
      </c>
      <c r="B4027" s="1" t="n">
        <v>45994</v>
      </c>
      <c r="C4027" t="inlineStr">
        <is>
          <t>S01</t>
        </is>
      </c>
      <c r="D4027" t="inlineStr">
        <is>
          <t>P102</t>
        </is>
      </c>
      <c r="E4027" t="n">
        <v>1</v>
      </c>
      <c r="F4027" t="n">
        <v>14.5</v>
      </c>
      <c r="G4027" t="n">
        <v>0.15</v>
      </c>
      <c r="H4027">
        <f>E4027*F4027*(1-G4027)</f>
        <v/>
      </c>
      <c r="I4027">
        <f>XLOOKUP(D4027,Products!$A$2:$A$15,Products!$B$2:$B$15,"Not found")</f>
        <v/>
      </c>
    </row>
    <row r="4028">
      <c r="A4028" t="n">
        <v>108347</v>
      </c>
      <c r="B4028" s="1" t="n">
        <v>45994</v>
      </c>
      <c r="C4028" t="inlineStr">
        <is>
          <t>S01</t>
        </is>
      </c>
      <c r="D4028" t="inlineStr">
        <is>
          <t>P203</t>
        </is>
      </c>
      <c r="E4028" t="n">
        <v>4</v>
      </c>
      <c r="F4028" t="n">
        <v>19.5</v>
      </c>
      <c r="G4028" t="n">
        <v>0.1</v>
      </c>
      <c r="H4028">
        <f>E4028*F4028*(1-G4028)</f>
        <v/>
      </c>
      <c r="I4028">
        <f>XLOOKUP(D4028,Products!$A$2:$A$15,Products!$B$2:$B$15,"Not found")</f>
        <v/>
      </c>
    </row>
    <row r="4029">
      <c r="A4029" t="n">
        <v>108348</v>
      </c>
      <c r="B4029" s="1" t="n">
        <v>45994</v>
      </c>
      <c r="C4029" t="inlineStr">
        <is>
          <t>S02</t>
        </is>
      </c>
      <c r="D4029" t="inlineStr">
        <is>
          <t>P102</t>
        </is>
      </c>
      <c r="E4029" t="n">
        <v>3</v>
      </c>
      <c r="F4029" t="n">
        <v>14.5</v>
      </c>
      <c r="G4029" t="n">
        <v>0.15</v>
      </c>
      <c r="H4029">
        <f>E4029*F4029*(1-G4029)</f>
        <v/>
      </c>
      <c r="I4029">
        <f>XLOOKUP(D4029,Products!$A$2:$A$15,Products!$B$2:$B$15,"Not found")</f>
        <v/>
      </c>
    </row>
    <row r="4030">
      <c r="A4030" t="n">
        <v>108349</v>
      </c>
      <c r="B4030" s="1" t="n">
        <v>45994</v>
      </c>
      <c r="C4030" t="inlineStr">
        <is>
          <t>S02</t>
        </is>
      </c>
      <c r="D4030" t="inlineStr">
        <is>
          <t>P201</t>
        </is>
      </c>
      <c r="E4030" t="n">
        <v>1</v>
      </c>
      <c r="F4030" t="n">
        <v>149</v>
      </c>
      <c r="G4030" t="n">
        <v>0</v>
      </c>
      <c r="H4030">
        <f>E4030*F4030*(1-G4030)</f>
        <v/>
      </c>
      <c r="I4030">
        <f>XLOOKUP(D4030,Products!$A$2:$A$15,Products!$B$2:$B$15,"Not found")</f>
        <v/>
      </c>
    </row>
    <row r="4031">
      <c r="A4031" t="n">
        <v>108350</v>
      </c>
      <c r="B4031" s="1" t="n">
        <v>45994</v>
      </c>
      <c r="C4031" t="inlineStr">
        <is>
          <t>S02</t>
        </is>
      </c>
      <c r="D4031" t="inlineStr">
        <is>
          <t>P201</t>
        </is>
      </c>
      <c r="E4031" t="n">
        <v>1</v>
      </c>
      <c r="F4031" t="n">
        <v>149</v>
      </c>
      <c r="G4031" t="n">
        <v>0</v>
      </c>
      <c r="H4031">
        <f>E4031*F4031*(1-G4031)</f>
        <v/>
      </c>
      <c r="I4031">
        <f>XLOOKUP(D4031,Products!$A$2:$A$15,Products!$B$2:$B$15,"Not found")</f>
        <v/>
      </c>
    </row>
    <row r="4032">
      <c r="A4032" t="n">
        <v>108351</v>
      </c>
      <c r="B4032" s="1" t="n">
        <v>45994</v>
      </c>
      <c r="C4032" t="inlineStr">
        <is>
          <t>S04</t>
        </is>
      </c>
      <c r="D4032" t="inlineStr">
        <is>
          <t>P103</t>
        </is>
      </c>
      <c r="E4032" t="n">
        <v>3</v>
      </c>
      <c r="F4032" t="n">
        <v>29</v>
      </c>
      <c r="G4032" t="n">
        <v>0</v>
      </c>
      <c r="H4032">
        <f>E4032*F4032*(1-G4032)</f>
        <v/>
      </c>
      <c r="I4032">
        <f>XLOOKUP(D4032,Products!$A$2:$A$15,Products!$B$2:$B$15,"Not found")</f>
        <v/>
      </c>
    </row>
    <row r="4033">
      <c r="A4033" t="n">
        <v>108352</v>
      </c>
      <c r="B4033" s="1" t="n">
        <v>45994</v>
      </c>
      <c r="C4033" t="inlineStr">
        <is>
          <t>S04</t>
        </is>
      </c>
      <c r="D4033" t="inlineStr">
        <is>
          <t>P301</t>
        </is>
      </c>
      <c r="E4033" t="n">
        <v>1</v>
      </c>
      <c r="F4033" t="n">
        <v>119</v>
      </c>
      <c r="G4033" t="n">
        <v>0</v>
      </c>
      <c r="H4033">
        <f>E4033*F4033*(1-G4033)</f>
        <v/>
      </c>
      <c r="I4033">
        <f>XLOOKUP(D4033,Products!$A$2:$A$15,Products!$B$2:$B$15,"Not found")</f>
        <v/>
      </c>
    </row>
    <row r="4034">
      <c r="A4034" t="n">
        <v>108353</v>
      </c>
      <c r="B4034" s="1" t="n">
        <v>45994</v>
      </c>
      <c r="C4034" t="inlineStr">
        <is>
          <t>S04</t>
        </is>
      </c>
      <c r="D4034" t="inlineStr">
        <is>
          <t>P301</t>
        </is>
      </c>
      <c r="E4034" t="n">
        <v>1</v>
      </c>
      <c r="F4034" t="n">
        <v>119</v>
      </c>
      <c r="G4034" t="n">
        <v>0.1</v>
      </c>
      <c r="H4034">
        <f>E4034*F4034*(1-G4034)</f>
        <v/>
      </c>
      <c r="I4034">
        <f>XLOOKUP(D4034,Products!$A$2:$A$15,Products!$B$2:$B$15,"Not found")</f>
        <v/>
      </c>
    </row>
    <row r="4035">
      <c r="A4035" t="n">
        <v>108354</v>
      </c>
      <c r="B4035" s="1" t="n">
        <v>45994</v>
      </c>
      <c r="C4035" t="inlineStr">
        <is>
          <t>S04</t>
        </is>
      </c>
      <c r="D4035" t="inlineStr">
        <is>
          <t>P103</t>
        </is>
      </c>
      <c r="E4035" t="n">
        <v>1</v>
      </c>
      <c r="F4035" t="n">
        <v>29</v>
      </c>
      <c r="G4035" t="n">
        <v>0.2</v>
      </c>
      <c r="H4035">
        <f>E4035*F4035*(1-G4035)</f>
        <v/>
      </c>
      <c r="I4035">
        <f>XLOOKUP(D4035,Products!$A$2:$A$15,Products!$B$2:$B$15,"Not found")</f>
        <v/>
      </c>
    </row>
    <row r="4036">
      <c r="A4036" t="n">
        <v>108355</v>
      </c>
      <c r="B4036" s="1" t="n">
        <v>45994</v>
      </c>
      <c r="C4036" t="inlineStr">
        <is>
          <t>S04</t>
        </is>
      </c>
      <c r="D4036" t="inlineStr">
        <is>
          <t>P103</t>
        </is>
      </c>
      <c r="E4036" t="n">
        <v>2</v>
      </c>
      <c r="F4036" t="n">
        <v>29</v>
      </c>
      <c r="G4036" t="n">
        <v>0.1</v>
      </c>
      <c r="H4036">
        <f>E4036*F4036*(1-G4036)</f>
        <v/>
      </c>
      <c r="I4036">
        <f>XLOOKUP(D4036,Products!$A$2:$A$15,Products!$B$2:$B$15,"Not found")</f>
        <v/>
      </c>
    </row>
    <row r="4037">
      <c r="A4037" t="n">
        <v>108356</v>
      </c>
      <c r="B4037" s="1" t="n">
        <v>45994</v>
      </c>
      <c r="C4037" t="inlineStr">
        <is>
          <t>S06</t>
        </is>
      </c>
      <c r="D4037" t="inlineStr">
        <is>
          <t>P301</t>
        </is>
      </c>
      <c r="E4037" t="n">
        <v>1</v>
      </c>
      <c r="F4037" t="n">
        <v>119</v>
      </c>
      <c r="G4037" t="n">
        <v>0.15</v>
      </c>
      <c r="H4037">
        <f>E4037*F4037*(1-G4037)</f>
        <v/>
      </c>
      <c r="I4037">
        <f>XLOOKUP(D4037,Products!$A$2:$A$15,Products!$B$2:$B$15,"Not found")</f>
        <v/>
      </c>
    </row>
    <row r="4038">
      <c r="A4038" t="n">
        <v>108357</v>
      </c>
      <c r="B4038" s="1" t="n">
        <v>45995</v>
      </c>
      <c r="C4038" t="inlineStr">
        <is>
          <t>S01</t>
        </is>
      </c>
      <c r="D4038" t="inlineStr">
        <is>
          <t>P203</t>
        </is>
      </c>
      <c r="E4038" t="n">
        <v>2</v>
      </c>
      <c r="F4038" t="n">
        <v>19.5</v>
      </c>
      <c r="G4038" t="n">
        <v>0.1</v>
      </c>
      <c r="H4038">
        <f>E4038*F4038*(1-G4038)</f>
        <v/>
      </c>
      <c r="I4038">
        <f>XLOOKUP(D4038,Products!$A$2:$A$15,Products!$B$2:$B$15,"Not found")</f>
        <v/>
      </c>
    </row>
    <row r="4039">
      <c r="A4039" t="n">
        <v>108358</v>
      </c>
      <c r="B4039" s="1" t="n">
        <v>45995</v>
      </c>
      <c r="C4039" t="inlineStr">
        <is>
          <t>S02</t>
        </is>
      </c>
      <c r="D4039" t="inlineStr">
        <is>
          <t>P302</t>
        </is>
      </c>
      <c r="E4039" t="n">
        <v>1</v>
      </c>
      <c r="F4039" t="n">
        <v>24</v>
      </c>
      <c r="G4039" t="n">
        <v>0</v>
      </c>
      <c r="H4039">
        <f>E4039*F4039*(1-G4039)</f>
        <v/>
      </c>
      <c r="I4039">
        <f>XLOOKUP(D4039,Products!$A$2:$A$15,Products!$B$2:$B$15,"Not found")</f>
        <v/>
      </c>
    </row>
    <row r="4040">
      <c r="A4040" t="n">
        <v>108359</v>
      </c>
      <c r="B4040" s="1" t="n">
        <v>45995</v>
      </c>
      <c r="C4040" t="inlineStr">
        <is>
          <t>S02</t>
        </is>
      </c>
      <c r="D4040" t="inlineStr">
        <is>
          <t>P101</t>
        </is>
      </c>
      <c r="E4040" t="n">
        <v>1</v>
      </c>
      <c r="F4040" t="n">
        <v>39</v>
      </c>
      <c r="G4040" t="n">
        <v>0.1</v>
      </c>
      <c r="H4040">
        <f>E4040*F4040*(1-G4040)</f>
        <v/>
      </c>
      <c r="I4040">
        <f>XLOOKUP(D4040,Products!$A$2:$A$15,Products!$B$2:$B$15,"Not found")</f>
        <v/>
      </c>
    </row>
    <row r="4041">
      <c r="A4041" t="n">
        <v>108360</v>
      </c>
      <c r="B4041" s="1" t="n">
        <v>45995</v>
      </c>
      <c r="C4041" t="inlineStr">
        <is>
          <t>S03</t>
        </is>
      </c>
      <c r="D4041" t="inlineStr">
        <is>
          <t>P203</t>
        </is>
      </c>
      <c r="E4041" t="n">
        <v>2</v>
      </c>
      <c r="F4041" t="n">
        <v>19.5</v>
      </c>
      <c r="G4041" t="n">
        <v>0</v>
      </c>
      <c r="H4041">
        <f>E4041*F4041*(1-G4041)</f>
        <v/>
      </c>
      <c r="I4041">
        <f>XLOOKUP(D4041,Products!$A$2:$A$15,Products!$B$2:$B$15,"Not found")</f>
        <v/>
      </c>
    </row>
    <row r="4042">
      <c r="A4042" t="n">
        <v>108361</v>
      </c>
      <c r="B4042" s="1" t="n">
        <v>45995</v>
      </c>
      <c r="C4042" t="inlineStr">
        <is>
          <t>S05</t>
        </is>
      </c>
      <c r="D4042" t="inlineStr">
        <is>
          <t>P302</t>
        </is>
      </c>
      <c r="E4042" t="n">
        <v>4</v>
      </c>
      <c r="F4042" t="n">
        <v>24</v>
      </c>
      <c r="G4042" t="n">
        <v>0.15</v>
      </c>
      <c r="H4042">
        <f>E4042*F4042*(1-G4042)</f>
        <v/>
      </c>
      <c r="I4042">
        <f>XLOOKUP(D4042,Products!$A$2:$A$15,Products!$B$2:$B$15,"Not found")</f>
        <v/>
      </c>
    </row>
    <row r="4043">
      <c r="A4043" t="n">
        <v>108362</v>
      </c>
      <c r="B4043" s="1" t="n">
        <v>45995</v>
      </c>
      <c r="C4043" t="inlineStr">
        <is>
          <t>S05</t>
        </is>
      </c>
      <c r="D4043" t="inlineStr">
        <is>
          <t>P102</t>
        </is>
      </c>
      <c r="E4043" t="n">
        <v>1</v>
      </c>
      <c r="F4043" t="n">
        <v>14.5</v>
      </c>
      <c r="G4043" t="n">
        <v>0</v>
      </c>
      <c r="H4043">
        <f>E4043*F4043*(1-G4043)</f>
        <v/>
      </c>
      <c r="I4043">
        <f>XLOOKUP(D4043,Products!$A$2:$A$15,Products!$B$2:$B$15,"Not found")</f>
        <v/>
      </c>
    </row>
    <row r="4044">
      <c r="A4044" t="n">
        <v>108363</v>
      </c>
      <c r="B4044" s="1" t="n">
        <v>45995</v>
      </c>
      <c r="C4044" t="inlineStr">
        <is>
          <t>S06</t>
        </is>
      </c>
      <c r="D4044" t="inlineStr">
        <is>
          <t>P301</t>
        </is>
      </c>
      <c r="E4044" t="n">
        <v>1</v>
      </c>
      <c r="F4044" t="n">
        <v>119</v>
      </c>
      <c r="G4044" t="n">
        <v>0.15</v>
      </c>
      <c r="H4044">
        <f>E4044*F4044*(1-G4044)</f>
        <v/>
      </c>
      <c r="I4044">
        <f>XLOOKUP(D4044,Products!$A$2:$A$15,Products!$B$2:$B$15,"Not found")</f>
        <v/>
      </c>
    </row>
    <row r="4045">
      <c r="A4045" t="n">
        <v>108364</v>
      </c>
      <c r="B4045" s="1" t="n">
        <v>45996</v>
      </c>
      <c r="C4045" t="inlineStr">
        <is>
          <t>S01</t>
        </is>
      </c>
      <c r="D4045" t="inlineStr">
        <is>
          <t>P202</t>
        </is>
      </c>
      <c r="E4045" t="n">
        <v>1</v>
      </c>
      <c r="F4045" t="n">
        <v>79</v>
      </c>
      <c r="G4045" t="n">
        <v>0</v>
      </c>
      <c r="H4045">
        <f>E4045*F4045*(1-G4045)</f>
        <v/>
      </c>
      <c r="I4045">
        <f>XLOOKUP(D4045,Products!$A$2:$A$15,Products!$B$2:$B$15,"Not found")</f>
        <v/>
      </c>
    </row>
    <row r="4046">
      <c r="A4046" t="n">
        <v>108365</v>
      </c>
      <c r="B4046" s="1" t="n">
        <v>45996</v>
      </c>
      <c r="C4046" t="inlineStr">
        <is>
          <t>S02</t>
        </is>
      </c>
      <c r="D4046" t="inlineStr">
        <is>
          <t>P104</t>
        </is>
      </c>
      <c r="E4046" t="n">
        <v>1</v>
      </c>
      <c r="F4046" t="n">
        <v>189</v>
      </c>
      <c r="G4046" t="n">
        <v>0</v>
      </c>
      <c r="H4046">
        <f>E4046*F4046*(1-G4046)</f>
        <v/>
      </c>
      <c r="I4046">
        <f>XLOOKUP(D4046,Products!$A$2:$A$15,Products!$B$2:$B$15,"Not found")</f>
        <v/>
      </c>
    </row>
    <row r="4047">
      <c r="A4047" t="n">
        <v>108366</v>
      </c>
      <c r="B4047" s="1" t="n">
        <v>45996</v>
      </c>
      <c r="C4047" t="inlineStr">
        <is>
          <t>S02</t>
        </is>
      </c>
      <c r="D4047" t="inlineStr">
        <is>
          <t>P203</t>
        </is>
      </c>
      <c r="E4047" t="n">
        <v>1</v>
      </c>
      <c r="F4047" t="n">
        <v>19.5</v>
      </c>
      <c r="G4047" t="n">
        <v>0</v>
      </c>
      <c r="H4047">
        <f>E4047*F4047*(1-G4047)</f>
        <v/>
      </c>
      <c r="I4047">
        <f>XLOOKUP(D4047,Products!$A$2:$A$15,Products!$B$2:$B$15,"Not found")</f>
        <v/>
      </c>
    </row>
    <row r="4048">
      <c r="A4048" t="n">
        <v>108367</v>
      </c>
      <c r="B4048" s="1" t="n">
        <v>45996</v>
      </c>
      <c r="C4048" t="inlineStr">
        <is>
          <t>S02</t>
        </is>
      </c>
      <c r="D4048" t="inlineStr">
        <is>
          <t>P202</t>
        </is>
      </c>
      <c r="E4048" t="n">
        <v>1</v>
      </c>
      <c r="F4048" t="n">
        <v>79</v>
      </c>
      <c r="G4048" t="n">
        <v>0.2</v>
      </c>
      <c r="H4048">
        <f>E4048*F4048*(1-G4048)</f>
        <v/>
      </c>
      <c r="I4048">
        <f>XLOOKUP(D4048,Products!$A$2:$A$15,Products!$B$2:$B$15,"Not found")</f>
        <v/>
      </c>
    </row>
    <row r="4049">
      <c r="A4049" t="n">
        <v>108368</v>
      </c>
      <c r="B4049" s="1" t="n">
        <v>45996</v>
      </c>
      <c r="C4049" t="inlineStr">
        <is>
          <t>S02</t>
        </is>
      </c>
      <c r="D4049" t="inlineStr">
        <is>
          <t>P201</t>
        </is>
      </c>
      <c r="E4049" t="n">
        <v>1</v>
      </c>
      <c r="F4049" t="n">
        <v>149</v>
      </c>
      <c r="G4049" t="n">
        <v>0</v>
      </c>
      <c r="H4049">
        <f>E4049*F4049*(1-G4049)</f>
        <v/>
      </c>
      <c r="I4049">
        <f>XLOOKUP(D4049,Products!$A$2:$A$15,Products!$B$2:$B$15,"Not found")</f>
        <v/>
      </c>
    </row>
    <row r="4050">
      <c r="A4050" t="n">
        <v>108369</v>
      </c>
      <c r="B4050" s="1" t="n">
        <v>45996</v>
      </c>
      <c r="C4050" t="inlineStr">
        <is>
          <t>S02</t>
        </is>
      </c>
      <c r="D4050" t="inlineStr">
        <is>
          <t>P103</t>
        </is>
      </c>
      <c r="E4050" t="n">
        <v>2</v>
      </c>
      <c r="F4050" t="n">
        <v>29</v>
      </c>
      <c r="G4050" t="n">
        <v>0</v>
      </c>
      <c r="H4050">
        <f>E4050*F4050*(1-G4050)</f>
        <v/>
      </c>
      <c r="I4050">
        <f>XLOOKUP(D4050,Products!$A$2:$A$15,Products!$B$2:$B$15,"Not found")</f>
        <v/>
      </c>
    </row>
    <row r="4051">
      <c r="A4051" t="n">
        <v>108370</v>
      </c>
      <c r="B4051" s="1" t="n">
        <v>45996</v>
      </c>
      <c r="C4051" t="inlineStr">
        <is>
          <t>S02</t>
        </is>
      </c>
      <c r="D4051" t="inlineStr">
        <is>
          <t>P104</t>
        </is>
      </c>
      <c r="E4051" t="n">
        <v>1</v>
      </c>
      <c r="F4051" t="n">
        <v>189</v>
      </c>
      <c r="G4051" t="n">
        <v>0</v>
      </c>
      <c r="H4051">
        <f>E4051*F4051*(1-G4051)</f>
        <v/>
      </c>
      <c r="I4051">
        <f>XLOOKUP(D4051,Products!$A$2:$A$15,Products!$B$2:$B$15,"Not found")</f>
        <v/>
      </c>
    </row>
    <row r="4052">
      <c r="A4052" t="n">
        <v>108371</v>
      </c>
      <c r="B4052" s="1" t="n">
        <v>45996</v>
      </c>
      <c r="C4052" t="inlineStr">
        <is>
          <t>S02</t>
        </is>
      </c>
      <c r="D4052" t="inlineStr">
        <is>
          <t>P301</t>
        </is>
      </c>
      <c r="E4052" t="n">
        <v>1</v>
      </c>
      <c r="F4052" t="n">
        <v>119</v>
      </c>
      <c r="G4052" t="n">
        <v>0</v>
      </c>
      <c r="H4052">
        <f>E4052*F4052*(1-G4052)</f>
        <v/>
      </c>
      <c r="I4052">
        <f>XLOOKUP(D4052,Products!$A$2:$A$15,Products!$B$2:$B$15,"Not found")</f>
        <v/>
      </c>
    </row>
    <row r="4053">
      <c r="A4053" t="n">
        <v>108372</v>
      </c>
      <c r="B4053" s="1" t="n">
        <v>45996</v>
      </c>
      <c r="C4053" t="inlineStr">
        <is>
          <t>S03</t>
        </is>
      </c>
      <c r="D4053" t="inlineStr">
        <is>
          <t>P403</t>
        </is>
      </c>
      <c r="E4053" t="n">
        <v>1</v>
      </c>
      <c r="F4053" t="n">
        <v>89</v>
      </c>
      <c r="G4053" t="n">
        <v>0.1</v>
      </c>
      <c r="H4053">
        <f>E4053*F4053*(1-G4053)</f>
        <v/>
      </c>
      <c r="I4053">
        <f>XLOOKUP(D4053,Products!$A$2:$A$15,Products!$B$2:$B$15,"Not found")</f>
        <v/>
      </c>
    </row>
    <row r="4054">
      <c r="A4054" t="n">
        <v>108373</v>
      </c>
      <c r="B4054" s="1" t="n">
        <v>45996</v>
      </c>
      <c r="C4054" t="inlineStr">
        <is>
          <t>S03</t>
        </is>
      </c>
      <c r="D4054" t="inlineStr">
        <is>
          <t>P303</t>
        </is>
      </c>
      <c r="E4054" t="n">
        <v>2</v>
      </c>
      <c r="F4054" t="n">
        <v>12</v>
      </c>
      <c r="G4054" t="n">
        <v>0</v>
      </c>
      <c r="H4054">
        <f>E4054*F4054*(1-G4054)</f>
        <v/>
      </c>
      <c r="I4054">
        <f>XLOOKUP(D4054,Products!$A$2:$A$15,Products!$B$2:$B$15,"Not found")</f>
        <v/>
      </c>
    </row>
    <row r="4055">
      <c r="A4055" t="n">
        <v>108374</v>
      </c>
      <c r="B4055" s="1" t="n">
        <v>45996</v>
      </c>
      <c r="C4055" t="inlineStr">
        <is>
          <t>S04</t>
        </is>
      </c>
      <c r="D4055" t="inlineStr">
        <is>
          <t>P403</t>
        </is>
      </c>
      <c r="E4055" t="n">
        <v>4</v>
      </c>
      <c r="F4055" t="n">
        <v>89</v>
      </c>
      <c r="G4055" t="n">
        <v>0.15</v>
      </c>
      <c r="H4055">
        <f>E4055*F4055*(1-G4055)</f>
        <v/>
      </c>
      <c r="I4055">
        <f>XLOOKUP(D4055,Products!$A$2:$A$15,Products!$B$2:$B$15,"Not found")</f>
        <v/>
      </c>
    </row>
    <row r="4056">
      <c r="A4056" t="n">
        <v>108375</v>
      </c>
      <c r="B4056" s="1" t="n">
        <v>45996</v>
      </c>
      <c r="C4056" t="inlineStr">
        <is>
          <t>S04</t>
        </is>
      </c>
      <c r="D4056" t="inlineStr">
        <is>
          <t>P101</t>
        </is>
      </c>
      <c r="E4056" t="n">
        <v>1</v>
      </c>
      <c r="F4056" t="n">
        <v>39</v>
      </c>
      <c r="G4056" t="n">
        <v>0.15</v>
      </c>
      <c r="H4056">
        <f>E4056*F4056*(1-G4056)</f>
        <v/>
      </c>
      <c r="I4056">
        <f>XLOOKUP(D4056,Products!$A$2:$A$15,Products!$B$2:$B$15,"Not found")</f>
        <v/>
      </c>
    </row>
    <row r="4057">
      <c r="A4057" t="n">
        <v>108376</v>
      </c>
      <c r="B4057" s="1" t="n">
        <v>45996</v>
      </c>
      <c r="C4057" t="inlineStr">
        <is>
          <t>S04</t>
        </is>
      </c>
      <c r="D4057" t="inlineStr">
        <is>
          <t>P102</t>
        </is>
      </c>
      <c r="E4057" t="n">
        <v>4</v>
      </c>
      <c r="F4057" t="n">
        <v>14.5</v>
      </c>
      <c r="G4057" t="n">
        <v>0</v>
      </c>
      <c r="H4057">
        <f>E4057*F4057*(1-G4057)</f>
        <v/>
      </c>
      <c r="I4057">
        <f>XLOOKUP(D4057,Products!$A$2:$A$15,Products!$B$2:$B$15,"Not found")</f>
        <v/>
      </c>
    </row>
    <row r="4058">
      <c r="A4058" t="n">
        <v>108377</v>
      </c>
      <c r="B4058" s="1" t="n">
        <v>45996</v>
      </c>
      <c r="C4058" t="inlineStr">
        <is>
          <t>S04</t>
        </is>
      </c>
      <c r="D4058" t="inlineStr">
        <is>
          <t>P301</t>
        </is>
      </c>
      <c r="E4058" t="n">
        <v>1</v>
      </c>
      <c r="F4058" t="n">
        <v>119</v>
      </c>
      <c r="G4058" t="n">
        <v>0</v>
      </c>
      <c r="H4058">
        <f>E4058*F4058*(1-G4058)</f>
        <v/>
      </c>
      <c r="I4058">
        <f>XLOOKUP(D4058,Products!$A$2:$A$15,Products!$B$2:$B$15,"Not found")</f>
        <v/>
      </c>
    </row>
    <row r="4059">
      <c r="A4059" t="n">
        <v>108378</v>
      </c>
      <c r="B4059" s="1" t="n">
        <v>45996</v>
      </c>
      <c r="C4059" t="inlineStr">
        <is>
          <t>S05</t>
        </is>
      </c>
      <c r="D4059" t="inlineStr">
        <is>
          <t>P103</t>
        </is>
      </c>
      <c r="E4059" t="n">
        <v>4</v>
      </c>
      <c r="F4059" t="n">
        <v>29</v>
      </c>
      <c r="G4059" t="n">
        <v>0</v>
      </c>
      <c r="H4059">
        <f>E4059*F4059*(1-G4059)</f>
        <v/>
      </c>
      <c r="I4059">
        <f>XLOOKUP(D4059,Products!$A$2:$A$15,Products!$B$2:$B$15,"Not found")</f>
        <v/>
      </c>
    </row>
    <row r="4060">
      <c r="A4060" t="n">
        <v>108379</v>
      </c>
      <c r="B4060" s="1" t="n">
        <v>45996</v>
      </c>
      <c r="C4060" t="inlineStr">
        <is>
          <t>S05</t>
        </is>
      </c>
      <c r="D4060" t="inlineStr">
        <is>
          <t>P203</t>
        </is>
      </c>
      <c r="E4060" t="n">
        <v>2</v>
      </c>
      <c r="F4060" t="n">
        <v>19.5</v>
      </c>
      <c r="G4060" t="n">
        <v>0</v>
      </c>
      <c r="H4060">
        <f>E4060*F4060*(1-G4060)</f>
        <v/>
      </c>
      <c r="I4060">
        <f>XLOOKUP(D4060,Products!$A$2:$A$15,Products!$B$2:$B$15,"Not found")</f>
        <v/>
      </c>
    </row>
    <row r="4061">
      <c r="A4061" t="n">
        <v>108380</v>
      </c>
      <c r="B4061" s="1" t="n">
        <v>45997</v>
      </c>
      <c r="C4061" t="inlineStr">
        <is>
          <t>S01</t>
        </is>
      </c>
      <c r="D4061" t="inlineStr">
        <is>
          <t>P103</t>
        </is>
      </c>
      <c r="E4061" t="n">
        <v>1</v>
      </c>
      <c r="F4061" t="n">
        <v>29</v>
      </c>
      <c r="G4061" t="n">
        <v>0</v>
      </c>
      <c r="H4061">
        <f>E4061*F4061*(1-G4061)</f>
        <v/>
      </c>
      <c r="I4061">
        <f>XLOOKUP(D4061,Products!$A$2:$A$15,Products!$B$2:$B$15,"Not found")</f>
        <v/>
      </c>
    </row>
    <row r="4062">
      <c r="A4062" t="n">
        <v>108381</v>
      </c>
      <c r="B4062" s="1" t="n">
        <v>45997</v>
      </c>
      <c r="C4062" t="inlineStr">
        <is>
          <t>S01</t>
        </is>
      </c>
      <c r="D4062" t="inlineStr">
        <is>
          <t>P204</t>
        </is>
      </c>
      <c r="E4062" t="n">
        <v>1</v>
      </c>
      <c r="F4062" t="n">
        <v>229</v>
      </c>
      <c r="G4062" t="n">
        <v>0.15</v>
      </c>
      <c r="H4062">
        <f>E4062*F4062*(1-G4062)</f>
        <v/>
      </c>
      <c r="I4062">
        <f>XLOOKUP(D4062,Products!$A$2:$A$15,Products!$B$2:$B$15,"Not found")</f>
        <v/>
      </c>
    </row>
    <row r="4063">
      <c r="A4063" t="n">
        <v>108382</v>
      </c>
      <c r="B4063" s="1" t="n">
        <v>45997</v>
      </c>
      <c r="C4063" t="inlineStr">
        <is>
          <t>S01</t>
        </is>
      </c>
      <c r="D4063" t="inlineStr">
        <is>
          <t>P104</t>
        </is>
      </c>
      <c r="E4063" t="n">
        <v>1</v>
      </c>
      <c r="F4063" t="n">
        <v>189</v>
      </c>
      <c r="G4063" t="n">
        <v>0</v>
      </c>
      <c r="H4063">
        <f>E4063*F4063*(1-G4063)</f>
        <v/>
      </c>
      <c r="I4063">
        <f>XLOOKUP(D4063,Products!$A$2:$A$15,Products!$B$2:$B$15,"Not found")</f>
        <v/>
      </c>
    </row>
    <row r="4064">
      <c r="A4064" t="n">
        <v>108383</v>
      </c>
      <c r="B4064" s="1" t="n">
        <v>45997</v>
      </c>
      <c r="C4064" t="inlineStr">
        <is>
          <t>S02</t>
        </is>
      </c>
      <c r="D4064" t="inlineStr">
        <is>
          <t>P102</t>
        </is>
      </c>
      <c r="E4064" t="n">
        <v>1</v>
      </c>
      <c r="F4064" t="n">
        <v>14.5</v>
      </c>
      <c r="G4064" t="n">
        <v>0</v>
      </c>
      <c r="H4064">
        <f>E4064*F4064*(1-G4064)</f>
        <v/>
      </c>
      <c r="I4064">
        <f>XLOOKUP(D4064,Products!$A$2:$A$15,Products!$B$2:$B$15,"Not found")</f>
        <v/>
      </c>
    </row>
    <row r="4065">
      <c r="A4065" t="n">
        <v>108384</v>
      </c>
      <c r="B4065" s="1" t="n">
        <v>45997</v>
      </c>
      <c r="C4065" t="inlineStr">
        <is>
          <t>S03</t>
        </is>
      </c>
      <c r="D4065" t="inlineStr">
        <is>
          <t>P301</t>
        </is>
      </c>
      <c r="E4065" t="n">
        <v>1</v>
      </c>
      <c r="F4065" t="n">
        <v>119</v>
      </c>
      <c r="G4065" t="n">
        <v>0.2</v>
      </c>
      <c r="H4065">
        <f>E4065*F4065*(1-G4065)</f>
        <v/>
      </c>
      <c r="I4065">
        <f>XLOOKUP(D4065,Products!$A$2:$A$15,Products!$B$2:$B$15,"Not found")</f>
        <v/>
      </c>
    </row>
    <row r="4066">
      <c r="A4066" t="n">
        <v>108385</v>
      </c>
      <c r="B4066" s="1" t="n">
        <v>45997</v>
      </c>
      <c r="C4066" t="inlineStr">
        <is>
          <t>S03</t>
        </is>
      </c>
      <c r="D4066" t="inlineStr">
        <is>
          <t>P403</t>
        </is>
      </c>
      <c r="E4066" t="n">
        <v>3</v>
      </c>
      <c r="F4066" t="n">
        <v>89</v>
      </c>
      <c r="G4066" t="n">
        <v>0.1</v>
      </c>
      <c r="H4066">
        <f>E4066*F4066*(1-G4066)</f>
        <v/>
      </c>
      <c r="I4066">
        <f>XLOOKUP(D4066,Products!$A$2:$A$15,Products!$B$2:$B$15,"Not found")</f>
        <v/>
      </c>
    </row>
    <row r="4067">
      <c r="A4067" t="n">
        <v>108386</v>
      </c>
      <c r="B4067" s="1" t="n">
        <v>45997</v>
      </c>
      <c r="C4067" t="inlineStr">
        <is>
          <t>S03</t>
        </is>
      </c>
      <c r="D4067" t="inlineStr">
        <is>
          <t>P302</t>
        </is>
      </c>
      <c r="E4067" t="n">
        <v>3</v>
      </c>
      <c r="F4067" t="n">
        <v>24</v>
      </c>
      <c r="G4067" t="n">
        <v>0.15</v>
      </c>
      <c r="H4067">
        <f>E4067*F4067*(1-G4067)</f>
        <v/>
      </c>
      <c r="I4067">
        <f>XLOOKUP(D4067,Products!$A$2:$A$15,Products!$B$2:$B$15,"Not found")</f>
        <v/>
      </c>
    </row>
    <row r="4068">
      <c r="A4068" t="n">
        <v>108387</v>
      </c>
      <c r="B4068" s="1" t="n">
        <v>45997</v>
      </c>
      <c r="C4068" t="inlineStr">
        <is>
          <t>S04</t>
        </is>
      </c>
      <c r="D4068" t="inlineStr">
        <is>
          <t>P103</t>
        </is>
      </c>
      <c r="E4068" t="n">
        <v>4</v>
      </c>
      <c r="F4068" t="n">
        <v>29</v>
      </c>
      <c r="G4068" t="n">
        <v>0.1</v>
      </c>
      <c r="H4068">
        <f>E4068*F4068*(1-G4068)</f>
        <v/>
      </c>
      <c r="I4068">
        <f>XLOOKUP(D4068,Products!$A$2:$A$15,Products!$B$2:$B$15,"Not found")</f>
        <v/>
      </c>
    </row>
    <row r="4069">
      <c r="A4069" t="n">
        <v>108388</v>
      </c>
      <c r="B4069" s="1" t="n">
        <v>45997</v>
      </c>
      <c r="C4069" t="inlineStr">
        <is>
          <t>S05</t>
        </is>
      </c>
      <c r="D4069" t="inlineStr">
        <is>
          <t>P403</t>
        </is>
      </c>
      <c r="E4069" t="n">
        <v>1</v>
      </c>
      <c r="F4069" t="n">
        <v>89</v>
      </c>
      <c r="G4069" t="n">
        <v>0</v>
      </c>
      <c r="H4069">
        <f>E4069*F4069*(1-G4069)</f>
        <v/>
      </c>
      <c r="I4069">
        <f>XLOOKUP(D4069,Products!$A$2:$A$15,Products!$B$2:$B$15,"Not found")</f>
        <v/>
      </c>
    </row>
    <row r="4070">
      <c r="A4070" t="n">
        <v>108389</v>
      </c>
      <c r="B4070" s="1" t="n">
        <v>45997</v>
      </c>
      <c r="C4070" t="inlineStr">
        <is>
          <t>S05</t>
        </is>
      </c>
      <c r="D4070" t="inlineStr">
        <is>
          <t>P103</t>
        </is>
      </c>
      <c r="E4070" t="n">
        <v>1</v>
      </c>
      <c r="F4070" t="n">
        <v>29</v>
      </c>
      <c r="G4070" t="n">
        <v>0</v>
      </c>
      <c r="H4070">
        <f>E4070*F4070*(1-G4070)</f>
        <v/>
      </c>
      <c r="I4070">
        <f>XLOOKUP(D4070,Products!$A$2:$A$15,Products!$B$2:$B$15,"Not found")</f>
        <v/>
      </c>
    </row>
    <row r="4071">
      <c r="A4071" t="n">
        <v>108390</v>
      </c>
      <c r="B4071" s="1" t="n">
        <v>45997</v>
      </c>
      <c r="C4071" t="inlineStr">
        <is>
          <t>S06</t>
        </is>
      </c>
      <c r="D4071" t="inlineStr">
        <is>
          <t>P302</t>
        </is>
      </c>
      <c r="E4071" t="n">
        <v>2</v>
      </c>
      <c r="F4071" t="n">
        <v>24</v>
      </c>
      <c r="G4071" t="n">
        <v>0.2</v>
      </c>
      <c r="H4071">
        <f>E4071*F4071*(1-G4071)</f>
        <v/>
      </c>
      <c r="I4071">
        <f>XLOOKUP(D4071,Products!$A$2:$A$15,Products!$B$2:$B$15,"Not found")</f>
        <v/>
      </c>
    </row>
    <row r="4072">
      <c r="A4072" t="n">
        <v>108391</v>
      </c>
      <c r="B4072" s="1" t="n">
        <v>45998</v>
      </c>
      <c r="C4072" t="inlineStr">
        <is>
          <t>S01</t>
        </is>
      </c>
      <c r="D4072" t="inlineStr">
        <is>
          <t>P201</t>
        </is>
      </c>
      <c r="E4072" t="n">
        <v>1</v>
      </c>
      <c r="F4072" t="n">
        <v>149</v>
      </c>
      <c r="G4072" t="n">
        <v>0</v>
      </c>
      <c r="H4072">
        <f>E4072*F4072*(1-G4072)</f>
        <v/>
      </c>
      <c r="I4072">
        <f>XLOOKUP(D4072,Products!$A$2:$A$15,Products!$B$2:$B$15,"Not found")</f>
        <v/>
      </c>
    </row>
    <row r="4073">
      <c r="A4073" t="n">
        <v>108392</v>
      </c>
      <c r="B4073" s="1" t="n">
        <v>45998</v>
      </c>
      <c r="C4073" t="inlineStr">
        <is>
          <t>S01</t>
        </is>
      </c>
      <c r="D4073" t="inlineStr">
        <is>
          <t>P101</t>
        </is>
      </c>
      <c r="E4073" t="n">
        <v>2</v>
      </c>
      <c r="F4073" t="n">
        <v>39</v>
      </c>
      <c r="G4073" t="n">
        <v>0.15</v>
      </c>
      <c r="H4073">
        <f>E4073*F4073*(1-G4073)</f>
        <v/>
      </c>
      <c r="I4073">
        <f>XLOOKUP(D4073,Products!$A$2:$A$15,Products!$B$2:$B$15,"Not found")</f>
        <v/>
      </c>
    </row>
    <row r="4074">
      <c r="A4074" t="n">
        <v>108393</v>
      </c>
      <c r="B4074" s="1" t="n">
        <v>45998</v>
      </c>
      <c r="C4074" t="inlineStr">
        <is>
          <t>S01</t>
        </is>
      </c>
      <c r="D4074" t="inlineStr">
        <is>
          <t>P203</t>
        </is>
      </c>
      <c r="E4074" t="n">
        <v>1</v>
      </c>
      <c r="F4074" t="n">
        <v>19.5</v>
      </c>
      <c r="G4074" t="n">
        <v>0</v>
      </c>
      <c r="H4074">
        <f>E4074*F4074*(1-G4074)</f>
        <v/>
      </c>
      <c r="I4074">
        <f>XLOOKUP(D4074,Products!$A$2:$A$15,Products!$B$2:$B$15,"Not found")</f>
        <v/>
      </c>
    </row>
    <row r="4075">
      <c r="A4075" t="n">
        <v>108394</v>
      </c>
      <c r="B4075" s="1" t="n">
        <v>45998</v>
      </c>
      <c r="C4075" t="inlineStr">
        <is>
          <t>S01</t>
        </is>
      </c>
      <c r="D4075" t="inlineStr">
        <is>
          <t>P101</t>
        </is>
      </c>
      <c r="E4075" t="n">
        <v>2</v>
      </c>
      <c r="F4075" t="n">
        <v>39</v>
      </c>
      <c r="G4075" t="n">
        <v>0</v>
      </c>
      <c r="H4075">
        <f>E4075*F4075*(1-G4075)</f>
        <v/>
      </c>
      <c r="I4075">
        <f>XLOOKUP(D4075,Products!$A$2:$A$15,Products!$B$2:$B$15,"Not found")</f>
        <v/>
      </c>
    </row>
    <row r="4076">
      <c r="A4076" t="n">
        <v>108395</v>
      </c>
      <c r="B4076" s="1" t="n">
        <v>45998</v>
      </c>
      <c r="C4076" t="inlineStr">
        <is>
          <t>S01</t>
        </is>
      </c>
      <c r="D4076" t="inlineStr">
        <is>
          <t>P103</t>
        </is>
      </c>
      <c r="E4076" t="n">
        <v>4</v>
      </c>
      <c r="F4076" t="n">
        <v>29</v>
      </c>
      <c r="G4076" t="n">
        <v>0</v>
      </c>
      <c r="H4076">
        <f>E4076*F4076*(1-G4076)</f>
        <v/>
      </c>
      <c r="I4076">
        <f>XLOOKUP(D4076,Products!$A$2:$A$15,Products!$B$2:$B$15,"Not found")</f>
        <v/>
      </c>
    </row>
    <row r="4077">
      <c r="A4077" t="n">
        <v>108396</v>
      </c>
      <c r="B4077" s="1" t="n">
        <v>45998</v>
      </c>
      <c r="C4077" t="inlineStr">
        <is>
          <t>S01</t>
        </is>
      </c>
      <c r="D4077" t="inlineStr">
        <is>
          <t>P103</t>
        </is>
      </c>
      <c r="E4077" t="n">
        <v>1</v>
      </c>
      <c r="F4077" t="n">
        <v>29</v>
      </c>
      <c r="G4077" t="n">
        <v>0</v>
      </c>
      <c r="H4077">
        <f>E4077*F4077*(1-G4077)</f>
        <v/>
      </c>
      <c r="I4077">
        <f>XLOOKUP(D4077,Products!$A$2:$A$15,Products!$B$2:$B$15,"Not found")</f>
        <v/>
      </c>
    </row>
    <row r="4078">
      <c r="A4078" t="n">
        <v>108397</v>
      </c>
      <c r="B4078" s="1" t="n">
        <v>45998</v>
      </c>
      <c r="C4078" t="inlineStr">
        <is>
          <t>S02</t>
        </is>
      </c>
      <c r="D4078" t="inlineStr">
        <is>
          <t>P203</t>
        </is>
      </c>
      <c r="E4078" t="n">
        <v>1</v>
      </c>
      <c r="F4078" t="n">
        <v>19.5</v>
      </c>
      <c r="G4078" t="n">
        <v>0.2</v>
      </c>
      <c r="H4078">
        <f>E4078*F4078*(1-G4078)</f>
        <v/>
      </c>
      <c r="I4078">
        <f>XLOOKUP(D4078,Products!$A$2:$A$15,Products!$B$2:$B$15,"Not found")</f>
        <v/>
      </c>
    </row>
    <row r="4079">
      <c r="A4079" t="n">
        <v>108398</v>
      </c>
      <c r="B4079" s="1" t="n">
        <v>45998</v>
      </c>
      <c r="C4079" t="inlineStr">
        <is>
          <t>S02</t>
        </is>
      </c>
      <c r="D4079" t="inlineStr">
        <is>
          <t>P102</t>
        </is>
      </c>
      <c r="E4079" t="n">
        <v>4</v>
      </c>
      <c r="F4079" t="n">
        <v>14.5</v>
      </c>
      <c r="G4079" t="n">
        <v>0.1</v>
      </c>
      <c r="H4079">
        <f>E4079*F4079*(1-G4079)</f>
        <v/>
      </c>
      <c r="I4079">
        <f>XLOOKUP(D4079,Products!$A$2:$A$15,Products!$B$2:$B$15,"Not found")</f>
        <v/>
      </c>
    </row>
    <row r="4080">
      <c r="A4080" t="n">
        <v>108399</v>
      </c>
      <c r="B4080" s="1" t="n">
        <v>45998</v>
      </c>
      <c r="C4080" t="inlineStr">
        <is>
          <t>S02</t>
        </is>
      </c>
      <c r="D4080" t="inlineStr">
        <is>
          <t>P102</t>
        </is>
      </c>
      <c r="E4080" t="n">
        <v>1</v>
      </c>
      <c r="F4080" t="n">
        <v>14.5</v>
      </c>
      <c r="G4080" t="n">
        <v>0</v>
      </c>
      <c r="H4080">
        <f>E4080*F4080*(1-G4080)</f>
        <v/>
      </c>
      <c r="I4080">
        <f>XLOOKUP(D4080,Products!$A$2:$A$15,Products!$B$2:$B$15,"Not found")</f>
        <v/>
      </c>
    </row>
    <row r="4081">
      <c r="A4081" t="n">
        <v>108400</v>
      </c>
      <c r="B4081" s="1" t="n">
        <v>45998</v>
      </c>
      <c r="C4081" t="inlineStr">
        <is>
          <t>S02</t>
        </is>
      </c>
      <c r="D4081" t="inlineStr">
        <is>
          <t>P104</t>
        </is>
      </c>
      <c r="E4081" t="n">
        <v>1</v>
      </c>
      <c r="F4081" t="n">
        <v>189</v>
      </c>
      <c r="G4081" t="n">
        <v>0.1</v>
      </c>
      <c r="H4081">
        <f>E4081*F4081*(1-G4081)</f>
        <v/>
      </c>
      <c r="I4081">
        <f>XLOOKUP(D4081,Products!$A$2:$A$15,Products!$B$2:$B$15,"Not found")</f>
        <v/>
      </c>
    </row>
    <row r="4082">
      <c r="A4082" t="n">
        <v>108401</v>
      </c>
      <c r="B4082" s="1" t="n">
        <v>45998</v>
      </c>
      <c r="C4082" t="inlineStr">
        <is>
          <t>S03</t>
        </is>
      </c>
      <c r="D4082" t="inlineStr">
        <is>
          <t>P101</t>
        </is>
      </c>
      <c r="E4082" t="n">
        <v>4</v>
      </c>
      <c r="F4082" t="n">
        <v>39</v>
      </c>
      <c r="G4082" t="n">
        <v>0.15</v>
      </c>
      <c r="H4082">
        <f>E4082*F4082*(1-G4082)</f>
        <v/>
      </c>
      <c r="I4082">
        <f>XLOOKUP(D4082,Products!$A$2:$A$15,Products!$B$2:$B$15,"Not found")</f>
        <v/>
      </c>
    </row>
    <row r="4083">
      <c r="A4083" t="n">
        <v>108402</v>
      </c>
      <c r="B4083" s="1" t="n">
        <v>45998</v>
      </c>
      <c r="C4083" t="inlineStr">
        <is>
          <t>S03</t>
        </is>
      </c>
      <c r="D4083" t="inlineStr">
        <is>
          <t>P303</t>
        </is>
      </c>
      <c r="E4083" t="n">
        <v>1</v>
      </c>
      <c r="F4083" t="n">
        <v>12</v>
      </c>
      <c r="G4083" t="n">
        <v>0</v>
      </c>
      <c r="H4083">
        <f>E4083*F4083*(1-G4083)</f>
        <v/>
      </c>
      <c r="I4083">
        <f>XLOOKUP(D4083,Products!$A$2:$A$15,Products!$B$2:$B$15,"Not found")</f>
        <v/>
      </c>
    </row>
    <row r="4084">
      <c r="A4084" t="n">
        <v>108403</v>
      </c>
      <c r="B4084" s="1" t="n">
        <v>45998</v>
      </c>
      <c r="C4084" t="inlineStr">
        <is>
          <t>S03</t>
        </is>
      </c>
      <c r="D4084" t="inlineStr">
        <is>
          <t>P102</t>
        </is>
      </c>
      <c r="E4084" t="n">
        <v>1</v>
      </c>
      <c r="F4084" t="n">
        <v>14.5</v>
      </c>
      <c r="G4084" t="n">
        <v>0</v>
      </c>
      <c r="H4084">
        <f>E4084*F4084*(1-G4084)</f>
        <v/>
      </c>
      <c r="I4084">
        <f>XLOOKUP(D4084,Products!$A$2:$A$15,Products!$B$2:$B$15,"Not found")</f>
        <v/>
      </c>
    </row>
    <row r="4085">
      <c r="A4085" t="n">
        <v>108404</v>
      </c>
      <c r="B4085" s="1" t="n">
        <v>45998</v>
      </c>
      <c r="C4085" t="inlineStr">
        <is>
          <t>S03</t>
        </is>
      </c>
      <c r="D4085" t="inlineStr">
        <is>
          <t>P302</t>
        </is>
      </c>
      <c r="E4085" t="n">
        <v>3</v>
      </c>
      <c r="F4085" t="n">
        <v>24</v>
      </c>
      <c r="G4085" t="n">
        <v>0</v>
      </c>
      <c r="H4085">
        <f>E4085*F4085*(1-G4085)</f>
        <v/>
      </c>
      <c r="I4085">
        <f>XLOOKUP(D4085,Products!$A$2:$A$15,Products!$B$2:$B$15,"Not found")</f>
        <v/>
      </c>
    </row>
    <row r="4086">
      <c r="A4086" t="n">
        <v>108405</v>
      </c>
      <c r="B4086" s="1" t="n">
        <v>45998</v>
      </c>
      <c r="C4086" t="inlineStr">
        <is>
          <t>S04</t>
        </is>
      </c>
      <c r="D4086" t="inlineStr">
        <is>
          <t>P102</t>
        </is>
      </c>
      <c r="E4086" t="n">
        <v>3</v>
      </c>
      <c r="F4086" t="n">
        <v>14.5</v>
      </c>
      <c r="G4086" t="n">
        <v>0</v>
      </c>
      <c r="H4086">
        <f>E4086*F4086*(1-G4086)</f>
        <v/>
      </c>
      <c r="I4086">
        <f>XLOOKUP(D4086,Products!$A$2:$A$15,Products!$B$2:$B$15,"Not found")</f>
        <v/>
      </c>
    </row>
    <row r="4087">
      <c r="A4087" t="n">
        <v>108406</v>
      </c>
      <c r="B4087" s="1" t="n">
        <v>45998</v>
      </c>
      <c r="C4087" t="inlineStr">
        <is>
          <t>S04</t>
        </is>
      </c>
      <c r="D4087" t="inlineStr">
        <is>
          <t>P203</t>
        </is>
      </c>
      <c r="E4087" t="n">
        <v>3</v>
      </c>
      <c r="F4087" t="n">
        <v>19.5</v>
      </c>
      <c r="G4087" t="n">
        <v>0.1</v>
      </c>
      <c r="H4087">
        <f>E4087*F4087*(1-G4087)</f>
        <v/>
      </c>
      <c r="I4087">
        <f>XLOOKUP(D4087,Products!$A$2:$A$15,Products!$B$2:$B$15,"Not found")</f>
        <v/>
      </c>
    </row>
    <row r="4088">
      <c r="A4088" t="n">
        <v>108407</v>
      </c>
      <c r="B4088" s="1" t="n">
        <v>45998</v>
      </c>
      <c r="C4088" t="inlineStr">
        <is>
          <t>S04</t>
        </is>
      </c>
      <c r="D4088" t="inlineStr">
        <is>
          <t>P203</t>
        </is>
      </c>
      <c r="E4088" t="n">
        <v>2</v>
      </c>
      <c r="F4088" t="n">
        <v>19.5</v>
      </c>
      <c r="G4088" t="n">
        <v>0.15</v>
      </c>
      <c r="H4088">
        <f>E4088*F4088*(1-G4088)</f>
        <v/>
      </c>
      <c r="I4088">
        <f>XLOOKUP(D4088,Products!$A$2:$A$15,Products!$B$2:$B$15,"Not found")</f>
        <v/>
      </c>
    </row>
    <row r="4089">
      <c r="A4089" t="n">
        <v>108408</v>
      </c>
      <c r="B4089" s="1" t="n">
        <v>45998</v>
      </c>
      <c r="C4089" t="inlineStr">
        <is>
          <t>S04</t>
        </is>
      </c>
      <c r="D4089" t="inlineStr">
        <is>
          <t>P102</t>
        </is>
      </c>
      <c r="E4089" t="n">
        <v>4</v>
      </c>
      <c r="F4089" t="n">
        <v>14.5</v>
      </c>
      <c r="G4089" t="n">
        <v>0</v>
      </c>
      <c r="H4089">
        <f>E4089*F4089*(1-G4089)</f>
        <v/>
      </c>
      <c r="I4089">
        <f>XLOOKUP(D4089,Products!$A$2:$A$15,Products!$B$2:$B$15,"Not found")</f>
        <v/>
      </c>
    </row>
    <row r="4090">
      <c r="A4090" t="n">
        <v>108409</v>
      </c>
      <c r="B4090" s="1" t="n">
        <v>45998</v>
      </c>
      <c r="C4090" t="inlineStr">
        <is>
          <t>S04</t>
        </is>
      </c>
      <c r="D4090" t="inlineStr">
        <is>
          <t>P203</t>
        </is>
      </c>
      <c r="E4090" t="n">
        <v>1</v>
      </c>
      <c r="F4090" t="n">
        <v>19.5</v>
      </c>
      <c r="G4090" t="n">
        <v>0</v>
      </c>
      <c r="H4090">
        <f>E4090*F4090*(1-G4090)</f>
        <v/>
      </c>
      <c r="I4090">
        <f>XLOOKUP(D4090,Products!$A$2:$A$15,Products!$B$2:$B$15,"Not found")</f>
        <v/>
      </c>
    </row>
    <row r="4091">
      <c r="A4091" t="n">
        <v>108410</v>
      </c>
      <c r="B4091" s="1" t="n">
        <v>45998</v>
      </c>
      <c r="C4091" t="inlineStr">
        <is>
          <t>S04</t>
        </is>
      </c>
      <c r="D4091" t="inlineStr">
        <is>
          <t>P201</t>
        </is>
      </c>
      <c r="E4091" t="n">
        <v>1</v>
      </c>
      <c r="F4091" t="n">
        <v>149</v>
      </c>
      <c r="G4091" t="n">
        <v>0.15</v>
      </c>
      <c r="H4091">
        <f>E4091*F4091*(1-G4091)</f>
        <v/>
      </c>
      <c r="I4091">
        <f>XLOOKUP(D4091,Products!$A$2:$A$15,Products!$B$2:$B$15,"Not found")</f>
        <v/>
      </c>
    </row>
    <row r="4092">
      <c r="A4092" t="n">
        <v>108411</v>
      </c>
      <c r="B4092" s="1" t="n">
        <v>45998</v>
      </c>
      <c r="C4092" t="inlineStr">
        <is>
          <t>S04</t>
        </is>
      </c>
      <c r="D4092" t="inlineStr">
        <is>
          <t>P301</t>
        </is>
      </c>
      <c r="E4092" t="n">
        <v>1</v>
      </c>
      <c r="F4092" t="n">
        <v>119</v>
      </c>
      <c r="G4092" t="n">
        <v>0</v>
      </c>
      <c r="H4092">
        <f>E4092*F4092*(1-G4092)</f>
        <v/>
      </c>
      <c r="I4092">
        <f>XLOOKUP(D4092,Products!$A$2:$A$15,Products!$B$2:$B$15,"Not found")</f>
        <v/>
      </c>
    </row>
    <row r="4093">
      <c r="A4093" t="n">
        <v>108412</v>
      </c>
      <c r="B4093" s="1" t="n">
        <v>45998</v>
      </c>
      <c r="C4093" t="inlineStr">
        <is>
          <t>S04</t>
        </is>
      </c>
      <c r="D4093" t="inlineStr">
        <is>
          <t>P204</t>
        </is>
      </c>
      <c r="E4093" t="n">
        <v>1</v>
      </c>
      <c r="F4093" t="n">
        <v>229</v>
      </c>
      <c r="G4093" t="n">
        <v>0</v>
      </c>
      <c r="H4093">
        <f>E4093*F4093*(1-G4093)</f>
        <v/>
      </c>
      <c r="I4093">
        <f>XLOOKUP(D4093,Products!$A$2:$A$15,Products!$B$2:$B$15,"Not found")</f>
        <v/>
      </c>
    </row>
    <row r="4094">
      <c r="A4094" t="n">
        <v>108413</v>
      </c>
      <c r="B4094" s="1" t="n">
        <v>45998</v>
      </c>
      <c r="C4094" t="inlineStr">
        <is>
          <t>S05</t>
        </is>
      </c>
      <c r="D4094" t="inlineStr">
        <is>
          <t>P102</t>
        </is>
      </c>
      <c r="E4094" t="n">
        <v>1</v>
      </c>
      <c r="F4094" t="n">
        <v>14.5</v>
      </c>
      <c r="G4094" t="n">
        <v>0.2</v>
      </c>
      <c r="H4094">
        <f>E4094*F4094*(1-G4094)</f>
        <v/>
      </c>
      <c r="I4094">
        <f>XLOOKUP(D4094,Products!$A$2:$A$15,Products!$B$2:$B$15,"Not found")</f>
        <v/>
      </c>
    </row>
    <row r="4095">
      <c r="A4095" t="n">
        <v>108414</v>
      </c>
      <c r="B4095" s="1" t="n">
        <v>45998</v>
      </c>
      <c r="C4095" t="inlineStr">
        <is>
          <t>S05</t>
        </is>
      </c>
      <c r="D4095" t="inlineStr">
        <is>
          <t>P303</t>
        </is>
      </c>
      <c r="E4095" t="n">
        <v>1</v>
      </c>
      <c r="F4095" t="n">
        <v>12</v>
      </c>
      <c r="G4095" t="n">
        <v>0</v>
      </c>
      <c r="H4095">
        <f>E4095*F4095*(1-G4095)</f>
        <v/>
      </c>
      <c r="I4095">
        <f>XLOOKUP(D4095,Products!$A$2:$A$15,Products!$B$2:$B$15,"Not found")</f>
        <v/>
      </c>
    </row>
    <row r="4096">
      <c r="A4096" t="n">
        <v>108415</v>
      </c>
      <c r="B4096" s="1" t="n">
        <v>45998</v>
      </c>
      <c r="C4096" t="inlineStr">
        <is>
          <t>S05</t>
        </is>
      </c>
      <c r="D4096" t="inlineStr">
        <is>
          <t>P203</t>
        </is>
      </c>
      <c r="E4096" t="n">
        <v>2</v>
      </c>
      <c r="F4096" t="n">
        <v>19.5</v>
      </c>
      <c r="G4096" t="n">
        <v>0</v>
      </c>
      <c r="H4096">
        <f>E4096*F4096*(1-G4096)</f>
        <v/>
      </c>
      <c r="I4096">
        <f>XLOOKUP(D4096,Products!$A$2:$A$15,Products!$B$2:$B$15,"Not found")</f>
        <v/>
      </c>
    </row>
    <row r="4097">
      <c r="A4097" t="n">
        <v>108416</v>
      </c>
      <c r="B4097" s="1" t="n">
        <v>45998</v>
      </c>
      <c r="C4097" t="inlineStr">
        <is>
          <t>S05</t>
        </is>
      </c>
      <c r="D4097" t="inlineStr">
        <is>
          <t>P102</t>
        </is>
      </c>
      <c r="E4097" t="n">
        <v>1</v>
      </c>
      <c r="F4097" t="n">
        <v>14.5</v>
      </c>
      <c r="G4097" t="n">
        <v>0.15</v>
      </c>
      <c r="H4097">
        <f>E4097*F4097*(1-G4097)</f>
        <v/>
      </c>
      <c r="I4097">
        <f>XLOOKUP(D4097,Products!$A$2:$A$15,Products!$B$2:$B$15,"Not found")</f>
        <v/>
      </c>
    </row>
    <row r="4098">
      <c r="A4098" t="n">
        <v>108417</v>
      </c>
      <c r="B4098" s="1" t="n">
        <v>45998</v>
      </c>
      <c r="C4098" t="inlineStr">
        <is>
          <t>S05</t>
        </is>
      </c>
      <c r="D4098" t="inlineStr">
        <is>
          <t>P103</t>
        </is>
      </c>
      <c r="E4098" t="n">
        <v>1</v>
      </c>
      <c r="F4098" t="n">
        <v>29</v>
      </c>
      <c r="G4098" t="n">
        <v>0</v>
      </c>
      <c r="H4098">
        <f>E4098*F4098*(1-G4098)</f>
        <v/>
      </c>
      <c r="I4098">
        <f>XLOOKUP(D4098,Products!$A$2:$A$15,Products!$B$2:$B$15,"Not found")</f>
        <v/>
      </c>
    </row>
    <row r="4099">
      <c r="A4099" t="n">
        <v>108418</v>
      </c>
      <c r="B4099" s="1" t="n">
        <v>45998</v>
      </c>
      <c r="C4099" t="inlineStr">
        <is>
          <t>S05</t>
        </is>
      </c>
      <c r="D4099" t="inlineStr">
        <is>
          <t>P101</t>
        </is>
      </c>
      <c r="E4099" t="n">
        <v>1</v>
      </c>
      <c r="F4099" t="n">
        <v>39</v>
      </c>
      <c r="G4099" t="n">
        <v>0</v>
      </c>
      <c r="H4099">
        <f>E4099*F4099*(1-G4099)</f>
        <v/>
      </c>
      <c r="I4099">
        <f>XLOOKUP(D4099,Products!$A$2:$A$15,Products!$B$2:$B$15,"Not found")</f>
        <v/>
      </c>
    </row>
    <row r="4100">
      <c r="A4100" t="n">
        <v>108419</v>
      </c>
      <c r="B4100" s="1" t="n">
        <v>45998</v>
      </c>
      <c r="C4100" t="inlineStr">
        <is>
          <t>S06</t>
        </is>
      </c>
      <c r="D4100" t="inlineStr">
        <is>
          <t>P102</t>
        </is>
      </c>
      <c r="E4100" t="n">
        <v>1</v>
      </c>
      <c r="F4100" t="n">
        <v>14.5</v>
      </c>
      <c r="G4100" t="n">
        <v>0.15</v>
      </c>
      <c r="H4100">
        <f>E4100*F4100*(1-G4100)</f>
        <v/>
      </c>
      <c r="I4100">
        <f>XLOOKUP(D4100,Products!$A$2:$A$15,Products!$B$2:$B$15,"Not found")</f>
        <v/>
      </c>
    </row>
    <row r="4101">
      <c r="A4101" t="n">
        <v>108420</v>
      </c>
      <c r="B4101" s="1" t="n">
        <v>45999</v>
      </c>
      <c r="C4101" t="inlineStr">
        <is>
          <t>S01</t>
        </is>
      </c>
      <c r="D4101" t="inlineStr">
        <is>
          <t>P102</t>
        </is>
      </c>
      <c r="E4101" t="n">
        <v>4</v>
      </c>
      <c r="F4101" t="n">
        <v>14.5</v>
      </c>
      <c r="G4101" t="n">
        <v>0</v>
      </c>
      <c r="H4101">
        <f>E4101*F4101*(1-G4101)</f>
        <v/>
      </c>
      <c r="I4101">
        <f>XLOOKUP(D4101,Products!$A$2:$A$15,Products!$B$2:$B$15,"Not found")</f>
        <v/>
      </c>
    </row>
    <row r="4102">
      <c r="A4102" t="n">
        <v>108421</v>
      </c>
      <c r="B4102" s="1" t="n">
        <v>45999</v>
      </c>
      <c r="C4102" t="inlineStr">
        <is>
          <t>S01</t>
        </is>
      </c>
      <c r="D4102" t="inlineStr">
        <is>
          <t>P203</t>
        </is>
      </c>
      <c r="E4102" t="n">
        <v>2</v>
      </c>
      <c r="F4102" t="n">
        <v>19.5</v>
      </c>
      <c r="G4102" t="n">
        <v>0.15</v>
      </c>
      <c r="H4102">
        <f>E4102*F4102*(1-G4102)</f>
        <v/>
      </c>
      <c r="I4102">
        <f>XLOOKUP(D4102,Products!$A$2:$A$15,Products!$B$2:$B$15,"Not found")</f>
        <v/>
      </c>
    </row>
    <row r="4103">
      <c r="A4103" t="n">
        <v>108422</v>
      </c>
      <c r="B4103" s="1" t="n">
        <v>45999</v>
      </c>
      <c r="C4103" t="inlineStr">
        <is>
          <t>S01</t>
        </is>
      </c>
      <c r="D4103" t="inlineStr">
        <is>
          <t>P102</t>
        </is>
      </c>
      <c r="E4103" t="n">
        <v>2</v>
      </c>
      <c r="F4103" t="n">
        <v>14.5</v>
      </c>
      <c r="G4103" t="n">
        <v>0</v>
      </c>
      <c r="H4103">
        <f>E4103*F4103*(1-G4103)</f>
        <v/>
      </c>
      <c r="I4103">
        <f>XLOOKUP(D4103,Products!$A$2:$A$15,Products!$B$2:$B$15,"Not found")</f>
        <v/>
      </c>
    </row>
    <row r="4104">
      <c r="A4104" t="n">
        <v>108423</v>
      </c>
      <c r="B4104" s="1" t="n">
        <v>45999</v>
      </c>
      <c r="C4104" t="inlineStr">
        <is>
          <t>S01</t>
        </is>
      </c>
      <c r="D4104" t="inlineStr">
        <is>
          <t>P301</t>
        </is>
      </c>
      <c r="E4104" t="n">
        <v>1</v>
      </c>
      <c r="F4104" t="n">
        <v>119</v>
      </c>
      <c r="G4104" t="n">
        <v>0.1</v>
      </c>
      <c r="H4104">
        <f>E4104*F4104*(1-G4104)</f>
        <v/>
      </c>
      <c r="I4104">
        <f>XLOOKUP(D4104,Products!$A$2:$A$15,Products!$B$2:$B$15,"Not found")</f>
        <v/>
      </c>
    </row>
    <row r="4105">
      <c r="A4105" t="n">
        <v>108424</v>
      </c>
      <c r="B4105" s="1" t="n">
        <v>45999</v>
      </c>
      <c r="C4105" t="inlineStr">
        <is>
          <t>S01</t>
        </is>
      </c>
      <c r="D4105" t="inlineStr">
        <is>
          <t>P302</t>
        </is>
      </c>
      <c r="E4105" t="n">
        <v>2</v>
      </c>
      <c r="F4105" t="n">
        <v>24</v>
      </c>
      <c r="G4105" t="n">
        <v>0</v>
      </c>
      <c r="H4105">
        <f>E4105*F4105*(1-G4105)</f>
        <v/>
      </c>
      <c r="I4105">
        <f>XLOOKUP(D4105,Products!$A$2:$A$15,Products!$B$2:$B$15,"Not found")</f>
        <v/>
      </c>
    </row>
    <row r="4106">
      <c r="A4106" t="n">
        <v>108425</v>
      </c>
      <c r="B4106" s="1" t="n">
        <v>45999</v>
      </c>
      <c r="C4106" t="inlineStr">
        <is>
          <t>S01</t>
        </is>
      </c>
      <c r="D4106" t="inlineStr">
        <is>
          <t>P101</t>
        </is>
      </c>
      <c r="E4106" t="n">
        <v>1</v>
      </c>
      <c r="F4106" t="n">
        <v>39</v>
      </c>
      <c r="G4106" t="n">
        <v>0.1</v>
      </c>
      <c r="H4106">
        <f>E4106*F4106*(1-G4106)</f>
        <v/>
      </c>
      <c r="I4106">
        <f>XLOOKUP(D4106,Products!$A$2:$A$15,Products!$B$2:$B$15,"Not found")</f>
        <v/>
      </c>
    </row>
    <row r="4107">
      <c r="A4107" t="n">
        <v>108426</v>
      </c>
      <c r="B4107" s="1" t="n">
        <v>45999</v>
      </c>
      <c r="C4107" t="inlineStr">
        <is>
          <t>S02</t>
        </is>
      </c>
      <c r="D4107" t="inlineStr">
        <is>
          <t>P202</t>
        </is>
      </c>
      <c r="E4107" t="n">
        <v>4</v>
      </c>
      <c r="F4107" t="n">
        <v>79</v>
      </c>
      <c r="G4107" t="n">
        <v>0.2</v>
      </c>
      <c r="H4107">
        <f>E4107*F4107*(1-G4107)</f>
        <v/>
      </c>
      <c r="I4107">
        <f>XLOOKUP(D4107,Products!$A$2:$A$15,Products!$B$2:$B$15,"Not found")</f>
        <v/>
      </c>
    </row>
    <row r="4108">
      <c r="A4108" t="n">
        <v>108427</v>
      </c>
      <c r="B4108" s="1" t="n">
        <v>45999</v>
      </c>
      <c r="C4108" t="inlineStr">
        <is>
          <t>S02</t>
        </is>
      </c>
      <c r="D4108" t="inlineStr">
        <is>
          <t>P301</t>
        </is>
      </c>
      <c r="E4108" t="n">
        <v>1</v>
      </c>
      <c r="F4108" t="n">
        <v>119</v>
      </c>
      <c r="G4108" t="n">
        <v>0</v>
      </c>
      <c r="H4108">
        <f>E4108*F4108*(1-G4108)</f>
        <v/>
      </c>
      <c r="I4108">
        <f>XLOOKUP(D4108,Products!$A$2:$A$15,Products!$B$2:$B$15,"Not found")</f>
        <v/>
      </c>
    </row>
    <row r="4109">
      <c r="A4109" t="n">
        <v>108428</v>
      </c>
      <c r="B4109" s="1" t="n">
        <v>45999</v>
      </c>
      <c r="C4109" t="inlineStr">
        <is>
          <t>S02</t>
        </is>
      </c>
      <c r="D4109" t="inlineStr">
        <is>
          <t>P301</t>
        </is>
      </c>
      <c r="E4109" t="n">
        <v>1</v>
      </c>
      <c r="F4109" t="n">
        <v>119</v>
      </c>
      <c r="G4109" t="n">
        <v>0.15</v>
      </c>
      <c r="H4109">
        <f>E4109*F4109*(1-G4109)</f>
        <v/>
      </c>
      <c r="I4109">
        <f>XLOOKUP(D4109,Products!$A$2:$A$15,Products!$B$2:$B$15,"Not found")</f>
        <v/>
      </c>
    </row>
    <row r="4110">
      <c r="A4110" t="n">
        <v>108429</v>
      </c>
      <c r="B4110" s="1" t="n">
        <v>45999</v>
      </c>
      <c r="C4110" t="inlineStr">
        <is>
          <t>S03</t>
        </is>
      </c>
      <c r="D4110" t="inlineStr">
        <is>
          <t>P203</t>
        </is>
      </c>
      <c r="E4110" t="n">
        <v>4</v>
      </c>
      <c r="F4110" t="n">
        <v>19.5</v>
      </c>
      <c r="G4110" t="n">
        <v>0.1</v>
      </c>
      <c r="H4110">
        <f>E4110*F4110*(1-G4110)</f>
        <v/>
      </c>
      <c r="I4110">
        <f>XLOOKUP(D4110,Products!$A$2:$A$15,Products!$B$2:$B$15,"Not found")</f>
        <v/>
      </c>
    </row>
    <row r="4111">
      <c r="A4111" t="n">
        <v>108430</v>
      </c>
      <c r="B4111" s="1" t="n">
        <v>45999</v>
      </c>
      <c r="C4111" t="inlineStr">
        <is>
          <t>S03</t>
        </is>
      </c>
      <c r="D4111" t="inlineStr">
        <is>
          <t>P203</t>
        </is>
      </c>
      <c r="E4111" t="n">
        <v>1</v>
      </c>
      <c r="F4111" t="n">
        <v>19.5</v>
      </c>
      <c r="G4111" t="n">
        <v>0.2</v>
      </c>
      <c r="H4111">
        <f>E4111*F4111*(1-G4111)</f>
        <v/>
      </c>
      <c r="I4111">
        <f>XLOOKUP(D4111,Products!$A$2:$A$15,Products!$B$2:$B$15,"Not found")</f>
        <v/>
      </c>
    </row>
    <row r="4112">
      <c r="A4112" t="n">
        <v>108431</v>
      </c>
      <c r="B4112" s="1" t="n">
        <v>45999</v>
      </c>
      <c r="C4112" t="inlineStr">
        <is>
          <t>S03</t>
        </is>
      </c>
      <c r="D4112" t="inlineStr">
        <is>
          <t>P303</t>
        </is>
      </c>
      <c r="E4112" t="n">
        <v>1</v>
      </c>
      <c r="F4112" t="n">
        <v>12</v>
      </c>
      <c r="G4112" t="n">
        <v>0</v>
      </c>
      <c r="H4112">
        <f>E4112*F4112*(1-G4112)</f>
        <v/>
      </c>
      <c r="I4112">
        <f>XLOOKUP(D4112,Products!$A$2:$A$15,Products!$B$2:$B$15,"Not found")</f>
        <v/>
      </c>
    </row>
    <row r="4113">
      <c r="A4113" t="n">
        <v>108432</v>
      </c>
      <c r="B4113" s="1" t="n">
        <v>45999</v>
      </c>
      <c r="C4113" t="inlineStr">
        <is>
          <t>S03</t>
        </is>
      </c>
      <c r="D4113" t="inlineStr">
        <is>
          <t>P302</t>
        </is>
      </c>
      <c r="E4113" t="n">
        <v>1</v>
      </c>
      <c r="F4113" t="n">
        <v>24</v>
      </c>
      <c r="G4113" t="n">
        <v>0.2</v>
      </c>
      <c r="H4113">
        <f>E4113*F4113*(1-G4113)</f>
        <v/>
      </c>
      <c r="I4113">
        <f>XLOOKUP(D4113,Products!$A$2:$A$15,Products!$B$2:$B$15,"Not found")</f>
        <v/>
      </c>
    </row>
    <row r="4114">
      <c r="A4114" t="n">
        <v>108433</v>
      </c>
      <c r="B4114" s="1" t="n">
        <v>45999</v>
      </c>
      <c r="C4114" t="inlineStr">
        <is>
          <t>S04</t>
        </is>
      </c>
      <c r="D4114" t="inlineStr">
        <is>
          <t>P104</t>
        </is>
      </c>
      <c r="E4114" t="n">
        <v>1</v>
      </c>
      <c r="F4114" t="n">
        <v>189</v>
      </c>
      <c r="G4114" t="n">
        <v>0.2</v>
      </c>
      <c r="H4114">
        <f>E4114*F4114*(1-G4114)</f>
        <v/>
      </c>
      <c r="I4114">
        <f>XLOOKUP(D4114,Products!$A$2:$A$15,Products!$B$2:$B$15,"Not found")</f>
        <v/>
      </c>
    </row>
    <row r="4115">
      <c r="A4115" t="n">
        <v>108434</v>
      </c>
      <c r="B4115" s="1" t="n">
        <v>45999</v>
      </c>
      <c r="C4115" t="inlineStr">
        <is>
          <t>S04</t>
        </is>
      </c>
      <c r="D4115" t="inlineStr">
        <is>
          <t>P102</t>
        </is>
      </c>
      <c r="E4115" t="n">
        <v>2</v>
      </c>
      <c r="F4115" t="n">
        <v>14.5</v>
      </c>
      <c r="G4115" t="n">
        <v>0.15</v>
      </c>
      <c r="H4115">
        <f>E4115*F4115*(1-G4115)</f>
        <v/>
      </c>
      <c r="I4115">
        <f>XLOOKUP(D4115,Products!$A$2:$A$15,Products!$B$2:$B$15,"Not found")</f>
        <v/>
      </c>
    </row>
    <row r="4116">
      <c r="A4116" t="n">
        <v>108435</v>
      </c>
      <c r="B4116" s="1" t="n">
        <v>45999</v>
      </c>
      <c r="C4116" t="inlineStr">
        <is>
          <t>S04</t>
        </is>
      </c>
      <c r="D4116" t="inlineStr">
        <is>
          <t>P201</t>
        </is>
      </c>
      <c r="E4116" t="n">
        <v>1</v>
      </c>
      <c r="F4116" t="n">
        <v>149</v>
      </c>
      <c r="G4116" t="n">
        <v>0</v>
      </c>
      <c r="H4116">
        <f>E4116*F4116*(1-G4116)</f>
        <v/>
      </c>
      <c r="I4116">
        <f>XLOOKUP(D4116,Products!$A$2:$A$15,Products!$B$2:$B$15,"Not found")</f>
        <v/>
      </c>
    </row>
    <row r="4117">
      <c r="A4117" t="n">
        <v>108436</v>
      </c>
      <c r="B4117" s="1" t="n">
        <v>45999</v>
      </c>
      <c r="C4117" t="inlineStr">
        <is>
          <t>S04</t>
        </is>
      </c>
      <c r="D4117" t="inlineStr">
        <is>
          <t>P101</t>
        </is>
      </c>
      <c r="E4117" t="n">
        <v>1</v>
      </c>
      <c r="F4117" t="n">
        <v>39</v>
      </c>
      <c r="G4117" t="n">
        <v>0.15</v>
      </c>
      <c r="H4117">
        <f>E4117*F4117*(1-G4117)</f>
        <v/>
      </c>
      <c r="I4117">
        <f>XLOOKUP(D4117,Products!$A$2:$A$15,Products!$B$2:$B$15,"Not found")</f>
        <v/>
      </c>
    </row>
    <row r="4118">
      <c r="A4118" t="n">
        <v>108437</v>
      </c>
      <c r="B4118" s="1" t="n">
        <v>45999</v>
      </c>
      <c r="C4118" t="inlineStr">
        <is>
          <t>S05</t>
        </is>
      </c>
      <c r="D4118" t="inlineStr">
        <is>
          <t>P103</t>
        </is>
      </c>
      <c r="E4118" t="n">
        <v>1</v>
      </c>
      <c r="F4118" t="n">
        <v>29</v>
      </c>
      <c r="G4118" t="n">
        <v>0.1</v>
      </c>
      <c r="H4118">
        <f>E4118*F4118*(1-G4118)</f>
        <v/>
      </c>
      <c r="I4118">
        <f>XLOOKUP(D4118,Products!$A$2:$A$15,Products!$B$2:$B$15,"Not found")</f>
        <v/>
      </c>
    </row>
    <row r="4119">
      <c r="A4119" t="n">
        <v>108438</v>
      </c>
      <c r="B4119" s="1" t="n">
        <v>45999</v>
      </c>
      <c r="C4119" t="inlineStr">
        <is>
          <t>S05</t>
        </is>
      </c>
      <c r="D4119" t="inlineStr">
        <is>
          <t>P201</t>
        </is>
      </c>
      <c r="E4119" t="n">
        <v>1</v>
      </c>
      <c r="F4119" t="n">
        <v>149</v>
      </c>
      <c r="G4119" t="n">
        <v>0.15</v>
      </c>
      <c r="H4119">
        <f>E4119*F4119*(1-G4119)</f>
        <v/>
      </c>
      <c r="I4119">
        <f>XLOOKUP(D4119,Products!$A$2:$A$15,Products!$B$2:$B$15,"Not found")</f>
        <v/>
      </c>
    </row>
    <row r="4120">
      <c r="A4120" t="n">
        <v>108439</v>
      </c>
      <c r="B4120" s="1" t="n">
        <v>45999</v>
      </c>
      <c r="C4120" t="inlineStr">
        <is>
          <t>S05</t>
        </is>
      </c>
      <c r="D4120" t="inlineStr">
        <is>
          <t>P102</t>
        </is>
      </c>
      <c r="E4120" t="n">
        <v>1</v>
      </c>
      <c r="F4120" t="n">
        <v>14.5</v>
      </c>
      <c r="G4120" t="n">
        <v>0</v>
      </c>
      <c r="H4120">
        <f>E4120*F4120*(1-G4120)</f>
        <v/>
      </c>
      <c r="I4120">
        <f>XLOOKUP(D4120,Products!$A$2:$A$15,Products!$B$2:$B$15,"Not found")</f>
        <v/>
      </c>
    </row>
    <row r="4121">
      <c r="A4121" t="n">
        <v>108440</v>
      </c>
      <c r="B4121" s="1" t="n">
        <v>45999</v>
      </c>
      <c r="C4121" t="inlineStr">
        <is>
          <t>S05</t>
        </is>
      </c>
      <c r="D4121" t="inlineStr">
        <is>
          <t>P202</t>
        </is>
      </c>
      <c r="E4121" t="n">
        <v>3</v>
      </c>
      <c r="F4121" t="n">
        <v>79</v>
      </c>
      <c r="G4121" t="n">
        <v>0</v>
      </c>
      <c r="H4121">
        <f>E4121*F4121*(1-G4121)</f>
        <v/>
      </c>
      <c r="I4121">
        <f>XLOOKUP(D4121,Products!$A$2:$A$15,Products!$B$2:$B$15,"Not found")</f>
        <v/>
      </c>
    </row>
    <row r="4122">
      <c r="A4122" t="n">
        <v>108441</v>
      </c>
      <c r="B4122" s="1" t="n">
        <v>45999</v>
      </c>
      <c r="C4122" t="inlineStr">
        <is>
          <t>S05</t>
        </is>
      </c>
      <c r="D4122" t="inlineStr">
        <is>
          <t>P103</t>
        </is>
      </c>
      <c r="E4122" t="n">
        <v>1</v>
      </c>
      <c r="F4122" t="n">
        <v>29</v>
      </c>
      <c r="G4122" t="n">
        <v>0</v>
      </c>
      <c r="H4122">
        <f>E4122*F4122*(1-G4122)</f>
        <v/>
      </c>
      <c r="I4122">
        <f>XLOOKUP(D4122,Products!$A$2:$A$15,Products!$B$2:$B$15,"Not found")</f>
        <v/>
      </c>
    </row>
    <row r="4123">
      <c r="A4123" t="n">
        <v>108442</v>
      </c>
      <c r="B4123" s="1" t="n">
        <v>45999</v>
      </c>
      <c r="C4123" t="inlineStr">
        <is>
          <t>S06</t>
        </is>
      </c>
      <c r="D4123" t="inlineStr">
        <is>
          <t>P102</t>
        </is>
      </c>
      <c r="E4123" t="n">
        <v>2</v>
      </c>
      <c r="F4123" t="n">
        <v>14.5</v>
      </c>
      <c r="G4123" t="n">
        <v>0</v>
      </c>
      <c r="H4123">
        <f>E4123*F4123*(1-G4123)</f>
        <v/>
      </c>
      <c r="I4123">
        <f>XLOOKUP(D4123,Products!$A$2:$A$15,Products!$B$2:$B$15,"Not found")</f>
        <v/>
      </c>
    </row>
    <row r="4124">
      <c r="A4124" t="n">
        <v>108443</v>
      </c>
      <c r="B4124" s="1" t="n">
        <v>45999</v>
      </c>
      <c r="C4124" t="inlineStr">
        <is>
          <t>S06</t>
        </is>
      </c>
      <c r="D4124" t="inlineStr">
        <is>
          <t>P102</t>
        </is>
      </c>
      <c r="E4124" t="n">
        <v>1</v>
      </c>
      <c r="F4124" t="n">
        <v>14.5</v>
      </c>
      <c r="G4124" t="n">
        <v>0</v>
      </c>
      <c r="H4124">
        <f>E4124*F4124*(1-G4124)</f>
        <v/>
      </c>
      <c r="I4124">
        <f>XLOOKUP(D4124,Products!$A$2:$A$15,Products!$B$2:$B$15,"Not found")</f>
        <v/>
      </c>
    </row>
    <row r="4125">
      <c r="A4125" t="n">
        <v>108444</v>
      </c>
      <c r="B4125" s="1" t="n">
        <v>45999</v>
      </c>
      <c r="C4125" t="inlineStr">
        <is>
          <t>S06</t>
        </is>
      </c>
      <c r="D4125" t="inlineStr">
        <is>
          <t>P101</t>
        </is>
      </c>
      <c r="E4125" t="n">
        <v>2</v>
      </c>
      <c r="F4125" t="n">
        <v>39</v>
      </c>
      <c r="G4125" t="n">
        <v>0</v>
      </c>
      <c r="H4125">
        <f>E4125*F4125*(1-G4125)</f>
        <v/>
      </c>
      <c r="I4125">
        <f>XLOOKUP(D4125,Products!$A$2:$A$15,Products!$B$2:$B$15,"Not found")</f>
        <v/>
      </c>
    </row>
    <row r="4126">
      <c r="A4126" t="n">
        <v>108445</v>
      </c>
      <c r="B4126" s="1" t="n">
        <v>46000</v>
      </c>
      <c r="C4126" t="inlineStr">
        <is>
          <t>S01</t>
        </is>
      </c>
      <c r="D4126" t="inlineStr">
        <is>
          <t>P104</t>
        </is>
      </c>
      <c r="E4126" t="n">
        <v>1</v>
      </c>
      <c r="F4126" t="n">
        <v>189</v>
      </c>
      <c r="G4126" t="n">
        <v>0</v>
      </c>
      <c r="H4126">
        <f>E4126*F4126*(1-G4126)</f>
        <v/>
      </c>
      <c r="I4126">
        <f>XLOOKUP(D4126,Products!$A$2:$A$15,Products!$B$2:$B$15,"Not found")</f>
        <v/>
      </c>
    </row>
    <row r="4127">
      <c r="A4127" t="n">
        <v>108446</v>
      </c>
      <c r="B4127" s="1" t="n">
        <v>46000</v>
      </c>
      <c r="C4127" t="inlineStr">
        <is>
          <t>S01</t>
        </is>
      </c>
      <c r="D4127" t="inlineStr">
        <is>
          <t>P101</t>
        </is>
      </c>
      <c r="E4127" t="n">
        <v>1</v>
      </c>
      <c r="F4127" t="n">
        <v>39</v>
      </c>
      <c r="G4127" t="n">
        <v>0</v>
      </c>
      <c r="H4127">
        <f>E4127*F4127*(1-G4127)</f>
        <v/>
      </c>
      <c r="I4127">
        <f>XLOOKUP(D4127,Products!$A$2:$A$15,Products!$B$2:$B$15,"Not found")</f>
        <v/>
      </c>
    </row>
    <row r="4128">
      <c r="A4128" t="n">
        <v>108447</v>
      </c>
      <c r="B4128" s="1" t="n">
        <v>46000</v>
      </c>
      <c r="C4128" t="inlineStr">
        <is>
          <t>S01</t>
        </is>
      </c>
      <c r="D4128" t="inlineStr">
        <is>
          <t>P302</t>
        </is>
      </c>
      <c r="E4128" t="n">
        <v>1</v>
      </c>
      <c r="F4128" t="n">
        <v>24</v>
      </c>
      <c r="G4128" t="n">
        <v>0</v>
      </c>
      <c r="H4128">
        <f>E4128*F4128*(1-G4128)</f>
        <v/>
      </c>
      <c r="I4128">
        <f>XLOOKUP(D4128,Products!$A$2:$A$15,Products!$B$2:$B$15,"Not found")</f>
        <v/>
      </c>
    </row>
    <row r="4129">
      <c r="A4129" t="n">
        <v>108448</v>
      </c>
      <c r="B4129" s="1" t="n">
        <v>46000</v>
      </c>
      <c r="C4129" t="inlineStr">
        <is>
          <t>S01</t>
        </is>
      </c>
      <c r="D4129" t="inlineStr">
        <is>
          <t>P201</t>
        </is>
      </c>
      <c r="E4129" t="n">
        <v>1</v>
      </c>
      <c r="F4129" t="n">
        <v>149</v>
      </c>
      <c r="G4129" t="n">
        <v>0.15</v>
      </c>
      <c r="H4129">
        <f>E4129*F4129*(1-G4129)</f>
        <v/>
      </c>
      <c r="I4129">
        <f>XLOOKUP(D4129,Products!$A$2:$A$15,Products!$B$2:$B$15,"Not found")</f>
        <v/>
      </c>
    </row>
    <row r="4130">
      <c r="A4130" t="n">
        <v>108449</v>
      </c>
      <c r="B4130" s="1" t="n">
        <v>46000</v>
      </c>
      <c r="C4130" t="inlineStr">
        <is>
          <t>S02</t>
        </is>
      </c>
      <c r="D4130" t="inlineStr">
        <is>
          <t>P203</t>
        </is>
      </c>
      <c r="E4130" t="n">
        <v>1</v>
      </c>
      <c r="F4130" t="n">
        <v>19.5</v>
      </c>
      <c r="G4130" t="n">
        <v>0</v>
      </c>
      <c r="H4130">
        <f>E4130*F4130*(1-G4130)</f>
        <v/>
      </c>
      <c r="I4130">
        <f>XLOOKUP(D4130,Products!$A$2:$A$15,Products!$B$2:$B$15,"Not found")</f>
        <v/>
      </c>
    </row>
    <row r="4131">
      <c r="A4131" t="n">
        <v>108450</v>
      </c>
      <c r="B4131" s="1" t="n">
        <v>46000</v>
      </c>
      <c r="C4131" t="inlineStr">
        <is>
          <t>S02</t>
        </is>
      </c>
      <c r="D4131" t="inlineStr">
        <is>
          <t>P303</t>
        </is>
      </c>
      <c r="E4131" t="n">
        <v>2</v>
      </c>
      <c r="F4131" t="n">
        <v>12</v>
      </c>
      <c r="G4131" t="n">
        <v>0</v>
      </c>
      <c r="H4131">
        <f>E4131*F4131*(1-G4131)</f>
        <v/>
      </c>
      <c r="I4131">
        <f>XLOOKUP(D4131,Products!$A$2:$A$15,Products!$B$2:$B$15,"Not found")</f>
        <v/>
      </c>
    </row>
    <row r="4132">
      <c r="A4132" t="n">
        <v>108451</v>
      </c>
      <c r="B4132" s="1" t="n">
        <v>46000</v>
      </c>
      <c r="C4132" t="inlineStr">
        <is>
          <t>S02</t>
        </is>
      </c>
      <c r="D4132" t="inlineStr">
        <is>
          <t>P203</t>
        </is>
      </c>
      <c r="E4132" t="n">
        <v>1</v>
      </c>
      <c r="F4132" t="n">
        <v>19.5</v>
      </c>
      <c r="G4132" t="n">
        <v>0</v>
      </c>
      <c r="H4132">
        <f>E4132*F4132*(1-G4132)</f>
        <v/>
      </c>
      <c r="I4132">
        <f>XLOOKUP(D4132,Products!$A$2:$A$15,Products!$B$2:$B$15,"Not found")</f>
        <v/>
      </c>
    </row>
    <row r="4133">
      <c r="A4133" t="n">
        <v>108452</v>
      </c>
      <c r="B4133" s="1" t="n">
        <v>46000</v>
      </c>
      <c r="C4133" t="inlineStr">
        <is>
          <t>S02</t>
        </is>
      </c>
      <c r="D4133" t="inlineStr">
        <is>
          <t>P202</t>
        </is>
      </c>
      <c r="E4133" t="n">
        <v>3</v>
      </c>
      <c r="F4133" t="n">
        <v>79</v>
      </c>
      <c r="G4133" t="n">
        <v>0.2</v>
      </c>
      <c r="H4133">
        <f>E4133*F4133*(1-G4133)</f>
        <v/>
      </c>
      <c r="I4133">
        <f>XLOOKUP(D4133,Products!$A$2:$A$15,Products!$B$2:$B$15,"Not found")</f>
        <v/>
      </c>
    </row>
    <row r="4134">
      <c r="A4134" t="n">
        <v>108453</v>
      </c>
      <c r="B4134" s="1" t="n">
        <v>46000</v>
      </c>
      <c r="C4134" t="inlineStr">
        <is>
          <t>S03</t>
        </is>
      </c>
      <c r="D4134" t="inlineStr">
        <is>
          <t>P102</t>
        </is>
      </c>
      <c r="E4134" t="n">
        <v>1</v>
      </c>
      <c r="F4134" t="n">
        <v>14.5</v>
      </c>
      <c r="G4134" t="n">
        <v>0</v>
      </c>
      <c r="H4134">
        <f>E4134*F4134*(1-G4134)</f>
        <v/>
      </c>
      <c r="I4134">
        <f>XLOOKUP(D4134,Products!$A$2:$A$15,Products!$B$2:$B$15,"Not found")</f>
        <v/>
      </c>
    </row>
    <row r="4135">
      <c r="A4135" t="n">
        <v>108454</v>
      </c>
      <c r="B4135" s="1" t="n">
        <v>46000</v>
      </c>
      <c r="C4135" t="inlineStr">
        <is>
          <t>S03</t>
        </is>
      </c>
      <c r="D4135" t="inlineStr">
        <is>
          <t>P302</t>
        </is>
      </c>
      <c r="E4135" t="n">
        <v>1</v>
      </c>
      <c r="F4135" t="n">
        <v>24</v>
      </c>
      <c r="G4135" t="n">
        <v>0.2</v>
      </c>
      <c r="H4135">
        <f>E4135*F4135*(1-G4135)</f>
        <v/>
      </c>
      <c r="I4135">
        <f>XLOOKUP(D4135,Products!$A$2:$A$15,Products!$B$2:$B$15,"Not found")</f>
        <v/>
      </c>
    </row>
    <row r="4136">
      <c r="A4136" t="n">
        <v>108455</v>
      </c>
      <c r="B4136" s="1" t="n">
        <v>46000</v>
      </c>
      <c r="C4136" t="inlineStr">
        <is>
          <t>S03</t>
        </is>
      </c>
      <c r="D4136" t="inlineStr">
        <is>
          <t>P203</t>
        </is>
      </c>
      <c r="E4136" t="n">
        <v>4</v>
      </c>
      <c r="F4136" t="n">
        <v>19.5</v>
      </c>
      <c r="G4136" t="n">
        <v>0</v>
      </c>
      <c r="H4136">
        <f>E4136*F4136*(1-G4136)</f>
        <v/>
      </c>
      <c r="I4136">
        <f>XLOOKUP(D4136,Products!$A$2:$A$15,Products!$B$2:$B$15,"Not found")</f>
        <v/>
      </c>
    </row>
    <row r="4137">
      <c r="A4137" t="n">
        <v>108456</v>
      </c>
      <c r="B4137" s="1" t="n">
        <v>46000</v>
      </c>
      <c r="C4137" t="inlineStr">
        <is>
          <t>S03</t>
        </is>
      </c>
      <c r="D4137" t="inlineStr">
        <is>
          <t>P302</t>
        </is>
      </c>
      <c r="E4137" t="n">
        <v>2</v>
      </c>
      <c r="F4137" t="n">
        <v>24</v>
      </c>
      <c r="G4137" t="n">
        <v>0</v>
      </c>
      <c r="H4137">
        <f>E4137*F4137*(1-G4137)</f>
        <v/>
      </c>
      <c r="I4137">
        <f>XLOOKUP(D4137,Products!$A$2:$A$15,Products!$B$2:$B$15,"Not found")</f>
        <v/>
      </c>
    </row>
    <row r="4138">
      <c r="A4138" t="n">
        <v>108457</v>
      </c>
      <c r="B4138" s="1" t="n">
        <v>46000</v>
      </c>
      <c r="C4138" t="inlineStr">
        <is>
          <t>S03</t>
        </is>
      </c>
      <c r="D4138" t="inlineStr">
        <is>
          <t>P101</t>
        </is>
      </c>
      <c r="E4138" t="n">
        <v>4</v>
      </c>
      <c r="F4138" t="n">
        <v>39</v>
      </c>
      <c r="G4138" t="n">
        <v>0</v>
      </c>
      <c r="H4138">
        <f>E4138*F4138*(1-G4138)</f>
        <v/>
      </c>
      <c r="I4138">
        <f>XLOOKUP(D4138,Products!$A$2:$A$15,Products!$B$2:$B$15,"Not found")</f>
        <v/>
      </c>
    </row>
    <row r="4139">
      <c r="A4139" t="n">
        <v>108458</v>
      </c>
      <c r="B4139" s="1" t="n">
        <v>46000</v>
      </c>
      <c r="C4139" t="inlineStr">
        <is>
          <t>S03</t>
        </is>
      </c>
      <c r="D4139" t="inlineStr">
        <is>
          <t>P102</t>
        </is>
      </c>
      <c r="E4139" t="n">
        <v>1</v>
      </c>
      <c r="F4139" t="n">
        <v>14.5</v>
      </c>
      <c r="G4139" t="n">
        <v>0.1</v>
      </c>
      <c r="H4139">
        <f>E4139*F4139*(1-G4139)</f>
        <v/>
      </c>
      <c r="I4139">
        <f>XLOOKUP(D4139,Products!$A$2:$A$15,Products!$B$2:$B$15,"Not found")</f>
        <v/>
      </c>
    </row>
    <row r="4140">
      <c r="A4140" t="n">
        <v>108459</v>
      </c>
      <c r="B4140" s="1" t="n">
        <v>46000</v>
      </c>
      <c r="C4140" t="inlineStr">
        <is>
          <t>S04</t>
        </is>
      </c>
      <c r="D4140" t="inlineStr">
        <is>
          <t>P302</t>
        </is>
      </c>
      <c r="E4140" t="n">
        <v>2</v>
      </c>
      <c r="F4140" t="n">
        <v>24</v>
      </c>
      <c r="G4140" t="n">
        <v>0</v>
      </c>
      <c r="H4140">
        <f>E4140*F4140*(1-G4140)</f>
        <v/>
      </c>
      <c r="I4140">
        <f>XLOOKUP(D4140,Products!$A$2:$A$15,Products!$B$2:$B$15,"Not found")</f>
        <v/>
      </c>
    </row>
    <row r="4141">
      <c r="A4141" t="n">
        <v>108460</v>
      </c>
      <c r="B4141" s="1" t="n">
        <v>46000</v>
      </c>
      <c r="C4141" t="inlineStr">
        <is>
          <t>S04</t>
        </is>
      </c>
      <c r="D4141" t="inlineStr">
        <is>
          <t>P202</t>
        </is>
      </c>
      <c r="E4141" t="n">
        <v>4</v>
      </c>
      <c r="F4141" t="n">
        <v>79</v>
      </c>
      <c r="G4141" t="n">
        <v>0</v>
      </c>
      <c r="H4141">
        <f>E4141*F4141*(1-G4141)</f>
        <v/>
      </c>
      <c r="I4141">
        <f>XLOOKUP(D4141,Products!$A$2:$A$15,Products!$B$2:$B$15,"Not found")</f>
        <v/>
      </c>
    </row>
    <row r="4142">
      <c r="A4142" t="n">
        <v>108461</v>
      </c>
      <c r="B4142" s="1" t="n">
        <v>46000</v>
      </c>
      <c r="C4142" t="inlineStr">
        <is>
          <t>S04</t>
        </is>
      </c>
      <c r="D4142" t="inlineStr">
        <is>
          <t>P201</t>
        </is>
      </c>
      <c r="E4142" t="n">
        <v>1</v>
      </c>
      <c r="F4142" t="n">
        <v>149</v>
      </c>
      <c r="G4142" t="n">
        <v>0</v>
      </c>
      <c r="H4142">
        <f>E4142*F4142*(1-G4142)</f>
        <v/>
      </c>
      <c r="I4142">
        <f>XLOOKUP(D4142,Products!$A$2:$A$15,Products!$B$2:$B$15,"Not found")</f>
        <v/>
      </c>
    </row>
    <row r="4143">
      <c r="A4143" t="n">
        <v>108462</v>
      </c>
      <c r="B4143" s="1" t="n">
        <v>46000</v>
      </c>
      <c r="C4143" t="inlineStr">
        <is>
          <t>S04</t>
        </is>
      </c>
      <c r="D4143" t="inlineStr">
        <is>
          <t>P302</t>
        </is>
      </c>
      <c r="E4143" t="n">
        <v>3</v>
      </c>
      <c r="F4143" t="n">
        <v>24</v>
      </c>
      <c r="G4143" t="n">
        <v>0.1</v>
      </c>
      <c r="H4143">
        <f>E4143*F4143*(1-G4143)</f>
        <v/>
      </c>
      <c r="I4143">
        <f>XLOOKUP(D4143,Products!$A$2:$A$15,Products!$B$2:$B$15,"Not found")</f>
        <v/>
      </c>
    </row>
    <row r="4144">
      <c r="A4144" t="n">
        <v>108463</v>
      </c>
      <c r="B4144" s="1" t="n">
        <v>46000</v>
      </c>
      <c r="C4144" t="inlineStr">
        <is>
          <t>S04</t>
        </is>
      </c>
      <c r="D4144" t="inlineStr">
        <is>
          <t>P102</t>
        </is>
      </c>
      <c r="E4144" t="n">
        <v>1</v>
      </c>
      <c r="F4144" t="n">
        <v>14.5</v>
      </c>
      <c r="G4144" t="n">
        <v>0</v>
      </c>
      <c r="H4144">
        <f>E4144*F4144*(1-G4144)</f>
        <v/>
      </c>
      <c r="I4144">
        <f>XLOOKUP(D4144,Products!$A$2:$A$15,Products!$B$2:$B$15,"Not found")</f>
        <v/>
      </c>
    </row>
    <row r="4145">
      <c r="A4145" t="n">
        <v>108464</v>
      </c>
      <c r="B4145" s="1" t="n">
        <v>46000</v>
      </c>
      <c r="C4145" t="inlineStr">
        <is>
          <t>S05</t>
        </is>
      </c>
      <c r="D4145" t="inlineStr">
        <is>
          <t>P102</t>
        </is>
      </c>
      <c r="E4145" t="n">
        <v>1</v>
      </c>
      <c r="F4145" t="n">
        <v>14.5</v>
      </c>
      <c r="G4145" t="n">
        <v>0</v>
      </c>
      <c r="H4145">
        <f>E4145*F4145*(1-G4145)</f>
        <v/>
      </c>
      <c r="I4145">
        <f>XLOOKUP(D4145,Products!$A$2:$A$15,Products!$B$2:$B$15,"Not found")</f>
        <v/>
      </c>
    </row>
    <row r="4146">
      <c r="A4146" t="n">
        <v>108465</v>
      </c>
      <c r="B4146" s="1" t="n">
        <v>46000</v>
      </c>
      <c r="C4146" t="inlineStr">
        <is>
          <t>S05</t>
        </is>
      </c>
      <c r="D4146" t="inlineStr">
        <is>
          <t>P101</t>
        </is>
      </c>
      <c r="E4146" t="n">
        <v>1</v>
      </c>
      <c r="F4146" t="n">
        <v>39</v>
      </c>
      <c r="G4146" t="n">
        <v>0.1</v>
      </c>
      <c r="H4146">
        <f>E4146*F4146*(1-G4146)</f>
        <v/>
      </c>
      <c r="I4146">
        <f>XLOOKUP(D4146,Products!$A$2:$A$15,Products!$B$2:$B$15,"Not found")</f>
        <v/>
      </c>
    </row>
    <row r="4147">
      <c r="A4147" t="n">
        <v>108466</v>
      </c>
      <c r="B4147" s="1" t="n">
        <v>46000</v>
      </c>
      <c r="C4147" t="inlineStr">
        <is>
          <t>S06</t>
        </is>
      </c>
      <c r="D4147" t="inlineStr">
        <is>
          <t>P101</t>
        </is>
      </c>
      <c r="E4147" t="n">
        <v>4</v>
      </c>
      <c r="F4147" t="n">
        <v>39</v>
      </c>
      <c r="G4147" t="n">
        <v>0.1</v>
      </c>
      <c r="H4147">
        <f>E4147*F4147*(1-G4147)</f>
        <v/>
      </c>
      <c r="I4147">
        <f>XLOOKUP(D4147,Products!$A$2:$A$15,Products!$B$2:$B$15,"Not found")</f>
        <v/>
      </c>
    </row>
    <row r="4148">
      <c r="A4148" t="n">
        <v>108467</v>
      </c>
      <c r="B4148" s="1" t="n">
        <v>46001</v>
      </c>
      <c r="C4148" t="inlineStr">
        <is>
          <t>S01</t>
        </is>
      </c>
      <c r="D4148" t="inlineStr">
        <is>
          <t>P102</t>
        </is>
      </c>
      <c r="E4148" t="n">
        <v>3</v>
      </c>
      <c r="F4148" t="n">
        <v>14.5</v>
      </c>
      <c r="G4148" t="n">
        <v>0.2</v>
      </c>
      <c r="H4148">
        <f>E4148*F4148*(1-G4148)</f>
        <v/>
      </c>
      <c r="I4148">
        <f>XLOOKUP(D4148,Products!$A$2:$A$15,Products!$B$2:$B$15,"Not found")</f>
        <v/>
      </c>
    </row>
    <row r="4149">
      <c r="A4149" t="n">
        <v>108468</v>
      </c>
      <c r="B4149" s="1" t="n">
        <v>46001</v>
      </c>
      <c r="C4149" t="inlineStr">
        <is>
          <t>S02</t>
        </is>
      </c>
      <c r="D4149" t="inlineStr">
        <is>
          <t>P303</t>
        </is>
      </c>
      <c r="E4149" t="n">
        <v>3</v>
      </c>
      <c r="F4149" t="n">
        <v>12</v>
      </c>
      <c r="G4149" t="n">
        <v>0.15</v>
      </c>
      <c r="H4149">
        <f>E4149*F4149*(1-G4149)</f>
        <v/>
      </c>
      <c r="I4149">
        <f>XLOOKUP(D4149,Products!$A$2:$A$15,Products!$B$2:$B$15,"Not found")</f>
        <v/>
      </c>
    </row>
    <row r="4150">
      <c r="A4150" t="n">
        <v>108469</v>
      </c>
      <c r="B4150" s="1" t="n">
        <v>46001</v>
      </c>
      <c r="C4150" t="inlineStr">
        <is>
          <t>S02</t>
        </is>
      </c>
      <c r="D4150" t="inlineStr">
        <is>
          <t>P201</t>
        </is>
      </c>
      <c r="E4150" t="n">
        <v>1</v>
      </c>
      <c r="F4150" t="n">
        <v>149</v>
      </c>
      <c r="G4150" t="n">
        <v>0.1</v>
      </c>
      <c r="H4150">
        <f>E4150*F4150*(1-G4150)</f>
        <v/>
      </c>
      <c r="I4150">
        <f>XLOOKUP(D4150,Products!$A$2:$A$15,Products!$B$2:$B$15,"Not found")</f>
        <v/>
      </c>
    </row>
    <row r="4151">
      <c r="A4151" t="n">
        <v>108470</v>
      </c>
      <c r="B4151" s="1" t="n">
        <v>46001</v>
      </c>
      <c r="C4151" t="inlineStr">
        <is>
          <t>S03</t>
        </is>
      </c>
      <c r="D4151" t="inlineStr">
        <is>
          <t>P201</t>
        </is>
      </c>
      <c r="E4151" t="n">
        <v>1</v>
      </c>
      <c r="F4151" t="n">
        <v>149</v>
      </c>
      <c r="G4151" t="n">
        <v>0</v>
      </c>
      <c r="H4151">
        <f>E4151*F4151*(1-G4151)</f>
        <v/>
      </c>
      <c r="I4151">
        <f>XLOOKUP(D4151,Products!$A$2:$A$15,Products!$B$2:$B$15,"Not found")</f>
        <v/>
      </c>
    </row>
    <row r="4152">
      <c r="A4152" t="n">
        <v>108471</v>
      </c>
      <c r="B4152" s="1" t="n">
        <v>46001</v>
      </c>
      <c r="C4152" t="inlineStr">
        <is>
          <t>S03</t>
        </is>
      </c>
      <c r="D4152" t="inlineStr">
        <is>
          <t>P101</t>
        </is>
      </c>
      <c r="E4152" t="n">
        <v>3</v>
      </c>
      <c r="F4152" t="n">
        <v>39</v>
      </c>
      <c r="G4152" t="n">
        <v>0</v>
      </c>
      <c r="H4152">
        <f>E4152*F4152*(1-G4152)</f>
        <v/>
      </c>
      <c r="I4152">
        <f>XLOOKUP(D4152,Products!$A$2:$A$15,Products!$B$2:$B$15,"Not found")</f>
        <v/>
      </c>
    </row>
    <row r="4153">
      <c r="A4153" t="n">
        <v>108472</v>
      </c>
      <c r="B4153" s="1" t="n">
        <v>46001</v>
      </c>
      <c r="C4153" t="inlineStr">
        <is>
          <t>S03</t>
        </is>
      </c>
      <c r="D4153" t="inlineStr">
        <is>
          <t>P101</t>
        </is>
      </c>
      <c r="E4153" t="n">
        <v>2</v>
      </c>
      <c r="F4153" t="n">
        <v>39</v>
      </c>
      <c r="G4153" t="n">
        <v>0.2</v>
      </c>
      <c r="H4153">
        <f>E4153*F4153*(1-G4153)</f>
        <v/>
      </c>
      <c r="I4153">
        <f>XLOOKUP(D4153,Products!$A$2:$A$15,Products!$B$2:$B$15,"Not found")</f>
        <v/>
      </c>
    </row>
    <row r="4154">
      <c r="A4154" t="n">
        <v>108473</v>
      </c>
      <c r="B4154" s="1" t="n">
        <v>46001</v>
      </c>
      <c r="C4154" t="inlineStr">
        <is>
          <t>S04</t>
        </is>
      </c>
      <c r="D4154" t="inlineStr">
        <is>
          <t>P302</t>
        </is>
      </c>
      <c r="E4154" t="n">
        <v>2</v>
      </c>
      <c r="F4154" t="n">
        <v>24</v>
      </c>
      <c r="G4154" t="n">
        <v>0.15</v>
      </c>
      <c r="H4154">
        <f>E4154*F4154*(1-G4154)</f>
        <v/>
      </c>
      <c r="I4154">
        <f>XLOOKUP(D4154,Products!$A$2:$A$15,Products!$B$2:$B$15,"Not found")</f>
        <v/>
      </c>
    </row>
    <row r="4155">
      <c r="A4155" t="n">
        <v>108474</v>
      </c>
      <c r="B4155" s="1" t="n">
        <v>46001</v>
      </c>
      <c r="C4155" t="inlineStr">
        <is>
          <t>S04</t>
        </is>
      </c>
      <c r="D4155" t="inlineStr">
        <is>
          <t>P203</t>
        </is>
      </c>
      <c r="E4155" t="n">
        <v>3</v>
      </c>
      <c r="F4155" t="n">
        <v>19.5</v>
      </c>
      <c r="G4155" t="n">
        <v>0</v>
      </c>
      <c r="H4155">
        <f>E4155*F4155*(1-G4155)</f>
        <v/>
      </c>
      <c r="I4155">
        <f>XLOOKUP(D4155,Products!$A$2:$A$15,Products!$B$2:$B$15,"Not found")</f>
        <v/>
      </c>
    </row>
    <row r="4156">
      <c r="A4156" t="n">
        <v>108475</v>
      </c>
      <c r="B4156" s="1" t="n">
        <v>46001</v>
      </c>
      <c r="C4156" t="inlineStr">
        <is>
          <t>S04</t>
        </is>
      </c>
      <c r="D4156" t="inlineStr">
        <is>
          <t>P203</t>
        </is>
      </c>
      <c r="E4156" t="n">
        <v>2</v>
      </c>
      <c r="F4156" t="n">
        <v>19.5</v>
      </c>
      <c r="G4156" t="n">
        <v>0.2</v>
      </c>
      <c r="H4156">
        <f>E4156*F4156*(1-G4156)</f>
        <v/>
      </c>
      <c r="I4156">
        <f>XLOOKUP(D4156,Products!$A$2:$A$15,Products!$B$2:$B$15,"Not found")</f>
        <v/>
      </c>
    </row>
    <row r="4157">
      <c r="A4157" t="n">
        <v>108476</v>
      </c>
      <c r="B4157" s="1" t="n">
        <v>46001</v>
      </c>
      <c r="C4157" t="inlineStr">
        <is>
          <t>S04</t>
        </is>
      </c>
      <c r="D4157" t="inlineStr">
        <is>
          <t>P203</t>
        </is>
      </c>
      <c r="E4157" t="n">
        <v>2</v>
      </c>
      <c r="F4157" t="n">
        <v>19.5</v>
      </c>
      <c r="G4157" t="n">
        <v>0</v>
      </c>
      <c r="H4157">
        <f>E4157*F4157*(1-G4157)</f>
        <v/>
      </c>
      <c r="I4157">
        <f>XLOOKUP(D4157,Products!$A$2:$A$15,Products!$B$2:$B$15,"Not found")</f>
        <v/>
      </c>
    </row>
    <row r="4158">
      <c r="A4158" t="n">
        <v>108477</v>
      </c>
      <c r="B4158" s="1" t="n">
        <v>46001</v>
      </c>
      <c r="C4158" t="inlineStr">
        <is>
          <t>S05</t>
        </is>
      </c>
      <c r="D4158" t="inlineStr">
        <is>
          <t>P203</t>
        </is>
      </c>
      <c r="E4158" t="n">
        <v>1</v>
      </c>
      <c r="F4158" t="n">
        <v>19.5</v>
      </c>
      <c r="G4158" t="n">
        <v>0</v>
      </c>
      <c r="H4158">
        <f>E4158*F4158*(1-G4158)</f>
        <v/>
      </c>
      <c r="I4158">
        <f>XLOOKUP(D4158,Products!$A$2:$A$15,Products!$B$2:$B$15,"Not found")</f>
        <v/>
      </c>
    </row>
    <row r="4159">
      <c r="A4159" t="n">
        <v>108478</v>
      </c>
      <c r="B4159" s="1" t="n">
        <v>46001</v>
      </c>
      <c r="C4159" t="inlineStr">
        <is>
          <t>S05</t>
        </is>
      </c>
      <c r="D4159" t="inlineStr">
        <is>
          <t>P101</t>
        </is>
      </c>
      <c r="E4159" t="n">
        <v>1</v>
      </c>
      <c r="F4159" t="n">
        <v>39</v>
      </c>
      <c r="G4159" t="n">
        <v>0</v>
      </c>
      <c r="H4159">
        <f>E4159*F4159*(1-G4159)</f>
        <v/>
      </c>
      <c r="I4159">
        <f>XLOOKUP(D4159,Products!$A$2:$A$15,Products!$B$2:$B$15,"Not found")</f>
        <v/>
      </c>
    </row>
    <row r="4160">
      <c r="A4160" t="n">
        <v>108479</v>
      </c>
      <c r="B4160" s="1" t="n">
        <v>46001</v>
      </c>
      <c r="C4160" t="inlineStr">
        <is>
          <t>S05</t>
        </is>
      </c>
      <c r="D4160" t="inlineStr">
        <is>
          <t>P102</t>
        </is>
      </c>
      <c r="E4160" t="n">
        <v>2</v>
      </c>
      <c r="F4160" t="n">
        <v>14.5</v>
      </c>
      <c r="G4160" t="n">
        <v>0.2</v>
      </c>
      <c r="H4160">
        <f>E4160*F4160*(1-G4160)</f>
        <v/>
      </c>
      <c r="I4160">
        <f>XLOOKUP(D4160,Products!$A$2:$A$15,Products!$B$2:$B$15,"Not found")</f>
        <v/>
      </c>
    </row>
    <row r="4161">
      <c r="A4161" t="n">
        <v>108480</v>
      </c>
      <c r="B4161" s="1" t="n">
        <v>46001</v>
      </c>
      <c r="C4161" t="inlineStr">
        <is>
          <t>S05</t>
        </is>
      </c>
      <c r="D4161" t="inlineStr">
        <is>
          <t>P303</t>
        </is>
      </c>
      <c r="E4161" t="n">
        <v>1</v>
      </c>
      <c r="F4161" t="n">
        <v>12</v>
      </c>
      <c r="G4161" t="n">
        <v>0.2</v>
      </c>
      <c r="H4161">
        <f>E4161*F4161*(1-G4161)</f>
        <v/>
      </c>
      <c r="I4161">
        <f>XLOOKUP(D4161,Products!$A$2:$A$15,Products!$B$2:$B$15,"Not found")</f>
        <v/>
      </c>
    </row>
    <row r="4162">
      <c r="A4162" t="n">
        <v>108481</v>
      </c>
      <c r="B4162" s="1" t="n">
        <v>46001</v>
      </c>
      <c r="C4162" t="inlineStr">
        <is>
          <t>S06</t>
        </is>
      </c>
      <c r="D4162" t="inlineStr">
        <is>
          <t>P203</t>
        </is>
      </c>
      <c r="E4162" t="n">
        <v>1</v>
      </c>
      <c r="F4162" t="n">
        <v>19.5</v>
      </c>
      <c r="G4162" t="n">
        <v>0</v>
      </c>
      <c r="H4162">
        <f>E4162*F4162*(1-G4162)</f>
        <v/>
      </c>
      <c r="I4162">
        <f>XLOOKUP(D4162,Products!$A$2:$A$15,Products!$B$2:$B$15,"Not found")</f>
        <v/>
      </c>
    </row>
    <row r="4163">
      <c r="A4163" t="n">
        <v>108482</v>
      </c>
      <c r="B4163" s="1" t="n">
        <v>46001</v>
      </c>
      <c r="C4163" t="inlineStr">
        <is>
          <t>S06</t>
        </is>
      </c>
      <c r="D4163" t="inlineStr">
        <is>
          <t>P301</t>
        </is>
      </c>
      <c r="E4163" t="n">
        <v>1</v>
      </c>
      <c r="F4163" t="n">
        <v>119</v>
      </c>
      <c r="G4163" t="n">
        <v>0.15</v>
      </c>
      <c r="H4163">
        <f>E4163*F4163*(1-G4163)</f>
        <v/>
      </c>
      <c r="I4163">
        <f>XLOOKUP(D4163,Products!$A$2:$A$15,Products!$B$2:$B$15,"Not found")</f>
        <v/>
      </c>
    </row>
    <row r="4164">
      <c r="A4164" t="n">
        <v>108483</v>
      </c>
      <c r="B4164" s="1" t="n">
        <v>46001</v>
      </c>
      <c r="C4164" t="inlineStr">
        <is>
          <t>S06</t>
        </is>
      </c>
      <c r="D4164" t="inlineStr">
        <is>
          <t>P101</t>
        </is>
      </c>
      <c r="E4164" t="n">
        <v>3</v>
      </c>
      <c r="F4164" t="n">
        <v>39</v>
      </c>
      <c r="G4164" t="n">
        <v>0</v>
      </c>
      <c r="H4164">
        <f>E4164*F4164*(1-G4164)</f>
        <v/>
      </c>
      <c r="I4164">
        <f>XLOOKUP(D4164,Products!$A$2:$A$15,Products!$B$2:$B$15,"Not found")</f>
        <v/>
      </c>
    </row>
    <row r="4165">
      <c r="A4165" t="n">
        <v>108484</v>
      </c>
      <c r="B4165" s="1" t="n">
        <v>46002</v>
      </c>
      <c r="C4165" t="inlineStr">
        <is>
          <t>S02</t>
        </is>
      </c>
      <c r="D4165" t="inlineStr">
        <is>
          <t>P301</t>
        </is>
      </c>
      <c r="E4165" t="n">
        <v>1</v>
      </c>
      <c r="F4165" t="n">
        <v>119</v>
      </c>
      <c r="G4165" t="n">
        <v>0</v>
      </c>
      <c r="H4165">
        <f>E4165*F4165*(1-G4165)</f>
        <v/>
      </c>
      <c r="I4165">
        <f>XLOOKUP(D4165,Products!$A$2:$A$15,Products!$B$2:$B$15,"Not found")</f>
        <v/>
      </c>
    </row>
    <row r="4166">
      <c r="A4166" t="n">
        <v>108485</v>
      </c>
      <c r="B4166" s="1" t="n">
        <v>46002</v>
      </c>
      <c r="C4166" t="inlineStr">
        <is>
          <t>S02</t>
        </is>
      </c>
      <c r="D4166" t="inlineStr">
        <is>
          <t>P201</t>
        </is>
      </c>
      <c r="E4166" t="n">
        <v>1</v>
      </c>
      <c r="F4166" t="n">
        <v>149</v>
      </c>
      <c r="G4166" t="n">
        <v>0</v>
      </c>
      <c r="H4166">
        <f>E4166*F4166*(1-G4166)</f>
        <v/>
      </c>
      <c r="I4166">
        <f>XLOOKUP(D4166,Products!$A$2:$A$15,Products!$B$2:$B$15,"Not found")</f>
        <v/>
      </c>
    </row>
    <row r="4167">
      <c r="A4167" t="n">
        <v>108486</v>
      </c>
      <c r="B4167" s="1" t="n">
        <v>46002</v>
      </c>
      <c r="C4167" t="inlineStr">
        <is>
          <t>S03</t>
        </is>
      </c>
      <c r="D4167" t="inlineStr">
        <is>
          <t>P303</t>
        </is>
      </c>
      <c r="E4167" t="n">
        <v>1</v>
      </c>
      <c r="F4167" t="n">
        <v>12</v>
      </c>
      <c r="G4167" t="n">
        <v>0</v>
      </c>
      <c r="H4167">
        <f>E4167*F4167*(1-G4167)</f>
        <v/>
      </c>
      <c r="I4167">
        <f>XLOOKUP(D4167,Products!$A$2:$A$15,Products!$B$2:$B$15,"Not found")</f>
        <v/>
      </c>
    </row>
    <row r="4168">
      <c r="A4168" t="n">
        <v>108487</v>
      </c>
      <c r="B4168" s="1" t="n">
        <v>46002</v>
      </c>
      <c r="C4168" t="inlineStr">
        <is>
          <t>S03</t>
        </is>
      </c>
      <c r="D4168" t="inlineStr">
        <is>
          <t>P102</t>
        </is>
      </c>
      <c r="E4168" t="n">
        <v>3</v>
      </c>
      <c r="F4168" t="n">
        <v>14.5</v>
      </c>
      <c r="G4168" t="n">
        <v>0.1</v>
      </c>
      <c r="H4168">
        <f>E4168*F4168*(1-G4168)</f>
        <v/>
      </c>
      <c r="I4168">
        <f>XLOOKUP(D4168,Products!$A$2:$A$15,Products!$B$2:$B$15,"Not found")</f>
        <v/>
      </c>
    </row>
    <row r="4169">
      <c r="A4169" t="n">
        <v>108488</v>
      </c>
      <c r="B4169" s="1" t="n">
        <v>46002</v>
      </c>
      <c r="C4169" t="inlineStr">
        <is>
          <t>S03</t>
        </is>
      </c>
      <c r="D4169" t="inlineStr">
        <is>
          <t>P101</t>
        </is>
      </c>
      <c r="E4169" t="n">
        <v>1</v>
      </c>
      <c r="F4169" t="n">
        <v>39</v>
      </c>
      <c r="G4169" t="n">
        <v>0</v>
      </c>
      <c r="H4169">
        <f>E4169*F4169*(1-G4169)</f>
        <v/>
      </c>
      <c r="I4169">
        <f>XLOOKUP(D4169,Products!$A$2:$A$15,Products!$B$2:$B$15,"Not found")</f>
        <v/>
      </c>
    </row>
    <row r="4170">
      <c r="A4170" t="n">
        <v>108489</v>
      </c>
      <c r="B4170" s="1" t="n">
        <v>46002</v>
      </c>
      <c r="C4170" t="inlineStr">
        <is>
          <t>S03</t>
        </is>
      </c>
      <c r="D4170" t="inlineStr">
        <is>
          <t>P203</t>
        </is>
      </c>
      <c r="E4170" t="n">
        <v>4</v>
      </c>
      <c r="F4170" t="n">
        <v>19.5</v>
      </c>
      <c r="G4170" t="n">
        <v>0.1</v>
      </c>
      <c r="H4170">
        <f>E4170*F4170*(1-G4170)</f>
        <v/>
      </c>
      <c r="I4170">
        <f>XLOOKUP(D4170,Products!$A$2:$A$15,Products!$B$2:$B$15,"Not found")</f>
        <v/>
      </c>
    </row>
    <row r="4171">
      <c r="A4171" t="n">
        <v>108490</v>
      </c>
      <c r="B4171" s="1" t="n">
        <v>46002</v>
      </c>
      <c r="C4171" t="inlineStr">
        <is>
          <t>S03</t>
        </is>
      </c>
      <c r="D4171" t="inlineStr">
        <is>
          <t>P204</t>
        </is>
      </c>
      <c r="E4171" t="n">
        <v>1</v>
      </c>
      <c r="F4171" t="n">
        <v>229</v>
      </c>
      <c r="G4171" t="n">
        <v>0.15</v>
      </c>
      <c r="H4171">
        <f>E4171*F4171*(1-G4171)</f>
        <v/>
      </c>
      <c r="I4171">
        <f>XLOOKUP(D4171,Products!$A$2:$A$15,Products!$B$2:$B$15,"Not found")</f>
        <v/>
      </c>
    </row>
    <row r="4172">
      <c r="A4172" t="n">
        <v>108491</v>
      </c>
      <c r="B4172" s="1" t="n">
        <v>46002</v>
      </c>
      <c r="C4172" t="inlineStr">
        <is>
          <t>S04</t>
        </is>
      </c>
      <c r="D4172" t="inlineStr">
        <is>
          <t>P301</t>
        </is>
      </c>
      <c r="E4172" t="n">
        <v>1</v>
      </c>
      <c r="F4172" t="n">
        <v>119</v>
      </c>
      <c r="G4172" t="n">
        <v>0.1</v>
      </c>
      <c r="H4172">
        <f>E4172*F4172*(1-G4172)</f>
        <v/>
      </c>
      <c r="I4172">
        <f>XLOOKUP(D4172,Products!$A$2:$A$15,Products!$B$2:$B$15,"Not found")</f>
        <v/>
      </c>
    </row>
    <row r="4173">
      <c r="A4173" t="n">
        <v>108492</v>
      </c>
      <c r="B4173" s="1" t="n">
        <v>46002</v>
      </c>
      <c r="C4173" t="inlineStr">
        <is>
          <t>S04</t>
        </is>
      </c>
      <c r="D4173" t="inlineStr">
        <is>
          <t>P102</t>
        </is>
      </c>
      <c r="E4173" t="n">
        <v>2</v>
      </c>
      <c r="F4173" t="n">
        <v>14.5</v>
      </c>
      <c r="G4173" t="n">
        <v>0</v>
      </c>
      <c r="H4173">
        <f>E4173*F4173*(1-G4173)</f>
        <v/>
      </c>
      <c r="I4173">
        <f>XLOOKUP(D4173,Products!$A$2:$A$15,Products!$B$2:$B$15,"Not found")</f>
        <v/>
      </c>
    </row>
    <row r="4174">
      <c r="A4174" t="n">
        <v>108493</v>
      </c>
      <c r="B4174" s="1" t="n">
        <v>46002</v>
      </c>
      <c r="C4174" t="inlineStr">
        <is>
          <t>S04</t>
        </is>
      </c>
      <c r="D4174" t="inlineStr">
        <is>
          <t>P301</t>
        </is>
      </c>
      <c r="E4174" t="n">
        <v>1</v>
      </c>
      <c r="F4174" t="n">
        <v>119</v>
      </c>
      <c r="G4174" t="n">
        <v>0</v>
      </c>
      <c r="H4174">
        <f>E4174*F4174*(1-G4174)</f>
        <v/>
      </c>
      <c r="I4174">
        <f>XLOOKUP(D4174,Products!$A$2:$A$15,Products!$B$2:$B$15,"Not found")</f>
        <v/>
      </c>
    </row>
    <row r="4175">
      <c r="A4175" t="n">
        <v>108494</v>
      </c>
      <c r="B4175" s="1" t="n">
        <v>46002</v>
      </c>
      <c r="C4175" t="inlineStr">
        <is>
          <t>S05</t>
        </is>
      </c>
      <c r="D4175" t="inlineStr">
        <is>
          <t>P202</t>
        </is>
      </c>
      <c r="E4175" t="n">
        <v>3</v>
      </c>
      <c r="F4175" t="n">
        <v>79</v>
      </c>
      <c r="G4175" t="n">
        <v>0.2</v>
      </c>
      <c r="H4175">
        <f>E4175*F4175*(1-G4175)</f>
        <v/>
      </c>
      <c r="I4175">
        <f>XLOOKUP(D4175,Products!$A$2:$A$15,Products!$B$2:$B$15,"Not found")</f>
        <v/>
      </c>
    </row>
    <row r="4176">
      <c r="A4176" t="n">
        <v>108495</v>
      </c>
      <c r="B4176" s="1" t="n">
        <v>46002</v>
      </c>
      <c r="C4176" t="inlineStr">
        <is>
          <t>S05</t>
        </is>
      </c>
      <c r="D4176" t="inlineStr">
        <is>
          <t>P301</t>
        </is>
      </c>
      <c r="E4176" t="n">
        <v>1</v>
      </c>
      <c r="F4176" t="n">
        <v>119</v>
      </c>
      <c r="G4176" t="n">
        <v>0</v>
      </c>
      <c r="H4176">
        <f>E4176*F4176*(1-G4176)</f>
        <v/>
      </c>
      <c r="I4176">
        <f>XLOOKUP(D4176,Products!$A$2:$A$15,Products!$B$2:$B$15,"Not found")</f>
        <v/>
      </c>
    </row>
    <row r="4177">
      <c r="A4177" t="n">
        <v>108496</v>
      </c>
      <c r="B4177" s="1" t="n">
        <v>46002</v>
      </c>
      <c r="C4177" t="inlineStr">
        <is>
          <t>S05</t>
        </is>
      </c>
      <c r="D4177" t="inlineStr">
        <is>
          <t>P302</t>
        </is>
      </c>
      <c r="E4177" t="n">
        <v>1</v>
      </c>
      <c r="F4177" t="n">
        <v>24</v>
      </c>
      <c r="G4177" t="n">
        <v>0.1</v>
      </c>
      <c r="H4177">
        <f>E4177*F4177*(1-G4177)</f>
        <v/>
      </c>
      <c r="I4177">
        <f>XLOOKUP(D4177,Products!$A$2:$A$15,Products!$B$2:$B$15,"Not found")</f>
        <v/>
      </c>
    </row>
    <row r="4178">
      <c r="A4178" t="n">
        <v>108497</v>
      </c>
      <c r="B4178" s="1" t="n">
        <v>46002</v>
      </c>
      <c r="C4178" t="inlineStr">
        <is>
          <t>S06</t>
        </is>
      </c>
      <c r="D4178" t="inlineStr">
        <is>
          <t>P102</t>
        </is>
      </c>
      <c r="E4178" t="n">
        <v>2</v>
      </c>
      <c r="F4178" t="n">
        <v>14.5</v>
      </c>
      <c r="G4178" t="n">
        <v>0.15</v>
      </c>
      <c r="H4178">
        <f>E4178*F4178*(1-G4178)</f>
        <v/>
      </c>
      <c r="I4178">
        <f>XLOOKUP(D4178,Products!$A$2:$A$15,Products!$B$2:$B$15,"Not found")</f>
        <v/>
      </c>
    </row>
    <row r="4179">
      <c r="A4179" t="n">
        <v>108498</v>
      </c>
      <c r="B4179" s="1" t="n">
        <v>46002</v>
      </c>
      <c r="C4179" t="inlineStr">
        <is>
          <t>S06</t>
        </is>
      </c>
      <c r="D4179" t="inlineStr">
        <is>
          <t>P303</t>
        </is>
      </c>
      <c r="E4179" t="n">
        <v>2</v>
      </c>
      <c r="F4179" t="n">
        <v>12</v>
      </c>
      <c r="G4179" t="n">
        <v>0.15</v>
      </c>
      <c r="H4179">
        <f>E4179*F4179*(1-G4179)</f>
        <v/>
      </c>
      <c r="I4179">
        <f>XLOOKUP(D4179,Products!$A$2:$A$15,Products!$B$2:$B$15,"Not found")</f>
        <v/>
      </c>
    </row>
    <row r="4180">
      <c r="A4180" t="n">
        <v>108499</v>
      </c>
      <c r="B4180" s="1" t="n">
        <v>46002</v>
      </c>
      <c r="C4180" t="inlineStr">
        <is>
          <t>S06</t>
        </is>
      </c>
      <c r="D4180" t="inlineStr">
        <is>
          <t>P102</t>
        </is>
      </c>
      <c r="E4180" t="n">
        <v>1</v>
      </c>
      <c r="F4180" t="n">
        <v>14.5</v>
      </c>
      <c r="G4180" t="n">
        <v>0.2</v>
      </c>
      <c r="H4180">
        <f>E4180*F4180*(1-G4180)</f>
        <v/>
      </c>
      <c r="I4180">
        <f>XLOOKUP(D4180,Products!$A$2:$A$15,Products!$B$2:$B$15,"Not found")</f>
        <v/>
      </c>
    </row>
    <row r="4181">
      <c r="A4181" t="n">
        <v>108500</v>
      </c>
      <c r="B4181" s="1" t="n">
        <v>46002</v>
      </c>
      <c r="C4181" t="inlineStr">
        <is>
          <t>S06</t>
        </is>
      </c>
      <c r="D4181" t="inlineStr">
        <is>
          <t>P303</t>
        </is>
      </c>
      <c r="E4181" t="n">
        <v>1</v>
      </c>
      <c r="F4181" t="n">
        <v>12</v>
      </c>
      <c r="G4181" t="n">
        <v>0</v>
      </c>
      <c r="H4181">
        <f>E4181*F4181*(1-G4181)</f>
        <v/>
      </c>
      <c r="I4181">
        <f>XLOOKUP(D4181,Products!$A$2:$A$15,Products!$B$2:$B$15,"Not found")</f>
        <v/>
      </c>
    </row>
    <row r="4182">
      <c r="A4182" t="n">
        <v>108501</v>
      </c>
      <c r="B4182" s="1" t="n">
        <v>46002</v>
      </c>
      <c r="C4182" t="inlineStr">
        <is>
          <t>S06</t>
        </is>
      </c>
      <c r="D4182" t="inlineStr">
        <is>
          <t>P301</t>
        </is>
      </c>
      <c r="E4182" t="n">
        <v>1</v>
      </c>
      <c r="F4182" t="n">
        <v>119</v>
      </c>
      <c r="G4182" t="n">
        <v>0.1</v>
      </c>
      <c r="H4182">
        <f>E4182*F4182*(1-G4182)</f>
        <v/>
      </c>
      <c r="I4182">
        <f>XLOOKUP(D4182,Products!$A$2:$A$15,Products!$B$2:$B$15,"Not found")</f>
        <v/>
      </c>
    </row>
    <row r="4183">
      <c r="A4183" t="n">
        <v>108502</v>
      </c>
      <c r="B4183" s="1" t="n">
        <v>46002</v>
      </c>
      <c r="C4183" t="inlineStr">
        <is>
          <t>S06</t>
        </is>
      </c>
      <c r="D4183" t="inlineStr">
        <is>
          <t>P303</t>
        </is>
      </c>
      <c r="E4183" t="n">
        <v>2</v>
      </c>
      <c r="F4183" t="n">
        <v>12</v>
      </c>
      <c r="G4183" t="n">
        <v>0</v>
      </c>
      <c r="H4183">
        <f>E4183*F4183*(1-G4183)</f>
        <v/>
      </c>
      <c r="I4183">
        <f>XLOOKUP(D4183,Products!$A$2:$A$15,Products!$B$2:$B$15,"Not found")</f>
        <v/>
      </c>
    </row>
    <row r="4184">
      <c r="A4184" t="n">
        <v>108503</v>
      </c>
      <c r="B4184" s="1" t="n">
        <v>46003</v>
      </c>
      <c r="C4184" t="inlineStr">
        <is>
          <t>S01</t>
        </is>
      </c>
      <c r="D4184" t="inlineStr">
        <is>
          <t>P303</t>
        </is>
      </c>
      <c r="E4184" t="n">
        <v>1</v>
      </c>
      <c r="F4184" t="n">
        <v>12</v>
      </c>
      <c r="G4184" t="n">
        <v>0</v>
      </c>
      <c r="H4184">
        <f>E4184*F4184*(1-G4184)</f>
        <v/>
      </c>
      <c r="I4184">
        <f>XLOOKUP(D4184,Products!$A$2:$A$15,Products!$B$2:$B$15,"Not found")</f>
        <v/>
      </c>
    </row>
    <row r="4185">
      <c r="A4185" t="n">
        <v>108504</v>
      </c>
      <c r="B4185" s="1" t="n">
        <v>46003</v>
      </c>
      <c r="C4185" t="inlineStr">
        <is>
          <t>S01</t>
        </is>
      </c>
      <c r="D4185" t="inlineStr">
        <is>
          <t>P103</t>
        </is>
      </c>
      <c r="E4185" t="n">
        <v>4</v>
      </c>
      <c r="F4185" t="n">
        <v>29</v>
      </c>
      <c r="G4185" t="n">
        <v>0.15</v>
      </c>
      <c r="H4185">
        <f>E4185*F4185*(1-G4185)</f>
        <v/>
      </c>
      <c r="I4185">
        <f>XLOOKUP(D4185,Products!$A$2:$A$15,Products!$B$2:$B$15,"Not found")</f>
        <v/>
      </c>
    </row>
    <row r="4186">
      <c r="A4186" t="n">
        <v>108505</v>
      </c>
      <c r="B4186" s="1" t="n">
        <v>46003</v>
      </c>
      <c r="C4186" t="inlineStr">
        <is>
          <t>S01</t>
        </is>
      </c>
      <c r="D4186" t="inlineStr">
        <is>
          <t>P103</t>
        </is>
      </c>
      <c r="E4186" t="n">
        <v>4</v>
      </c>
      <c r="F4186" t="n">
        <v>29</v>
      </c>
      <c r="G4186" t="n">
        <v>0</v>
      </c>
      <c r="H4186">
        <f>E4186*F4186*(1-G4186)</f>
        <v/>
      </c>
      <c r="I4186">
        <f>XLOOKUP(D4186,Products!$A$2:$A$15,Products!$B$2:$B$15,"Not found")</f>
        <v/>
      </c>
    </row>
    <row r="4187">
      <c r="A4187" t="n">
        <v>108506</v>
      </c>
      <c r="B4187" s="1" t="n">
        <v>46003</v>
      </c>
      <c r="C4187" t="inlineStr">
        <is>
          <t>S01</t>
        </is>
      </c>
      <c r="D4187" t="inlineStr">
        <is>
          <t>P303</t>
        </is>
      </c>
      <c r="E4187" t="n">
        <v>1</v>
      </c>
      <c r="F4187" t="n">
        <v>12</v>
      </c>
      <c r="G4187" t="n">
        <v>0.2</v>
      </c>
      <c r="H4187">
        <f>E4187*F4187*(1-G4187)</f>
        <v/>
      </c>
      <c r="I4187">
        <f>XLOOKUP(D4187,Products!$A$2:$A$15,Products!$B$2:$B$15,"Not found")</f>
        <v/>
      </c>
    </row>
    <row r="4188">
      <c r="A4188" t="n">
        <v>108507</v>
      </c>
      <c r="B4188" s="1" t="n">
        <v>46003</v>
      </c>
      <c r="C4188" t="inlineStr">
        <is>
          <t>S02</t>
        </is>
      </c>
      <c r="D4188" t="inlineStr">
        <is>
          <t>P102</t>
        </is>
      </c>
      <c r="E4188" t="n">
        <v>2</v>
      </c>
      <c r="F4188" t="n">
        <v>14.5</v>
      </c>
      <c r="G4188" t="n">
        <v>0</v>
      </c>
      <c r="H4188">
        <f>E4188*F4188*(1-G4188)</f>
        <v/>
      </c>
      <c r="I4188">
        <f>XLOOKUP(D4188,Products!$A$2:$A$15,Products!$B$2:$B$15,"Not found")</f>
        <v/>
      </c>
    </row>
    <row r="4189">
      <c r="A4189" t="n">
        <v>108508</v>
      </c>
      <c r="B4189" s="1" t="n">
        <v>46003</v>
      </c>
      <c r="C4189" t="inlineStr">
        <is>
          <t>S02</t>
        </is>
      </c>
      <c r="D4189" t="inlineStr">
        <is>
          <t>P102</t>
        </is>
      </c>
      <c r="E4189" t="n">
        <v>1</v>
      </c>
      <c r="F4189" t="n">
        <v>14.5</v>
      </c>
      <c r="G4189" t="n">
        <v>0.15</v>
      </c>
      <c r="H4189">
        <f>E4189*F4189*(1-G4189)</f>
        <v/>
      </c>
      <c r="I4189">
        <f>XLOOKUP(D4189,Products!$A$2:$A$15,Products!$B$2:$B$15,"Not found")</f>
        <v/>
      </c>
    </row>
    <row r="4190">
      <c r="A4190" t="n">
        <v>108509</v>
      </c>
      <c r="B4190" s="1" t="n">
        <v>46003</v>
      </c>
      <c r="C4190" t="inlineStr">
        <is>
          <t>S02</t>
        </is>
      </c>
      <c r="D4190" t="inlineStr">
        <is>
          <t>P204</t>
        </is>
      </c>
      <c r="E4190" t="n">
        <v>1</v>
      </c>
      <c r="F4190" t="n">
        <v>229</v>
      </c>
      <c r="G4190" t="n">
        <v>0</v>
      </c>
      <c r="H4190">
        <f>E4190*F4190*(1-G4190)</f>
        <v/>
      </c>
      <c r="I4190">
        <f>XLOOKUP(D4190,Products!$A$2:$A$15,Products!$B$2:$B$15,"Not found")</f>
        <v/>
      </c>
    </row>
    <row r="4191">
      <c r="A4191" t="n">
        <v>108510</v>
      </c>
      <c r="B4191" s="1" t="n">
        <v>46003</v>
      </c>
      <c r="C4191" t="inlineStr">
        <is>
          <t>S03</t>
        </is>
      </c>
      <c r="D4191" t="inlineStr">
        <is>
          <t>P401</t>
        </is>
      </c>
      <c r="E4191" t="n">
        <v>1</v>
      </c>
      <c r="F4191" t="n">
        <v>549</v>
      </c>
      <c r="G4191" t="n">
        <v>0.1</v>
      </c>
      <c r="H4191">
        <f>E4191*F4191*(1-G4191)</f>
        <v/>
      </c>
      <c r="I4191">
        <f>XLOOKUP(D4191,Products!$A$2:$A$15,Products!$B$2:$B$15,"Not found")</f>
        <v/>
      </c>
    </row>
    <row r="4192">
      <c r="A4192" t="n">
        <v>108511</v>
      </c>
      <c r="B4192" s="1" t="n">
        <v>46003</v>
      </c>
      <c r="C4192" t="inlineStr">
        <is>
          <t>S03</t>
        </is>
      </c>
      <c r="D4192" t="inlineStr">
        <is>
          <t>P203</t>
        </is>
      </c>
      <c r="E4192" t="n">
        <v>1</v>
      </c>
      <c r="F4192" t="n">
        <v>19.5</v>
      </c>
      <c r="G4192" t="n">
        <v>0</v>
      </c>
      <c r="H4192">
        <f>E4192*F4192*(1-G4192)</f>
        <v/>
      </c>
      <c r="I4192">
        <f>XLOOKUP(D4192,Products!$A$2:$A$15,Products!$B$2:$B$15,"Not found")</f>
        <v/>
      </c>
    </row>
    <row r="4193">
      <c r="A4193" t="n">
        <v>108512</v>
      </c>
      <c r="B4193" s="1" t="n">
        <v>46003</v>
      </c>
      <c r="C4193" t="inlineStr">
        <is>
          <t>S04</t>
        </is>
      </c>
      <c r="D4193" t="inlineStr">
        <is>
          <t>P202</t>
        </is>
      </c>
      <c r="E4193" t="n">
        <v>3</v>
      </c>
      <c r="F4193" t="n">
        <v>79</v>
      </c>
      <c r="G4193" t="n">
        <v>0</v>
      </c>
      <c r="H4193">
        <f>E4193*F4193*(1-G4193)</f>
        <v/>
      </c>
      <c r="I4193">
        <f>XLOOKUP(D4193,Products!$A$2:$A$15,Products!$B$2:$B$15,"Not found")</f>
        <v/>
      </c>
    </row>
    <row r="4194">
      <c r="A4194" t="n">
        <v>108513</v>
      </c>
      <c r="B4194" s="1" t="n">
        <v>46003</v>
      </c>
      <c r="C4194" t="inlineStr">
        <is>
          <t>S05</t>
        </is>
      </c>
      <c r="D4194" t="inlineStr">
        <is>
          <t>P303</t>
        </is>
      </c>
      <c r="E4194" t="n">
        <v>1</v>
      </c>
      <c r="F4194" t="n">
        <v>12</v>
      </c>
      <c r="G4194" t="n">
        <v>0</v>
      </c>
      <c r="H4194">
        <f>E4194*F4194*(1-G4194)</f>
        <v/>
      </c>
      <c r="I4194">
        <f>XLOOKUP(D4194,Products!$A$2:$A$15,Products!$B$2:$B$15,"Not found")</f>
        <v/>
      </c>
    </row>
    <row r="4195">
      <c r="A4195" t="n">
        <v>108514</v>
      </c>
      <c r="B4195" s="1" t="n">
        <v>46003</v>
      </c>
      <c r="C4195" t="inlineStr">
        <is>
          <t>S05</t>
        </is>
      </c>
      <c r="D4195" t="inlineStr">
        <is>
          <t>P403</t>
        </is>
      </c>
      <c r="E4195" t="n">
        <v>3</v>
      </c>
      <c r="F4195" t="n">
        <v>89</v>
      </c>
      <c r="G4195" t="n">
        <v>0</v>
      </c>
      <c r="H4195">
        <f>E4195*F4195*(1-G4195)</f>
        <v/>
      </c>
      <c r="I4195">
        <f>XLOOKUP(D4195,Products!$A$2:$A$15,Products!$B$2:$B$15,"Not found")</f>
        <v/>
      </c>
    </row>
    <row r="4196">
      <c r="A4196" t="n">
        <v>108515</v>
      </c>
      <c r="B4196" s="1" t="n">
        <v>46003</v>
      </c>
      <c r="C4196" t="inlineStr">
        <is>
          <t>S05</t>
        </is>
      </c>
      <c r="D4196" t="inlineStr">
        <is>
          <t>P202</t>
        </is>
      </c>
      <c r="E4196" t="n">
        <v>1</v>
      </c>
      <c r="F4196" t="n">
        <v>79</v>
      </c>
      <c r="G4196" t="n">
        <v>0</v>
      </c>
      <c r="H4196">
        <f>E4196*F4196*(1-G4196)</f>
        <v/>
      </c>
      <c r="I4196">
        <f>XLOOKUP(D4196,Products!$A$2:$A$15,Products!$B$2:$B$15,"Not found")</f>
        <v/>
      </c>
    </row>
    <row r="4197">
      <c r="A4197" t="n">
        <v>108516</v>
      </c>
      <c r="B4197" s="1" t="n">
        <v>46004</v>
      </c>
      <c r="C4197" t="inlineStr">
        <is>
          <t>S01</t>
        </is>
      </c>
      <c r="D4197" t="inlineStr">
        <is>
          <t>P203</t>
        </is>
      </c>
      <c r="E4197" t="n">
        <v>1</v>
      </c>
      <c r="F4197" t="n">
        <v>19.5</v>
      </c>
      <c r="G4197" t="n">
        <v>0</v>
      </c>
      <c r="H4197">
        <f>E4197*F4197*(1-G4197)</f>
        <v/>
      </c>
      <c r="I4197">
        <f>XLOOKUP(D4197,Products!$A$2:$A$15,Products!$B$2:$B$15,"Not found")</f>
        <v/>
      </c>
    </row>
    <row r="4198">
      <c r="A4198" t="n">
        <v>108517</v>
      </c>
      <c r="B4198" s="1" t="n">
        <v>46004</v>
      </c>
      <c r="C4198" t="inlineStr">
        <is>
          <t>S01</t>
        </is>
      </c>
      <c r="D4198" t="inlineStr">
        <is>
          <t>P203</t>
        </is>
      </c>
      <c r="E4198" t="n">
        <v>2</v>
      </c>
      <c r="F4198" t="n">
        <v>19.5</v>
      </c>
      <c r="G4198" t="n">
        <v>0</v>
      </c>
      <c r="H4198">
        <f>E4198*F4198*(1-G4198)</f>
        <v/>
      </c>
      <c r="I4198">
        <f>XLOOKUP(D4198,Products!$A$2:$A$15,Products!$B$2:$B$15,"Not found")</f>
        <v/>
      </c>
    </row>
    <row r="4199">
      <c r="A4199" t="n">
        <v>108518</v>
      </c>
      <c r="B4199" s="1" t="n">
        <v>46004</v>
      </c>
      <c r="C4199" t="inlineStr">
        <is>
          <t>S01</t>
        </is>
      </c>
      <c r="D4199" t="inlineStr">
        <is>
          <t>P204</t>
        </is>
      </c>
      <c r="E4199" t="n">
        <v>1</v>
      </c>
      <c r="F4199" t="n">
        <v>229</v>
      </c>
      <c r="G4199" t="n">
        <v>0.15</v>
      </c>
      <c r="H4199">
        <f>E4199*F4199*(1-G4199)</f>
        <v/>
      </c>
      <c r="I4199">
        <f>XLOOKUP(D4199,Products!$A$2:$A$15,Products!$B$2:$B$15,"Not found")</f>
        <v/>
      </c>
    </row>
    <row r="4200">
      <c r="A4200" t="n">
        <v>108519</v>
      </c>
      <c r="B4200" s="1" t="n">
        <v>46004</v>
      </c>
      <c r="C4200" t="inlineStr">
        <is>
          <t>S01</t>
        </is>
      </c>
      <c r="D4200" t="inlineStr">
        <is>
          <t>P104</t>
        </is>
      </c>
      <c r="E4200" t="n">
        <v>1</v>
      </c>
      <c r="F4200" t="n">
        <v>189</v>
      </c>
      <c r="G4200" t="n">
        <v>0.1</v>
      </c>
      <c r="H4200">
        <f>E4200*F4200*(1-G4200)</f>
        <v/>
      </c>
      <c r="I4200">
        <f>XLOOKUP(D4200,Products!$A$2:$A$15,Products!$B$2:$B$15,"Not found")</f>
        <v/>
      </c>
    </row>
    <row r="4201">
      <c r="A4201" t="n">
        <v>108520</v>
      </c>
      <c r="B4201" s="1" t="n">
        <v>46004</v>
      </c>
      <c r="C4201" t="inlineStr">
        <is>
          <t>S01</t>
        </is>
      </c>
      <c r="D4201" t="inlineStr">
        <is>
          <t>P102</t>
        </is>
      </c>
      <c r="E4201" t="n">
        <v>1</v>
      </c>
      <c r="F4201" t="n">
        <v>14.5</v>
      </c>
      <c r="G4201" t="n">
        <v>0</v>
      </c>
      <c r="H4201">
        <f>E4201*F4201*(1-G4201)</f>
        <v/>
      </c>
      <c r="I4201">
        <f>XLOOKUP(D4201,Products!$A$2:$A$15,Products!$B$2:$B$15,"Not found")</f>
        <v/>
      </c>
    </row>
    <row r="4202">
      <c r="A4202" t="n">
        <v>108521</v>
      </c>
      <c r="B4202" s="1" t="n">
        <v>46004</v>
      </c>
      <c r="C4202" t="inlineStr">
        <is>
          <t>S01</t>
        </is>
      </c>
      <c r="D4202" t="inlineStr">
        <is>
          <t>P203</t>
        </is>
      </c>
      <c r="E4202" t="n">
        <v>1</v>
      </c>
      <c r="F4202" t="n">
        <v>19.5</v>
      </c>
      <c r="G4202" t="n">
        <v>0.1</v>
      </c>
      <c r="H4202">
        <f>E4202*F4202*(1-G4202)</f>
        <v/>
      </c>
      <c r="I4202">
        <f>XLOOKUP(D4202,Products!$A$2:$A$15,Products!$B$2:$B$15,"Not found")</f>
        <v/>
      </c>
    </row>
    <row r="4203">
      <c r="A4203" t="n">
        <v>108522</v>
      </c>
      <c r="B4203" s="1" t="n">
        <v>46004</v>
      </c>
      <c r="C4203" t="inlineStr">
        <is>
          <t>S01</t>
        </is>
      </c>
      <c r="D4203" t="inlineStr">
        <is>
          <t>P102</t>
        </is>
      </c>
      <c r="E4203" t="n">
        <v>4</v>
      </c>
      <c r="F4203" t="n">
        <v>14.5</v>
      </c>
      <c r="G4203" t="n">
        <v>0.15</v>
      </c>
      <c r="H4203">
        <f>E4203*F4203*(1-G4203)</f>
        <v/>
      </c>
      <c r="I4203">
        <f>XLOOKUP(D4203,Products!$A$2:$A$15,Products!$B$2:$B$15,"Not found")</f>
        <v/>
      </c>
    </row>
    <row r="4204">
      <c r="A4204" t="n">
        <v>108523</v>
      </c>
      <c r="B4204" s="1" t="n">
        <v>46004</v>
      </c>
      <c r="C4204" t="inlineStr">
        <is>
          <t>S01</t>
        </is>
      </c>
      <c r="D4204" t="inlineStr">
        <is>
          <t>P201</t>
        </is>
      </c>
      <c r="E4204" t="n">
        <v>1</v>
      </c>
      <c r="F4204" t="n">
        <v>149</v>
      </c>
      <c r="G4204" t="n">
        <v>0.2</v>
      </c>
      <c r="H4204">
        <f>E4204*F4204*(1-G4204)</f>
        <v/>
      </c>
      <c r="I4204">
        <f>XLOOKUP(D4204,Products!$A$2:$A$15,Products!$B$2:$B$15,"Not found")</f>
        <v/>
      </c>
    </row>
    <row r="4205">
      <c r="A4205" t="n">
        <v>108524</v>
      </c>
      <c r="B4205" s="1" t="n">
        <v>46004</v>
      </c>
      <c r="C4205" t="inlineStr">
        <is>
          <t>S01</t>
        </is>
      </c>
      <c r="D4205" t="inlineStr">
        <is>
          <t>P103</t>
        </is>
      </c>
      <c r="E4205" t="n">
        <v>1</v>
      </c>
      <c r="F4205" t="n">
        <v>29</v>
      </c>
      <c r="G4205" t="n">
        <v>0</v>
      </c>
      <c r="H4205">
        <f>E4205*F4205*(1-G4205)</f>
        <v/>
      </c>
      <c r="I4205">
        <f>XLOOKUP(D4205,Products!$A$2:$A$15,Products!$B$2:$B$15,"Not found")</f>
        <v/>
      </c>
    </row>
    <row r="4206">
      <c r="A4206" t="n">
        <v>108525</v>
      </c>
      <c r="B4206" s="1" t="n">
        <v>46004</v>
      </c>
      <c r="C4206" t="inlineStr">
        <is>
          <t>S02</t>
        </is>
      </c>
      <c r="D4206" t="inlineStr">
        <is>
          <t>P201</t>
        </is>
      </c>
      <c r="E4206" t="n">
        <v>1</v>
      </c>
      <c r="F4206" t="n">
        <v>149</v>
      </c>
      <c r="G4206" t="n">
        <v>0.15</v>
      </c>
      <c r="H4206">
        <f>E4206*F4206*(1-G4206)</f>
        <v/>
      </c>
      <c r="I4206">
        <f>XLOOKUP(D4206,Products!$A$2:$A$15,Products!$B$2:$B$15,"Not found")</f>
        <v/>
      </c>
    </row>
    <row r="4207">
      <c r="A4207" t="n">
        <v>108526</v>
      </c>
      <c r="B4207" s="1" t="n">
        <v>46004</v>
      </c>
      <c r="C4207" t="inlineStr">
        <is>
          <t>S02</t>
        </is>
      </c>
      <c r="D4207" t="inlineStr">
        <is>
          <t>P102</t>
        </is>
      </c>
      <c r="E4207" t="n">
        <v>3</v>
      </c>
      <c r="F4207" t="n">
        <v>14.5</v>
      </c>
      <c r="G4207" t="n">
        <v>0</v>
      </c>
      <c r="H4207">
        <f>E4207*F4207*(1-G4207)</f>
        <v/>
      </c>
      <c r="I4207">
        <f>XLOOKUP(D4207,Products!$A$2:$A$15,Products!$B$2:$B$15,"Not found")</f>
        <v/>
      </c>
    </row>
    <row r="4208">
      <c r="A4208" t="n">
        <v>108527</v>
      </c>
      <c r="B4208" s="1" t="n">
        <v>46004</v>
      </c>
      <c r="C4208" t="inlineStr">
        <is>
          <t>S02</t>
        </is>
      </c>
      <c r="D4208" t="inlineStr">
        <is>
          <t>P103</t>
        </is>
      </c>
      <c r="E4208" t="n">
        <v>1</v>
      </c>
      <c r="F4208" t="n">
        <v>29</v>
      </c>
      <c r="G4208" t="n">
        <v>0</v>
      </c>
      <c r="H4208">
        <f>E4208*F4208*(1-G4208)</f>
        <v/>
      </c>
      <c r="I4208">
        <f>XLOOKUP(D4208,Products!$A$2:$A$15,Products!$B$2:$B$15,"Not found")</f>
        <v/>
      </c>
    </row>
    <row r="4209">
      <c r="A4209" t="n">
        <v>108528</v>
      </c>
      <c r="B4209" s="1" t="n">
        <v>46004</v>
      </c>
      <c r="C4209" t="inlineStr">
        <is>
          <t>S03</t>
        </is>
      </c>
      <c r="D4209" t="inlineStr">
        <is>
          <t>P301</t>
        </is>
      </c>
      <c r="E4209" t="n">
        <v>1</v>
      </c>
      <c r="F4209" t="n">
        <v>119</v>
      </c>
      <c r="G4209" t="n">
        <v>0</v>
      </c>
      <c r="H4209">
        <f>E4209*F4209*(1-G4209)</f>
        <v/>
      </c>
      <c r="I4209">
        <f>XLOOKUP(D4209,Products!$A$2:$A$15,Products!$B$2:$B$15,"Not found")</f>
        <v/>
      </c>
    </row>
    <row r="4210">
      <c r="A4210" t="n">
        <v>108529</v>
      </c>
      <c r="B4210" s="1" t="n">
        <v>46004</v>
      </c>
      <c r="C4210" t="inlineStr">
        <is>
          <t>S03</t>
        </is>
      </c>
      <c r="D4210" t="inlineStr">
        <is>
          <t>P101</t>
        </is>
      </c>
      <c r="E4210" t="n">
        <v>3</v>
      </c>
      <c r="F4210" t="n">
        <v>39</v>
      </c>
      <c r="G4210" t="n">
        <v>0.2</v>
      </c>
      <c r="H4210">
        <f>E4210*F4210*(1-G4210)</f>
        <v/>
      </c>
      <c r="I4210">
        <f>XLOOKUP(D4210,Products!$A$2:$A$15,Products!$B$2:$B$15,"Not found")</f>
        <v/>
      </c>
    </row>
    <row r="4211">
      <c r="A4211" t="n">
        <v>108530</v>
      </c>
      <c r="B4211" s="1" t="n">
        <v>46004</v>
      </c>
      <c r="C4211" t="inlineStr">
        <is>
          <t>S03</t>
        </is>
      </c>
      <c r="D4211" t="inlineStr">
        <is>
          <t>P202</t>
        </is>
      </c>
      <c r="E4211" t="n">
        <v>2</v>
      </c>
      <c r="F4211" t="n">
        <v>79</v>
      </c>
      <c r="G4211" t="n">
        <v>0</v>
      </c>
      <c r="H4211">
        <f>E4211*F4211*(1-G4211)</f>
        <v/>
      </c>
      <c r="I4211">
        <f>XLOOKUP(D4211,Products!$A$2:$A$15,Products!$B$2:$B$15,"Not found")</f>
        <v/>
      </c>
    </row>
    <row r="4212">
      <c r="A4212" t="n">
        <v>108531</v>
      </c>
      <c r="B4212" s="1" t="n">
        <v>46004</v>
      </c>
      <c r="C4212" t="inlineStr">
        <is>
          <t>S03</t>
        </is>
      </c>
      <c r="D4212" t="inlineStr">
        <is>
          <t>P303</t>
        </is>
      </c>
      <c r="E4212" t="n">
        <v>2</v>
      </c>
      <c r="F4212" t="n">
        <v>12</v>
      </c>
      <c r="G4212" t="n">
        <v>0.2</v>
      </c>
      <c r="H4212">
        <f>E4212*F4212*(1-G4212)</f>
        <v/>
      </c>
      <c r="I4212">
        <f>XLOOKUP(D4212,Products!$A$2:$A$15,Products!$B$2:$B$15,"Not found")</f>
        <v/>
      </c>
    </row>
    <row r="4213">
      <c r="A4213" t="n">
        <v>108532</v>
      </c>
      <c r="B4213" s="1" t="n">
        <v>46004</v>
      </c>
      <c r="C4213" t="inlineStr">
        <is>
          <t>S03</t>
        </is>
      </c>
      <c r="D4213" t="inlineStr">
        <is>
          <t>P303</t>
        </is>
      </c>
      <c r="E4213" t="n">
        <v>1</v>
      </c>
      <c r="F4213" t="n">
        <v>12</v>
      </c>
      <c r="G4213" t="n">
        <v>0</v>
      </c>
      <c r="H4213">
        <f>E4213*F4213*(1-G4213)</f>
        <v/>
      </c>
      <c r="I4213">
        <f>XLOOKUP(D4213,Products!$A$2:$A$15,Products!$B$2:$B$15,"Not found")</f>
        <v/>
      </c>
    </row>
    <row r="4214">
      <c r="A4214" t="n">
        <v>108533</v>
      </c>
      <c r="B4214" s="1" t="n">
        <v>46004</v>
      </c>
      <c r="C4214" t="inlineStr">
        <is>
          <t>S04</t>
        </is>
      </c>
      <c r="D4214" t="inlineStr">
        <is>
          <t>P204</t>
        </is>
      </c>
      <c r="E4214" t="n">
        <v>1</v>
      </c>
      <c r="F4214" t="n">
        <v>229</v>
      </c>
      <c r="G4214" t="n">
        <v>0</v>
      </c>
      <c r="H4214">
        <f>E4214*F4214*(1-G4214)</f>
        <v/>
      </c>
      <c r="I4214">
        <f>XLOOKUP(D4214,Products!$A$2:$A$15,Products!$B$2:$B$15,"Not found")</f>
        <v/>
      </c>
    </row>
    <row r="4215">
      <c r="A4215" t="n">
        <v>108534</v>
      </c>
      <c r="B4215" s="1" t="n">
        <v>46004</v>
      </c>
      <c r="C4215" t="inlineStr">
        <is>
          <t>S04</t>
        </is>
      </c>
      <c r="D4215" t="inlineStr">
        <is>
          <t>P303</t>
        </is>
      </c>
      <c r="E4215" t="n">
        <v>4</v>
      </c>
      <c r="F4215" t="n">
        <v>12</v>
      </c>
      <c r="G4215" t="n">
        <v>0.15</v>
      </c>
      <c r="H4215">
        <f>E4215*F4215*(1-G4215)</f>
        <v/>
      </c>
      <c r="I4215">
        <f>XLOOKUP(D4215,Products!$A$2:$A$15,Products!$B$2:$B$15,"Not found")</f>
        <v/>
      </c>
    </row>
    <row r="4216">
      <c r="A4216" t="n">
        <v>108535</v>
      </c>
      <c r="B4216" s="1" t="n">
        <v>46004</v>
      </c>
      <c r="C4216" t="inlineStr">
        <is>
          <t>S04</t>
        </is>
      </c>
      <c r="D4216" t="inlineStr">
        <is>
          <t>P301</t>
        </is>
      </c>
      <c r="E4216" t="n">
        <v>1</v>
      </c>
      <c r="F4216" t="n">
        <v>119</v>
      </c>
      <c r="G4216" t="n">
        <v>0.2</v>
      </c>
      <c r="H4216">
        <f>E4216*F4216*(1-G4216)</f>
        <v/>
      </c>
      <c r="I4216">
        <f>XLOOKUP(D4216,Products!$A$2:$A$15,Products!$B$2:$B$15,"Not found")</f>
        <v/>
      </c>
    </row>
    <row r="4217">
      <c r="A4217" t="n">
        <v>108536</v>
      </c>
      <c r="B4217" s="1" t="n">
        <v>46004</v>
      </c>
      <c r="C4217" t="inlineStr">
        <is>
          <t>S04</t>
        </is>
      </c>
      <c r="D4217" t="inlineStr">
        <is>
          <t>P201</t>
        </is>
      </c>
      <c r="E4217" t="n">
        <v>1</v>
      </c>
      <c r="F4217" t="n">
        <v>149</v>
      </c>
      <c r="G4217" t="n">
        <v>0</v>
      </c>
      <c r="H4217">
        <f>E4217*F4217*(1-G4217)</f>
        <v/>
      </c>
      <c r="I4217">
        <f>XLOOKUP(D4217,Products!$A$2:$A$15,Products!$B$2:$B$15,"Not found")</f>
        <v/>
      </c>
    </row>
    <row r="4218">
      <c r="A4218" t="n">
        <v>108537</v>
      </c>
      <c r="B4218" s="1" t="n">
        <v>46004</v>
      </c>
      <c r="C4218" t="inlineStr">
        <is>
          <t>S04</t>
        </is>
      </c>
      <c r="D4218" t="inlineStr">
        <is>
          <t>P102</t>
        </is>
      </c>
      <c r="E4218" t="n">
        <v>4</v>
      </c>
      <c r="F4218" t="n">
        <v>14.5</v>
      </c>
      <c r="G4218" t="n">
        <v>0</v>
      </c>
      <c r="H4218">
        <f>E4218*F4218*(1-G4218)</f>
        <v/>
      </c>
      <c r="I4218">
        <f>XLOOKUP(D4218,Products!$A$2:$A$15,Products!$B$2:$B$15,"Not found")</f>
        <v/>
      </c>
    </row>
    <row r="4219">
      <c r="A4219" t="n">
        <v>108538</v>
      </c>
      <c r="B4219" s="1" t="n">
        <v>46004</v>
      </c>
      <c r="C4219" t="inlineStr">
        <is>
          <t>S05</t>
        </is>
      </c>
      <c r="D4219" t="inlineStr">
        <is>
          <t>P203</t>
        </is>
      </c>
      <c r="E4219" t="n">
        <v>2</v>
      </c>
      <c r="F4219" t="n">
        <v>19.5</v>
      </c>
      <c r="G4219" t="n">
        <v>0.2</v>
      </c>
      <c r="H4219">
        <f>E4219*F4219*(1-G4219)</f>
        <v/>
      </c>
      <c r="I4219">
        <f>XLOOKUP(D4219,Products!$A$2:$A$15,Products!$B$2:$B$15,"Not found")</f>
        <v/>
      </c>
    </row>
    <row r="4220">
      <c r="A4220" t="n">
        <v>108539</v>
      </c>
      <c r="B4220" s="1" t="n">
        <v>46004</v>
      </c>
      <c r="C4220" t="inlineStr">
        <is>
          <t>S05</t>
        </is>
      </c>
      <c r="D4220" t="inlineStr">
        <is>
          <t>P401</t>
        </is>
      </c>
      <c r="E4220" t="n">
        <v>1</v>
      </c>
      <c r="F4220" t="n">
        <v>549</v>
      </c>
      <c r="G4220" t="n">
        <v>0</v>
      </c>
      <c r="H4220">
        <f>E4220*F4220*(1-G4220)</f>
        <v/>
      </c>
      <c r="I4220">
        <f>XLOOKUP(D4220,Products!$A$2:$A$15,Products!$B$2:$B$15,"Not found")</f>
        <v/>
      </c>
    </row>
    <row r="4221">
      <c r="A4221" t="n">
        <v>108540</v>
      </c>
      <c r="B4221" s="1" t="n">
        <v>46004</v>
      </c>
      <c r="C4221" t="inlineStr">
        <is>
          <t>S06</t>
        </is>
      </c>
      <c r="D4221" t="inlineStr">
        <is>
          <t>P102</t>
        </is>
      </c>
      <c r="E4221" t="n">
        <v>4</v>
      </c>
      <c r="F4221" t="n">
        <v>14.5</v>
      </c>
      <c r="G4221" t="n">
        <v>0</v>
      </c>
      <c r="H4221">
        <f>E4221*F4221*(1-G4221)</f>
        <v/>
      </c>
      <c r="I4221">
        <f>XLOOKUP(D4221,Products!$A$2:$A$15,Products!$B$2:$B$15,"Not found")</f>
        <v/>
      </c>
    </row>
    <row r="4222">
      <c r="A4222" t="n">
        <v>108541</v>
      </c>
      <c r="B4222" s="1" t="n">
        <v>46004</v>
      </c>
      <c r="C4222" t="inlineStr">
        <is>
          <t>S06</t>
        </is>
      </c>
      <c r="D4222" t="inlineStr">
        <is>
          <t>P201</t>
        </is>
      </c>
      <c r="E4222" t="n">
        <v>1</v>
      </c>
      <c r="F4222" t="n">
        <v>149</v>
      </c>
      <c r="G4222" t="n">
        <v>0.1</v>
      </c>
      <c r="H4222">
        <f>E4222*F4222*(1-G4222)</f>
        <v/>
      </c>
      <c r="I4222">
        <f>XLOOKUP(D4222,Products!$A$2:$A$15,Products!$B$2:$B$15,"Not found")</f>
        <v/>
      </c>
    </row>
    <row r="4223">
      <c r="A4223" t="n">
        <v>108542</v>
      </c>
      <c r="B4223" s="1" t="n">
        <v>46005</v>
      </c>
      <c r="C4223" t="inlineStr">
        <is>
          <t>S01</t>
        </is>
      </c>
      <c r="D4223" t="inlineStr">
        <is>
          <t>P302</t>
        </is>
      </c>
      <c r="E4223" t="n">
        <v>2</v>
      </c>
      <c r="F4223" t="n">
        <v>24</v>
      </c>
      <c r="G4223" t="n">
        <v>0</v>
      </c>
      <c r="H4223">
        <f>E4223*F4223*(1-G4223)</f>
        <v/>
      </c>
      <c r="I4223">
        <f>XLOOKUP(D4223,Products!$A$2:$A$15,Products!$B$2:$B$15,"Not found")</f>
        <v/>
      </c>
    </row>
    <row r="4224">
      <c r="A4224" t="n">
        <v>108543</v>
      </c>
      <c r="B4224" s="1" t="n">
        <v>46005</v>
      </c>
      <c r="C4224" t="inlineStr">
        <is>
          <t>S01</t>
        </is>
      </c>
      <c r="D4224" t="inlineStr">
        <is>
          <t>P302</t>
        </is>
      </c>
      <c r="E4224" t="n">
        <v>2</v>
      </c>
      <c r="F4224" t="n">
        <v>24</v>
      </c>
      <c r="G4224" t="n">
        <v>0</v>
      </c>
      <c r="H4224">
        <f>E4224*F4224*(1-G4224)</f>
        <v/>
      </c>
      <c r="I4224">
        <f>XLOOKUP(D4224,Products!$A$2:$A$15,Products!$B$2:$B$15,"Not found")</f>
        <v/>
      </c>
    </row>
    <row r="4225">
      <c r="A4225" t="n">
        <v>108544</v>
      </c>
      <c r="B4225" s="1" t="n">
        <v>46005</v>
      </c>
      <c r="C4225" t="inlineStr">
        <is>
          <t>S01</t>
        </is>
      </c>
      <c r="D4225" t="inlineStr">
        <is>
          <t>P204</t>
        </is>
      </c>
      <c r="E4225" t="n">
        <v>1</v>
      </c>
      <c r="F4225" t="n">
        <v>229</v>
      </c>
      <c r="G4225" t="n">
        <v>0.15</v>
      </c>
      <c r="H4225">
        <f>E4225*F4225*(1-G4225)</f>
        <v/>
      </c>
      <c r="I4225">
        <f>XLOOKUP(D4225,Products!$A$2:$A$15,Products!$B$2:$B$15,"Not found")</f>
        <v/>
      </c>
    </row>
    <row r="4226">
      <c r="A4226" t="n">
        <v>108545</v>
      </c>
      <c r="B4226" s="1" t="n">
        <v>46005</v>
      </c>
      <c r="C4226" t="inlineStr">
        <is>
          <t>S02</t>
        </is>
      </c>
      <c r="D4226" t="inlineStr">
        <is>
          <t>P203</t>
        </is>
      </c>
      <c r="E4226" t="n">
        <v>1</v>
      </c>
      <c r="F4226" t="n">
        <v>19.5</v>
      </c>
      <c r="G4226" t="n">
        <v>0.1</v>
      </c>
      <c r="H4226">
        <f>E4226*F4226*(1-G4226)</f>
        <v/>
      </c>
      <c r="I4226">
        <f>XLOOKUP(D4226,Products!$A$2:$A$15,Products!$B$2:$B$15,"Not found")</f>
        <v/>
      </c>
    </row>
    <row r="4227">
      <c r="A4227" t="n">
        <v>108546</v>
      </c>
      <c r="B4227" s="1" t="n">
        <v>46005</v>
      </c>
      <c r="C4227" t="inlineStr">
        <is>
          <t>S02</t>
        </is>
      </c>
      <c r="D4227" t="inlineStr">
        <is>
          <t>P101</t>
        </is>
      </c>
      <c r="E4227" t="n">
        <v>4</v>
      </c>
      <c r="F4227" t="n">
        <v>39</v>
      </c>
      <c r="G4227" t="n">
        <v>0</v>
      </c>
      <c r="H4227">
        <f>E4227*F4227*(1-G4227)</f>
        <v/>
      </c>
      <c r="I4227">
        <f>XLOOKUP(D4227,Products!$A$2:$A$15,Products!$B$2:$B$15,"Not found")</f>
        <v/>
      </c>
    </row>
    <row r="4228">
      <c r="A4228" t="n">
        <v>108547</v>
      </c>
      <c r="B4228" s="1" t="n">
        <v>46005</v>
      </c>
      <c r="C4228" t="inlineStr">
        <is>
          <t>S02</t>
        </is>
      </c>
      <c r="D4228" t="inlineStr">
        <is>
          <t>P103</t>
        </is>
      </c>
      <c r="E4228" t="n">
        <v>1</v>
      </c>
      <c r="F4228" t="n">
        <v>29</v>
      </c>
      <c r="G4228" t="n">
        <v>0</v>
      </c>
      <c r="H4228">
        <f>E4228*F4228*(1-G4228)</f>
        <v/>
      </c>
      <c r="I4228">
        <f>XLOOKUP(D4228,Products!$A$2:$A$15,Products!$B$2:$B$15,"Not found")</f>
        <v/>
      </c>
    </row>
    <row r="4229">
      <c r="A4229" t="n">
        <v>108548</v>
      </c>
      <c r="B4229" s="1" t="n">
        <v>46005</v>
      </c>
      <c r="C4229" t="inlineStr">
        <is>
          <t>S02</t>
        </is>
      </c>
      <c r="D4229" t="inlineStr">
        <is>
          <t>P202</t>
        </is>
      </c>
      <c r="E4229" t="n">
        <v>3</v>
      </c>
      <c r="F4229" t="n">
        <v>79</v>
      </c>
      <c r="G4229" t="n">
        <v>0</v>
      </c>
      <c r="H4229">
        <f>E4229*F4229*(1-G4229)</f>
        <v/>
      </c>
      <c r="I4229">
        <f>XLOOKUP(D4229,Products!$A$2:$A$15,Products!$B$2:$B$15,"Not found")</f>
        <v/>
      </c>
    </row>
    <row r="4230">
      <c r="A4230" t="n">
        <v>108549</v>
      </c>
      <c r="B4230" s="1" t="n">
        <v>46005</v>
      </c>
      <c r="C4230" t="inlineStr">
        <is>
          <t>S02</t>
        </is>
      </c>
      <c r="D4230" t="inlineStr">
        <is>
          <t>P201</t>
        </is>
      </c>
      <c r="E4230" t="n">
        <v>1</v>
      </c>
      <c r="F4230" t="n">
        <v>149</v>
      </c>
      <c r="G4230" t="n">
        <v>0.15</v>
      </c>
      <c r="H4230">
        <f>E4230*F4230*(1-G4230)</f>
        <v/>
      </c>
      <c r="I4230">
        <f>XLOOKUP(D4230,Products!$A$2:$A$15,Products!$B$2:$B$15,"Not found")</f>
        <v/>
      </c>
    </row>
    <row r="4231">
      <c r="A4231" t="n">
        <v>108550</v>
      </c>
      <c r="B4231" s="1" t="n">
        <v>46005</v>
      </c>
      <c r="C4231" t="inlineStr">
        <is>
          <t>S03</t>
        </is>
      </c>
      <c r="D4231" t="inlineStr">
        <is>
          <t>P102</t>
        </is>
      </c>
      <c r="E4231" t="n">
        <v>1</v>
      </c>
      <c r="F4231" t="n">
        <v>14.5</v>
      </c>
      <c r="G4231" t="n">
        <v>0</v>
      </c>
      <c r="H4231">
        <f>E4231*F4231*(1-G4231)</f>
        <v/>
      </c>
      <c r="I4231">
        <f>XLOOKUP(D4231,Products!$A$2:$A$15,Products!$B$2:$B$15,"Not found")</f>
        <v/>
      </c>
    </row>
    <row r="4232">
      <c r="A4232" t="n">
        <v>108551</v>
      </c>
      <c r="B4232" s="1" t="n">
        <v>46005</v>
      </c>
      <c r="C4232" t="inlineStr">
        <is>
          <t>S03</t>
        </is>
      </c>
      <c r="D4232" t="inlineStr">
        <is>
          <t>P204</t>
        </is>
      </c>
      <c r="E4232" t="n">
        <v>1</v>
      </c>
      <c r="F4232" t="n">
        <v>229</v>
      </c>
      <c r="G4232" t="n">
        <v>0.1</v>
      </c>
      <c r="H4232">
        <f>E4232*F4232*(1-G4232)</f>
        <v/>
      </c>
      <c r="I4232">
        <f>XLOOKUP(D4232,Products!$A$2:$A$15,Products!$B$2:$B$15,"Not found")</f>
        <v/>
      </c>
    </row>
    <row r="4233">
      <c r="A4233" t="n">
        <v>108552</v>
      </c>
      <c r="B4233" s="1" t="n">
        <v>46005</v>
      </c>
      <c r="C4233" t="inlineStr">
        <is>
          <t>S04</t>
        </is>
      </c>
      <c r="D4233" t="inlineStr">
        <is>
          <t>P302</t>
        </is>
      </c>
      <c r="E4233" t="n">
        <v>3</v>
      </c>
      <c r="F4233" t="n">
        <v>24</v>
      </c>
      <c r="G4233" t="n">
        <v>0</v>
      </c>
      <c r="H4233">
        <f>E4233*F4233*(1-G4233)</f>
        <v/>
      </c>
      <c r="I4233">
        <f>XLOOKUP(D4233,Products!$A$2:$A$15,Products!$B$2:$B$15,"Not found")</f>
        <v/>
      </c>
    </row>
    <row r="4234">
      <c r="A4234" t="n">
        <v>108553</v>
      </c>
      <c r="B4234" s="1" t="n">
        <v>46005</v>
      </c>
      <c r="C4234" t="inlineStr">
        <is>
          <t>S04</t>
        </is>
      </c>
      <c r="D4234" t="inlineStr">
        <is>
          <t>P201</t>
        </is>
      </c>
      <c r="E4234" t="n">
        <v>1</v>
      </c>
      <c r="F4234" t="n">
        <v>149</v>
      </c>
      <c r="G4234" t="n">
        <v>0</v>
      </c>
      <c r="H4234">
        <f>E4234*F4234*(1-G4234)</f>
        <v/>
      </c>
      <c r="I4234">
        <f>XLOOKUP(D4234,Products!$A$2:$A$15,Products!$B$2:$B$15,"Not found")</f>
        <v/>
      </c>
    </row>
    <row r="4235">
      <c r="A4235" t="n">
        <v>108554</v>
      </c>
      <c r="B4235" s="1" t="n">
        <v>46005</v>
      </c>
      <c r="C4235" t="inlineStr">
        <is>
          <t>S04</t>
        </is>
      </c>
      <c r="D4235" t="inlineStr">
        <is>
          <t>P301</t>
        </is>
      </c>
      <c r="E4235" t="n">
        <v>1</v>
      </c>
      <c r="F4235" t="n">
        <v>119</v>
      </c>
      <c r="G4235" t="n">
        <v>0</v>
      </c>
      <c r="H4235">
        <f>E4235*F4235*(1-G4235)</f>
        <v/>
      </c>
      <c r="I4235">
        <f>XLOOKUP(D4235,Products!$A$2:$A$15,Products!$B$2:$B$15,"Not found")</f>
        <v/>
      </c>
    </row>
    <row r="4236">
      <c r="A4236" t="n">
        <v>108555</v>
      </c>
      <c r="B4236" s="1" t="n">
        <v>46005</v>
      </c>
      <c r="C4236" t="inlineStr">
        <is>
          <t>S04</t>
        </is>
      </c>
      <c r="D4236" t="inlineStr">
        <is>
          <t>P102</t>
        </is>
      </c>
      <c r="E4236" t="n">
        <v>1</v>
      </c>
      <c r="F4236" t="n">
        <v>14.5</v>
      </c>
      <c r="G4236" t="n">
        <v>0.15</v>
      </c>
      <c r="H4236">
        <f>E4236*F4236*(1-G4236)</f>
        <v/>
      </c>
      <c r="I4236">
        <f>XLOOKUP(D4236,Products!$A$2:$A$15,Products!$B$2:$B$15,"Not found")</f>
        <v/>
      </c>
    </row>
    <row r="4237">
      <c r="A4237" t="n">
        <v>108556</v>
      </c>
      <c r="B4237" s="1" t="n">
        <v>46005</v>
      </c>
      <c r="C4237" t="inlineStr">
        <is>
          <t>S04</t>
        </is>
      </c>
      <c r="D4237" t="inlineStr">
        <is>
          <t>P102</t>
        </is>
      </c>
      <c r="E4237" t="n">
        <v>4</v>
      </c>
      <c r="F4237" t="n">
        <v>14.5</v>
      </c>
      <c r="G4237" t="n">
        <v>0</v>
      </c>
      <c r="H4237">
        <f>E4237*F4237*(1-G4237)</f>
        <v/>
      </c>
      <c r="I4237">
        <f>XLOOKUP(D4237,Products!$A$2:$A$15,Products!$B$2:$B$15,"Not found")</f>
        <v/>
      </c>
    </row>
    <row r="4238">
      <c r="A4238" t="n">
        <v>108557</v>
      </c>
      <c r="B4238" s="1" t="n">
        <v>46005</v>
      </c>
      <c r="C4238" t="inlineStr">
        <is>
          <t>S05</t>
        </is>
      </c>
      <c r="D4238" t="inlineStr">
        <is>
          <t>P101</t>
        </is>
      </c>
      <c r="E4238" t="n">
        <v>2</v>
      </c>
      <c r="F4238" t="n">
        <v>39</v>
      </c>
      <c r="G4238" t="n">
        <v>0</v>
      </c>
      <c r="H4238">
        <f>E4238*F4238*(1-G4238)</f>
        <v/>
      </c>
      <c r="I4238">
        <f>XLOOKUP(D4238,Products!$A$2:$A$15,Products!$B$2:$B$15,"Not found")</f>
        <v/>
      </c>
    </row>
    <row r="4239">
      <c r="A4239" t="n">
        <v>108558</v>
      </c>
      <c r="B4239" s="1" t="n">
        <v>46005</v>
      </c>
      <c r="C4239" t="inlineStr">
        <is>
          <t>S05</t>
        </is>
      </c>
      <c r="D4239" t="inlineStr">
        <is>
          <t>P303</t>
        </is>
      </c>
      <c r="E4239" t="n">
        <v>1</v>
      </c>
      <c r="F4239" t="n">
        <v>12</v>
      </c>
      <c r="G4239" t="n">
        <v>0.2</v>
      </c>
      <c r="H4239">
        <f>E4239*F4239*(1-G4239)</f>
        <v/>
      </c>
      <c r="I4239">
        <f>XLOOKUP(D4239,Products!$A$2:$A$15,Products!$B$2:$B$15,"Not found")</f>
        <v/>
      </c>
    </row>
    <row r="4240">
      <c r="A4240" t="n">
        <v>108559</v>
      </c>
      <c r="B4240" s="1" t="n">
        <v>46005</v>
      </c>
      <c r="C4240" t="inlineStr">
        <is>
          <t>S05</t>
        </is>
      </c>
      <c r="D4240" t="inlineStr">
        <is>
          <t>P302</t>
        </is>
      </c>
      <c r="E4240" t="n">
        <v>2</v>
      </c>
      <c r="F4240" t="n">
        <v>24</v>
      </c>
      <c r="G4240" t="n">
        <v>0.2</v>
      </c>
      <c r="H4240">
        <f>E4240*F4240*(1-G4240)</f>
        <v/>
      </c>
      <c r="I4240">
        <f>XLOOKUP(D4240,Products!$A$2:$A$15,Products!$B$2:$B$15,"Not found")</f>
        <v/>
      </c>
    </row>
    <row r="4241">
      <c r="A4241" t="n">
        <v>108560</v>
      </c>
      <c r="B4241" s="1" t="n">
        <v>46005</v>
      </c>
      <c r="C4241" t="inlineStr">
        <is>
          <t>S05</t>
        </is>
      </c>
      <c r="D4241" t="inlineStr">
        <is>
          <t>P101</t>
        </is>
      </c>
      <c r="E4241" t="n">
        <v>1</v>
      </c>
      <c r="F4241" t="n">
        <v>39</v>
      </c>
      <c r="G4241" t="n">
        <v>0.15</v>
      </c>
      <c r="H4241">
        <f>E4241*F4241*(1-G4241)</f>
        <v/>
      </c>
      <c r="I4241">
        <f>XLOOKUP(D4241,Products!$A$2:$A$15,Products!$B$2:$B$15,"Not found")</f>
        <v/>
      </c>
    </row>
    <row r="4242">
      <c r="A4242" t="n">
        <v>108561</v>
      </c>
      <c r="B4242" s="1" t="n">
        <v>46005</v>
      </c>
      <c r="C4242" t="inlineStr">
        <is>
          <t>S06</t>
        </is>
      </c>
      <c r="D4242" t="inlineStr">
        <is>
          <t>P104</t>
        </is>
      </c>
      <c r="E4242" t="n">
        <v>1</v>
      </c>
      <c r="F4242" t="n">
        <v>189</v>
      </c>
      <c r="G4242" t="n">
        <v>0.1</v>
      </c>
      <c r="H4242">
        <f>E4242*F4242*(1-G4242)</f>
        <v/>
      </c>
      <c r="I4242">
        <f>XLOOKUP(D4242,Products!$A$2:$A$15,Products!$B$2:$B$15,"Not found")</f>
        <v/>
      </c>
    </row>
    <row r="4243">
      <c r="A4243" t="n">
        <v>108562</v>
      </c>
      <c r="B4243" s="1" t="n">
        <v>46006</v>
      </c>
      <c r="C4243" t="inlineStr">
        <is>
          <t>S01</t>
        </is>
      </c>
      <c r="D4243" t="inlineStr">
        <is>
          <t>P101</t>
        </is>
      </c>
      <c r="E4243" t="n">
        <v>2</v>
      </c>
      <c r="F4243" t="n">
        <v>39</v>
      </c>
      <c r="G4243" t="n">
        <v>0</v>
      </c>
      <c r="H4243">
        <f>E4243*F4243*(1-G4243)</f>
        <v/>
      </c>
      <c r="I4243">
        <f>XLOOKUP(D4243,Products!$A$2:$A$15,Products!$B$2:$B$15,"Not found")</f>
        <v/>
      </c>
    </row>
    <row r="4244">
      <c r="A4244" t="n">
        <v>108563</v>
      </c>
      <c r="B4244" s="1" t="n">
        <v>46006</v>
      </c>
      <c r="C4244" t="inlineStr">
        <is>
          <t>S01</t>
        </is>
      </c>
      <c r="D4244" t="inlineStr">
        <is>
          <t>P303</t>
        </is>
      </c>
      <c r="E4244" t="n">
        <v>1</v>
      </c>
      <c r="F4244" t="n">
        <v>12</v>
      </c>
      <c r="G4244" t="n">
        <v>0</v>
      </c>
      <c r="H4244">
        <f>E4244*F4244*(1-G4244)</f>
        <v/>
      </c>
      <c r="I4244">
        <f>XLOOKUP(D4244,Products!$A$2:$A$15,Products!$B$2:$B$15,"Not found")</f>
        <v/>
      </c>
    </row>
    <row r="4245">
      <c r="A4245" t="n">
        <v>108564</v>
      </c>
      <c r="B4245" s="1" t="n">
        <v>46006</v>
      </c>
      <c r="C4245" t="inlineStr">
        <is>
          <t>S01</t>
        </is>
      </c>
      <c r="D4245" t="inlineStr">
        <is>
          <t>P301</t>
        </is>
      </c>
      <c r="E4245" t="n">
        <v>1</v>
      </c>
      <c r="F4245" t="n">
        <v>119</v>
      </c>
      <c r="G4245" t="n">
        <v>0</v>
      </c>
      <c r="H4245">
        <f>E4245*F4245*(1-G4245)</f>
        <v/>
      </c>
      <c r="I4245">
        <f>XLOOKUP(D4245,Products!$A$2:$A$15,Products!$B$2:$B$15,"Not found")</f>
        <v/>
      </c>
    </row>
    <row r="4246">
      <c r="A4246" t="n">
        <v>108565</v>
      </c>
      <c r="B4246" s="1" t="n">
        <v>46006</v>
      </c>
      <c r="C4246" t="inlineStr">
        <is>
          <t>S01</t>
        </is>
      </c>
      <c r="D4246" t="inlineStr">
        <is>
          <t>P203</t>
        </is>
      </c>
      <c r="E4246" t="n">
        <v>4</v>
      </c>
      <c r="F4246" t="n">
        <v>19.5</v>
      </c>
      <c r="G4246" t="n">
        <v>0</v>
      </c>
      <c r="H4246">
        <f>E4246*F4246*(1-G4246)</f>
        <v/>
      </c>
      <c r="I4246">
        <f>XLOOKUP(D4246,Products!$A$2:$A$15,Products!$B$2:$B$15,"Not found")</f>
        <v/>
      </c>
    </row>
    <row r="4247">
      <c r="A4247" t="n">
        <v>108566</v>
      </c>
      <c r="B4247" s="1" t="n">
        <v>46006</v>
      </c>
      <c r="C4247" t="inlineStr">
        <is>
          <t>S01</t>
        </is>
      </c>
      <c r="D4247" t="inlineStr">
        <is>
          <t>P102</t>
        </is>
      </c>
      <c r="E4247" t="n">
        <v>1</v>
      </c>
      <c r="F4247" t="n">
        <v>14.5</v>
      </c>
      <c r="G4247" t="n">
        <v>0</v>
      </c>
      <c r="H4247">
        <f>E4247*F4247*(1-G4247)</f>
        <v/>
      </c>
      <c r="I4247">
        <f>XLOOKUP(D4247,Products!$A$2:$A$15,Products!$B$2:$B$15,"Not found")</f>
        <v/>
      </c>
    </row>
    <row r="4248">
      <c r="A4248" t="n">
        <v>108567</v>
      </c>
      <c r="B4248" s="1" t="n">
        <v>46006</v>
      </c>
      <c r="C4248" t="inlineStr">
        <is>
          <t>S02</t>
        </is>
      </c>
      <c r="D4248" t="inlineStr">
        <is>
          <t>P102</t>
        </is>
      </c>
      <c r="E4248" t="n">
        <v>1</v>
      </c>
      <c r="F4248" t="n">
        <v>14.5</v>
      </c>
      <c r="G4248" t="n">
        <v>0</v>
      </c>
      <c r="H4248">
        <f>E4248*F4248*(1-G4248)</f>
        <v/>
      </c>
      <c r="I4248">
        <f>XLOOKUP(D4248,Products!$A$2:$A$15,Products!$B$2:$B$15,"Not found")</f>
        <v/>
      </c>
    </row>
    <row r="4249">
      <c r="A4249" t="n">
        <v>108568</v>
      </c>
      <c r="B4249" s="1" t="n">
        <v>46006</v>
      </c>
      <c r="C4249" t="inlineStr">
        <is>
          <t>S03</t>
        </is>
      </c>
      <c r="D4249" t="inlineStr">
        <is>
          <t>P403</t>
        </is>
      </c>
      <c r="E4249" t="n">
        <v>2</v>
      </c>
      <c r="F4249" t="n">
        <v>89</v>
      </c>
      <c r="G4249" t="n">
        <v>0</v>
      </c>
      <c r="H4249">
        <f>E4249*F4249*(1-G4249)</f>
        <v/>
      </c>
      <c r="I4249">
        <f>XLOOKUP(D4249,Products!$A$2:$A$15,Products!$B$2:$B$15,"Not found")</f>
        <v/>
      </c>
    </row>
    <row r="4250">
      <c r="A4250" t="n">
        <v>108569</v>
      </c>
      <c r="B4250" s="1" t="n">
        <v>46006</v>
      </c>
      <c r="C4250" t="inlineStr">
        <is>
          <t>S03</t>
        </is>
      </c>
      <c r="D4250" t="inlineStr">
        <is>
          <t>P103</t>
        </is>
      </c>
      <c r="E4250" t="n">
        <v>3</v>
      </c>
      <c r="F4250" t="n">
        <v>29</v>
      </c>
      <c r="G4250" t="n">
        <v>0</v>
      </c>
      <c r="H4250">
        <f>E4250*F4250*(1-G4250)</f>
        <v/>
      </c>
      <c r="I4250">
        <f>XLOOKUP(D4250,Products!$A$2:$A$15,Products!$B$2:$B$15,"Not found")</f>
        <v/>
      </c>
    </row>
    <row r="4251">
      <c r="A4251" t="n">
        <v>108570</v>
      </c>
      <c r="B4251" s="1" t="n">
        <v>46006</v>
      </c>
      <c r="C4251" t="inlineStr">
        <is>
          <t>S04</t>
        </is>
      </c>
      <c r="D4251" t="inlineStr">
        <is>
          <t>P103</t>
        </is>
      </c>
      <c r="E4251" t="n">
        <v>3</v>
      </c>
      <c r="F4251" t="n">
        <v>29</v>
      </c>
      <c r="G4251" t="n">
        <v>0</v>
      </c>
      <c r="H4251">
        <f>E4251*F4251*(1-G4251)</f>
        <v/>
      </c>
      <c r="I4251">
        <f>XLOOKUP(D4251,Products!$A$2:$A$15,Products!$B$2:$B$15,"Not found")</f>
        <v/>
      </c>
    </row>
    <row r="4252">
      <c r="A4252" t="n">
        <v>108571</v>
      </c>
      <c r="B4252" s="1" t="n">
        <v>46006</v>
      </c>
      <c r="C4252" t="inlineStr">
        <is>
          <t>S04</t>
        </is>
      </c>
      <c r="D4252" t="inlineStr">
        <is>
          <t>P201</t>
        </is>
      </c>
      <c r="E4252" t="n">
        <v>1</v>
      </c>
      <c r="F4252" t="n">
        <v>149</v>
      </c>
      <c r="G4252" t="n">
        <v>0.2</v>
      </c>
      <c r="H4252">
        <f>E4252*F4252*(1-G4252)</f>
        <v/>
      </c>
      <c r="I4252">
        <f>XLOOKUP(D4252,Products!$A$2:$A$15,Products!$B$2:$B$15,"Not found")</f>
        <v/>
      </c>
    </row>
    <row r="4253">
      <c r="A4253" t="n">
        <v>108572</v>
      </c>
      <c r="B4253" s="1" t="n">
        <v>46006</v>
      </c>
      <c r="C4253" t="inlineStr">
        <is>
          <t>S04</t>
        </is>
      </c>
      <c r="D4253" t="inlineStr">
        <is>
          <t>P103</t>
        </is>
      </c>
      <c r="E4253" t="n">
        <v>4</v>
      </c>
      <c r="F4253" t="n">
        <v>29</v>
      </c>
      <c r="G4253" t="n">
        <v>0.2</v>
      </c>
      <c r="H4253">
        <f>E4253*F4253*(1-G4253)</f>
        <v/>
      </c>
      <c r="I4253">
        <f>XLOOKUP(D4253,Products!$A$2:$A$15,Products!$B$2:$B$15,"Not found")</f>
        <v/>
      </c>
    </row>
    <row r="4254">
      <c r="A4254" t="n">
        <v>108573</v>
      </c>
      <c r="B4254" s="1" t="n">
        <v>46006</v>
      </c>
      <c r="C4254" t="inlineStr">
        <is>
          <t>S04</t>
        </is>
      </c>
      <c r="D4254" t="inlineStr">
        <is>
          <t>P302</t>
        </is>
      </c>
      <c r="E4254" t="n">
        <v>1</v>
      </c>
      <c r="F4254" t="n">
        <v>24</v>
      </c>
      <c r="G4254" t="n">
        <v>0</v>
      </c>
      <c r="H4254">
        <f>E4254*F4254*(1-G4254)</f>
        <v/>
      </c>
      <c r="I4254">
        <f>XLOOKUP(D4254,Products!$A$2:$A$15,Products!$B$2:$B$15,"Not found")</f>
        <v/>
      </c>
    </row>
    <row r="4255">
      <c r="A4255" t="n">
        <v>108574</v>
      </c>
      <c r="B4255" s="1" t="n">
        <v>46006</v>
      </c>
      <c r="C4255" t="inlineStr">
        <is>
          <t>S05</t>
        </is>
      </c>
      <c r="D4255" t="inlineStr">
        <is>
          <t>P202</t>
        </is>
      </c>
      <c r="E4255" t="n">
        <v>2</v>
      </c>
      <c r="F4255" t="n">
        <v>79</v>
      </c>
      <c r="G4255" t="n">
        <v>0.1</v>
      </c>
      <c r="H4255">
        <f>E4255*F4255*(1-G4255)</f>
        <v/>
      </c>
      <c r="I4255">
        <f>XLOOKUP(D4255,Products!$A$2:$A$15,Products!$B$2:$B$15,"Not found")</f>
        <v/>
      </c>
    </row>
    <row r="4256">
      <c r="A4256" t="n">
        <v>108575</v>
      </c>
      <c r="B4256" s="1" t="n">
        <v>46006</v>
      </c>
      <c r="C4256" t="inlineStr">
        <is>
          <t>S06</t>
        </is>
      </c>
      <c r="D4256" t="inlineStr">
        <is>
          <t>P302</t>
        </is>
      </c>
      <c r="E4256" t="n">
        <v>1</v>
      </c>
      <c r="F4256" t="n">
        <v>24</v>
      </c>
      <c r="G4256" t="n">
        <v>0.15</v>
      </c>
      <c r="H4256">
        <f>E4256*F4256*(1-G4256)</f>
        <v/>
      </c>
      <c r="I4256">
        <f>XLOOKUP(D4256,Products!$A$2:$A$15,Products!$B$2:$B$15,"Not found")</f>
        <v/>
      </c>
    </row>
    <row r="4257">
      <c r="A4257" t="n">
        <v>108576</v>
      </c>
      <c r="B4257" s="1" t="n">
        <v>46007</v>
      </c>
      <c r="C4257" t="inlineStr">
        <is>
          <t>S01</t>
        </is>
      </c>
      <c r="D4257" t="inlineStr">
        <is>
          <t>P403</t>
        </is>
      </c>
      <c r="E4257" t="n">
        <v>1</v>
      </c>
      <c r="F4257" t="n">
        <v>89</v>
      </c>
      <c r="G4257" t="n">
        <v>0</v>
      </c>
      <c r="H4257">
        <f>E4257*F4257*(1-G4257)</f>
        <v/>
      </c>
      <c r="I4257">
        <f>XLOOKUP(D4257,Products!$A$2:$A$15,Products!$B$2:$B$15,"Not found")</f>
        <v/>
      </c>
    </row>
    <row r="4258">
      <c r="A4258" t="n">
        <v>108577</v>
      </c>
      <c r="B4258" s="1" t="n">
        <v>46007</v>
      </c>
      <c r="C4258" t="inlineStr">
        <is>
          <t>S02</t>
        </is>
      </c>
      <c r="D4258" t="inlineStr">
        <is>
          <t>P301</t>
        </is>
      </c>
      <c r="E4258" t="n">
        <v>1</v>
      </c>
      <c r="F4258" t="n">
        <v>119</v>
      </c>
      <c r="G4258" t="n">
        <v>0</v>
      </c>
      <c r="H4258">
        <f>E4258*F4258*(1-G4258)</f>
        <v/>
      </c>
      <c r="I4258">
        <f>XLOOKUP(D4258,Products!$A$2:$A$15,Products!$B$2:$B$15,"Not found")</f>
        <v/>
      </c>
    </row>
    <row r="4259">
      <c r="A4259" t="n">
        <v>108578</v>
      </c>
      <c r="B4259" s="1" t="n">
        <v>46007</v>
      </c>
      <c r="C4259" t="inlineStr">
        <is>
          <t>S02</t>
        </is>
      </c>
      <c r="D4259" t="inlineStr">
        <is>
          <t>P103</t>
        </is>
      </c>
      <c r="E4259" t="n">
        <v>3</v>
      </c>
      <c r="F4259" t="n">
        <v>29</v>
      </c>
      <c r="G4259" t="n">
        <v>0.2</v>
      </c>
      <c r="H4259">
        <f>E4259*F4259*(1-G4259)</f>
        <v/>
      </c>
      <c r="I4259">
        <f>XLOOKUP(D4259,Products!$A$2:$A$15,Products!$B$2:$B$15,"Not found")</f>
        <v/>
      </c>
    </row>
    <row r="4260">
      <c r="A4260" t="n">
        <v>108579</v>
      </c>
      <c r="B4260" s="1" t="n">
        <v>46007</v>
      </c>
      <c r="C4260" t="inlineStr">
        <is>
          <t>S02</t>
        </is>
      </c>
      <c r="D4260" t="inlineStr">
        <is>
          <t>P103</t>
        </is>
      </c>
      <c r="E4260" t="n">
        <v>4</v>
      </c>
      <c r="F4260" t="n">
        <v>29</v>
      </c>
      <c r="G4260" t="n">
        <v>0</v>
      </c>
      <c r="H4260">
        <f>E4260*F4260*(1-G4260)</f>
        <v/>
      </c>
      <c r="I4260">
        <f>XLOOKUP(D4260,Products!$A$2:$A$15,Products!$B$2:$B$15,"Not found")</f>
        <v/>
      </c>
    </row>
    <row r="4261">
      <c r="A4261" t="n">
        <v>108580</v>
      </c>
      <c r="B4261" s="1" t="n">
        <v>46007</v>
      </c>
      <c r="C4261" t="inlineStr">
        <is>
          <t>S03</t>
        </is>
      </c>
      <c r="D4261" t="inlineStr">
        <is>
          <t>P301</t>
        </is>
      </c>
      <c r="E4261" t="n">
        <v>1</v>
      </c>
      <c r="F4261" t="n">
        <v>119</v>
      </c>
      <c r="G4261" t="n">
        <v>0</v>
      </c>
      <c r="H4261">
        <f>E4261*F4261*(1-G4261)</f>
        <v/>
      </c>
      <c r="I4261">
        <f>XLOOKUP(D4261,Products!$A$2:$A$15,Products!$B$2:$B$15,"Not found")</f>
        <v/>
      </c>
    </row>
    <row r="4262">
      <c r="A4262" t="n">
        <v>108581</v>
      </c>
      <c r="B4262" s="1" t="n">
        <v>46007</v>
      </c>
      <c r="C4262" t="inlineStr">
        <is>
          <t>S03</t>
        </is>
      </c>
      <c r="D4262" t="inlineStr">
        <is>
          <t>P203</t>
        </is>
      </c>
      <c r="E4262" t="n">
        <v>1</v>
      </c>
      <c r="F4262" t="n">
        <v>19.5</v>
      </c>
      <c r="G4262" t="n">
        <v>0.2</v>
      </c>
      <c r="H4262">
        <f>E4262*F4262*(1-G4262)</f>
        <v/>
      </c>
      <c r="I4262">
        <f>XLOOKUP(D4262,Products!$A$2:$A$15,Products!$B$2:$B$15,"Not found")</f>
        <v/>
      </c>
    </row>
    <row r="4263">
      <c r="A4263" t="n">
        <v>108582</v>
      </c>
      <c r="B4263" s="1" t="n">
        <v>46007</v>
      </c>
      <c r="C4263" t="inlineStr">
        <is>
          <t>S04</t>
        </is>
      </c>
      <c r="D4263" t="inlineStr">
        <is>
          <t>P202</t>
        </is>
      </c>
      <c r="E4263" t="n">
        <v>1</v>
      </c>
      <c r="F4263" t="n">
        <v>79</v>
      </c>
      <c r="G4263" t="n">
        <v>0</v>
      </c>
      <c r="H4263">
        <f>E4263*F4263*(1-G4263)</f>
        <v/>
      </c>
      <c r="I4263">
        <f>XLOOKUP(D4263,Products!$A$2:$A$15,Products!$B$2:$B$15,"Not found")</f>
        <v/>
      </c>
    </row>
    <row r="4264">
      <c r="A4264" t="n">
        <v>108583</v>
      </c>
      <c r="B4264" s="1" t="n">
        <v>46007</v>
      </c>
      <c r="C4264" t="inlineStr">
        <is>
          <t>S04</t>
        </is>
      </c>
      <c r="D4264" t="inlineStr">
        <is>
          <t>P101</t>
        </is>
      </c>
      <c r="E4264" t="n">
        <v>2</v>
      </c>
      <c r="F4264" t="n">
        <v>39</v>
      </c>
      <c r="G4264" t="n">
        <v>0</v>
      </c>
      <c r="H4264">
        <f>E4264*F4264*(1-G4264)</f>
        <v/>
      </c>
      <c r="I4264">
        <f>XLOOKUP(D4264,Products!$A$2:$A$15,Products!$B$2:$B$15,"Not found")</f>
        <v/>
      </c>
    </row>
    <row r="4265">
      <c r="A4265" t="n">
        <v>108584</v>
      </c>
      <c r="B4265" s="1" t="n">
        <v>46007</v>
      </c>
      <c r="C4265" t="inlineStr">
        <is>
          <t>S05</t>
        </is>
      </c>
      <c r="D4265" t="inlineStr">
        <is>
          <t>P101</t>
        </is>
      </c>
      <c r="E4265" t="n">
        <v>3</v>
      </c>
      <c r="F4265" t="n">
        <v>39</v>
      </c>
      <c r="G4265" t="n">
        <v>0</v>
      </c>
      <c r="H4265">
        <f>E4265*F4265*(1-G4265)</f>
        <v/>
      </c>
      <c r="I4265">
        <f>XLOOKUP(D4265,Products!$A$2:$A$15,Products!$B$2:$B$15,"Not found")</f>
        <v/>
      </c>
    </row>
    <row r="4266">
      <c r="A4266" t="n">
        <v>108585</v>
      </c>
      <c r="B4266" s="1" t="n">
        <v>46007</v>
      </c>
      <c r="C4266" t="inlineStr">
        <is>
          <t>S06</t>
        </is>
      </c>
      <c r="D4266" t="inlineStr">
        <is>
          <t>P102</t>
        </is>
      </c>
      <c r="E4266" t="n">
        <v>1</v>
      </c>
      <c r="F4266" t="n">
        <v>14.5</v>
      </c>
      <c r="G4266" t="n">
        <v>0.1</v>
      </c>
      <c r="H4266">
        <f>E4266*F4266*(1-G4266)</f>
        <v/>
      </c>
      <c r="I4266">
        <f>XLOOKUP(D4266,Products!$A$2:$A$15,Products!$B$2:$B$15,"Not found")</f>
        <v/>
      </c>
    </row>
    <row r="4267">
      <c r="A4267" t="n">
        <v>108586</v>
      </c>
      <c r="B4267" s="1" t="n">
        <v>46008</v>
      </c>
      <c r="C4267" t="inlineStr">
        <is>
          <t>S01</t>
        </is>
      </c>
      <c r="D4267" t="inlineStr">
        <is>
          <t>P102</t>
        </is>
      </c>
      <c r="E4267" t="n">
        <v>2</v>
      </c>
      <c r="F4267" t="n">
        <v>14.5</v>
      </c>
      <c r="G4267" t="n">
        <v>0</v>
      </c>
      <c r="H4267">
        <f>E4267*F4267*(1-G4267)</f>
        <v/>
      </c>
      <c r="I4267">
        <f>XLOOKUP(D4267,Products!$A$2:$A$15,Products!$B$2:$B$15,"Not found")</f>
        <v/>
      </c>
    </row>
    <row r="4268">
      <c r="A4268" t="n">
        <v>108587</v>
      </c>
      <c r="B4268" s="1" t="n">
        <v>46008</v>
      </c>
      <c r="C4268" t="inlineStr">
        <is>
          <t>S01</t>
        </is>
      </c>
      <c r="D4268" t="inlineStr">
        <is>
          <t>P301</t>
        </is>
      </c>
      <c r="E4268" t="n">
        <v>1</v>
      </c>
      <c r="F4268" t="n">
        <v>119</v>
      </c>
      <c r="G4268" t="n">
        <v>0.15</v>
      </c>
      <c r="H4268">
        <f>E4268*F4268*(1-G4268)</f>
        <v/>
      </c>
      <c r="I4268">
        <f>XLOOKUP(D4268,Products!$A$2:$A$15,Products!$B$2:$B$15,"Not found")</f>
        <v/>
      </c>
    </row>
    <row r="4269">
      <c r="A4269" t="n">
        <v>108588</v>
      </c>
      <c r="B4269" s="1" t="n">
        <v>46008</v>
      </c>
      <c r="C4269" t="inlineStr">
        <is>
          <t>S02</t>
        </is>
      </c>
      <c r="D4269" t="inlineStr">
        <is>
          <t>P101</t>
        </is>
      </c>
      <c r="E4269" t="n">
        <v>1</v>
      </c>
      <c r="F4269" t="n">
        <v>39</v>
      </c>
      <c r="G4269" t="n">
        <v>0.15</v>
      </c>
      <c r="H4269">
        <f>E4269*F4269*(1-G4269)</f>
        <v/>
      </c>
      <c r="I4269">
        <f>XLOOKUP(D4269,Products!$A$2:$A$15,Products!$B$2:$B$15,"Not found")</f>
        <v/>
      </c>
    </row>
    <row r="4270">
      <c r="A4270" t="n">
        <v>108589</v>
      </c>
      <c r="B4270" s="1" t="n">
        <v>46008</v>
      </c>
      <c r="C4270" t="inlineStr">
        <is>
          <t>S02</t>
        </is>
      </c>
      <c r="D4270" t="inlineStr">
        <is>
          <t>P102</t>
        </is>
      </c>
      <c r="E4270" t="n">
        <v>1</v>
      </c>
      <c r="F4270" t="n">
        <v>14.5</v>
      </c>
      <c r="G4270" t="n">
        <v>0.1</v>
      </c>
      <c r="H4270">
        <f>E4270*F4270*(1-G4270)</f>
        <v/>
      </c>
      <c r="I4270">
        <f>XLOOKUP(D4270,Products!$A$2:$A$15,Products!$B$2:$B$15,"Not found")</f>
        <v/>
      </c>
    </row>
    <row r="4271">
      <c r="A4271" t="n">
        <v>108590</v>
      </c>
      <c r="B4271" s="1" t="n">
        <v>46008</v>
      </c>
      <c r="C4271" t="inlineStr">
        <is>
          <t>S02</t>
        </is>
      </c>
      <c r="D4271" t="inlineStr">
        <is>
          <t>P103</t>
        </is>
      </c>
      <c r="E4271" t="n">
        <v>2</v>
      </c>
      <c r="F4271" t="n">
        <v>29</v>
      </c>
      <c r="G4271" t="n">
        <v>0.2</v>
      </c>
      <c r="H4271">
        <f>E4271*F4271*(1-G4271)</f>
        <v/>
      </c>
      <c r="I4271">
        <f>XLOOKUP(D4271,Products!$A$2:$A$15,Products!$B$2:$B$15,"Not found")</f>
        <v/>
      </c>
    </row>
    <row r="4272">
      <c r="A4272" t="n">
        <v>108591</v>
      </c>
      <c r="B4272" s="1" t="n">
        <v>46008</v>
      </c>
      <c r="C4272" t="inlineStr">
        <is>
          <t>S02</t>
        </is>
      </c>
      <c r="D4272" t="inlineStr">
        <is>
          <t>P102</t>
        </is>
      </c>
      <c r="E4272" t="n">
        <v>3</v>
      </c>
      <c r="F4272" t="n">
        <v>14.5</v>
      </c>
      <c r="G4272" t="n">
        <v>0</v>
      </c>
      <c r="H4272">
        <f>E4272*F4272*(1-G4272)</f>
        <v/>
      </c>
      <c r="I4272">
        <f>XLOOKUP(D4272,Products!$A$2:$A$15,Products!$B$2:$B$15,"Not found")</f>
        <v/>
      </c>
    </row>
    <row r="4273">
      <c r="A4273" t="n">
        <v>108592</v>
      </c>
      <c r="B4273" s="1" t="n">
        <v>46008</v>
      </c>
      <c r="C4273" t="inlineStr">
        <is>
          <t>S02</t>
        </is>
      </c>
      <c r="D4273" t="inlineStr">
        <is>
          <t>P203</t>
        </is>
      </c>
      <c r="E4273" t="n">
        <v>2</v>
      </c>
      <c r="F4273" t="n">
        <v>19.5</v>
      </c>
      <c r="G4273" t="n">
        <v>0</v>
      </c>
      <c r="H4273">
        <f>E4273*F4273*(1-G4273)</f>
        <v/>
      </c>
      <c r="I4273">
        <f>XLOOKUP(D4273,Products!$A$2:$A$15,Products!$B$2:$B$15,"Not found")</f>
        <v/>
      </c>
    </row>
    <row r="4274">
      <c r="A4274" t="n">
        <v>108593</v>
      </c>
      <c r="B4274" s="1" t="n">
        <v>46008</v>
      </c>
      <c r="C4274" t="inlineStr">
        <is>
          <t>S03</t>
        </is>
      </c>
      <c r="D4274" t="inlineStr">
        <is>
          <t>P103</t>
        </is>
      </c>
      <c r="E4274" t="n">
        <v>2</v>
      </c>
      <c r="F4274" t="n">
        <v>29</v>
      </c>
      <c r="G4274" t="n">
        <v>0</v>
      </c>
      <c r="H4274">
        <f>E4274*F4274*(1-G4274)</f>
        <v/>
      </c>
      <c r="I4274">
        <f>XLOOKUP(D4274,Products!$A$2:$A$15,Products!$B$2:$B$15,"Not found")</f>
        <v/>
      </c>
    </row>
    <row r="4275">
      <c r="A4275" t="n">
        <v>108594</v>
      </c>
      <c r="B4275" s="1" t="n">
        <v>46008</v>
      </c>
      <c r="C4275" t="inlineStr">
        <is>
          <t>S03</t>
        </is>
      </c>
      <c r="D4275" t="inlineStr">
        <is>
          <t>P102</t>
        </is>
      </c>
      <c r="E4275" t="n">
        <v>1</v>
      </c>
      <c r="F4275" t="n">
        <v>14.5</v>
      </c>
      <c r="G4275" t="n">
        <v>0.2</v>
      </c>
      <c r="H4275">
        <f>E4275*F4275*(1-G4275)</f>
        <v/>
      </c>
      <c r="I4275">
        <f>XLOOKUP(D4275,Products!$A$2:$A$15,Products!$B$2:$B$15,"Not found")</f>
        <v/>
      </c>
    </row>
    <row r="4276">
      <c r="A4276" t="n">
        <v>108595</v>
      </c>
      <c r="B4276" s="1" t="n">
        <v>46008</v>
      </c>
      <c r="C4276" t="inlineStr">
        <is>
          <t>S03</t>
        </is>
      </c>
      <c r="D4276" t="inlineStr">
        <is>
          <t>P102</t>
        </is>
      </c>
      <c r="E4276" t="n">
        <v>2</v>
      </c>
      <c r="F4276" t="n">
        <v>14.5</v>
      </c>
      <c r="G4276" t="n">
        <v>0.1</v>
      </c>
      <c r="H4276">
        <f>E4276*F4276*(1-G4276)</f>
        <v/>
      </c>
      <c r="I4276">
        <f>XLOOKUP(D4276,Products!$A$2:$A$15,Products!$B$2:$B$15,"Not found")</f>
        <v/>
      </c>
    </row>
    <row r="4277">
      <c r="A4277" t="n">
        <v>108596</v>
      </c>
      <c r="B4277" s="1" t="n">
        <v>46008</v>
      </c>
      <c r="C4277" t="inlineStr">
        <is>
          <t>S03</t>
        </is>
      </c>
      <c r="D4277" t="inlineStr">
        <is>
          <t>P103</t>
        </is>
      </c>
      <c r="E4277" t="n">
        <v>2</v>
      </c>
      <c r="F4277" t="n">
        <v>29</v>
      </c>
      <c r="G4277" t="n">
        <v>0.1</v>
      </c>
      <c r="H4277">
        <f>E4277*F4277*(1-G4277)</f>
        <v/>
      </c>
      <c r="I4277">
        <f>XLOOKUP(D4277,Products!$A$2:$A$15,Products!$B$2:$B$15,"Not found")</f>
        <v/>
      </c>
    </row>
    <row r="4278">
      <c r="A4278" t="n">
        <v>108597</v>
      </c>
      <c r="B4278" s="1" t="n">
        <v>46008</v>
      </c>
      <c r="C4278" t="inlineStr">
        <is>
          <t>S04</t>
        </is>
      </c>
      <c r="D4278" t="inlineStr">
        <is>
          <t>P103</t>
        </is>
      </c>
      <c r="E4278" t="n">
        <v>1</v>
      </c>
      <c r="F4278" t="n">
        <v>29</v>
      </c>
      <c r="G4278" t="n">
        <v>0</v>
      </c>
      <c r="H4278">
        <f>E4278*F4278*(1-G4278)</f>
        <v/>
      </c>
      <c r="I4278">
        <f>XLOOKUP(D4278,Products!$A$2:$A$15,Products!$B$2:$B$15,"Not found")</f>
        <v/>
      </c>
    </row>
    <row r="4279">
      <c r="A4279" t="n">
        <v>108598</v>
      </c>
      <c r="B4279" s="1" t="n">
        <v>46008</v>
      </c>
      <c r="C4279" t="inlineStr">
        <is>
          <t>S05</t>
        </is>
      </c>
      <c r="D4279" t="inlineStr">
        <is>
          <t>P302</t>
        </is>
      </c>
      <c r="E4279" t="n">
        <v>1</v>
      </c>
      <c r="F4279" t="n">
        <v>24</v>
      </c>
      <c r="G4279" t="n">
        <v>0</v>
      </c>
      <c r="H4279">
        <f>E4279*F4279*(1-G4279)</f>
        <v/>
      </c>
      <c r="I4279">
        <f>XLOOKUP(D4279,Products!$A$2:$A$15,Products!$B$2:$B$15,"Not found")</f>
        <v/>
      </c>
    </row>
    <row r="4280">
      <c r="A4280" t="n">
        <v>108599</v>
      </c>
      <c r="B4280" s="1" t="n">
        <v>46008</v>
      </c>
      <c r="C4280" t="inlineStr">
        <is>
          <t>S05</t>
        </is>
      </c>
      <c r="D4280" t="inlineStr">
        <is>
          <t>P102</t>
        </is>
      </c>
      <c r="E4280" t="n">
        <v>1</v>
      </c>
      <c r="F4280" t="n">
        <v>14.5</v>
      </c>
      <c r="G4280" t="n">
        <v>0</v>
      </c>
      <c r="H4280">
        <f>E4280*F4280*(1-G4280)</f>
        <v/>
      </c>
      <c r="I4280">
        <f>XLOOKUP(D4280,Products!$A$2:$A$15,Products!$B$2:$B$15,"Not found")</f>
        <v/>
      </c>
    </row>
    <row r="4281">
      <c r="A4281" t="n">
        <v>108600</v>
      </c>
      <c r="B4281" s="1" t="n">
        <v>46008</v>
      </c>
      <c r="C4281" t="inlineStr">
        <is>
          <t>S06</t>
        </is>
      </c>
      <c r="D4281" t="inlineStr">
        <is>
          <t>P301</t>
        </is>
      </c>
      <c r="E4281" t="n">
        <v>1</v>
      </c>
      <c r="F4281" t="n">
        <v>119</v>
      </c>
      <c r="G4281" t="n">
        <v>0.2</v>
      </c>
      <c r="H4281">
        <f>E4281*F4281*(1-G4281)</f>
        <v/>
      </c>
      <c r="I4281">
        <f>XLOOKUP(D4281,Products!$A$2:$A$15,Products!$B$2:$B$15,"Not found")</f>
        <v/>
      </c>
    </row>
    <row r="4282">
      <c r="A4282" t="n">
        <v>108601</v>
      </c>
      <c r="B4282" s="1" t="n">
        <v>46008</v>
      </c>
      <c r="C4282" t="inlineStr">
        <is>
          <t>S06</t>
        </is>
      </c>
      <c r="D4282" t="inlineStr">
        <is>
          <t>P102</t>
        </is>
      </c>
      <c r="E4282" t="n">
        <v>4</v>
      </c>
      <c r="F4282" t="n">
        <v>14.5</v>
      </c>
      <c r="G4282" t="n">
        <v>0</v>
      </c>
      <c r="H4282">
        <f>E4282*F4282*(1-G4282)</f>
        <v/>
      </c>
      <c r="I4282">
        <f>XLOOKUP(D4282,Products!$A$2:$A$15,Products!$B$2:$B$15,"Not found")</f>
        <v/>
      </c>
    </row>
    <row r="4283">
      <c r="A4283" t="n">
        <v>108602</v>
      </c>
      <c r="B4283" s="1" t="n">
        <v>46008</v>
      </c>
      <c r="C4283" t="inlineStr">
        <is>
          <t>S06</t>
        </is>
      </c>
      <c r="D4283" t="inlineStr">
        <is>
          <t>P203</t>
        </is>
      </c>
      <c r="E4283" t="n">
        <v>4</v>
      </c>
      <c r="F4283" t="n">
        <v>19.5</v>
      </c>
      <c r="G4283" t="n">
        <v>0</v>
      </c>
      <c r="H4283">
        <f>E4283*F4283*(1-G4283)</f>
        <v/>
      </c>
      <c r="I4283">
        <f>XLOOKUP(D4283,Products!$A$2:$A$15,Products!$B$2:$B$15,"Not found")</f>
        <v/>
      </c>
    </row>
    <row r="4284">
      <c r="A4284" t="n">
        <v>108603</v>
      </c>
      <c r="B4284" s="1" t="n">
        <v>46009</v>
      </c>
      <c r="C4284" t="inlineStr">
        <is>
          <t>S01</t>
        </is>
      </c>
      <c r="D4284" t="inlineStr">
        <is>
          <t>P203</t>
        </is>
      </c>
      <c r="E4284" t="n">
        <v>4</v>
      </c>
      <c r="F4284" t="n">
        <v>19.5</v>
      </c>
      <c r="G4284" t="n">
        <v>0.2</v>
      </c>
      <c r="H4284">
        <f>E4284*F4284*(1-G4284)</f>
        <v/>
      </c>
      <c r="I4284">
        <f>XLOOKUP(D4284,Products!$A$2:$A$15,Products!$B$2:$B$15,"Not found")</f>
        <v/>
      </c>
    </row>
    <row r="4285">
      <c r="A4285" t="n">
        <v>108604</v>
      </c>
      <c r="B4285" s="1" t="n">
        <v>46009</v>
      </c>
      <c r="C4285" t="inlineStr">
        <is>
          <t>S01</t>
        </is>
      </c>
      <c r="D4285" t="inlineStr">
        <is>
          <t>P201</t>
        </is>
      </c>
      <c r="E4285" t="n">
        <v>1</v>
      </c>
      <c r="F4285" t="n">
        <v>149</v>
      </c>
      <c r="G4285" t="n">
        <v>0</v>
      </c>
      <c r="H4285">
        <f>E4285*F4285*(1-G4285)</f>
        <v/>
      </c>
      <c r="I4285">
        <f>XLOOKUP(D4285,Products!$A$2:$A$15,Products!$B$2:$B$15,"Not found")</f>
        <v/>
      </c>
    </row>
    <row r="4286">
      <c r="A4286" t="n">
        <v>108605</v>
      </c>
      <c r="B4286" s="1" t="n">
        <v>46009</v>
      </c>
      <c r="C4286" t="inlineStr">
        <is>
          <t>S01</t>
        </is>
      </c>
      <c r="D4286" t="inlineStr">
        <is>
          <t>P204</t>
        </is>
      </c>
      <c r="E4286" t="n">
        <v>1</v>
      </c>
      <c r="F4286" t="n">
        <v>229</v>
      </c>
      <c r="G4286" t="n">
        <v>0.2</v>
      </c>
      <c r="H4286">
        <f>E4286*F4286*(1-G4286)</f>
        <v/>
      </c>
      <c r="I4286">
        <f>XLOOKUP(D4286,Products!$A$2:$A$15,Products!$B$2:$B$15,"Not found")</f>
        <v/>
      </c>
    </row>
    <row r="4287">
      <c r="A4287" t="n">
        <v>108606</v>
      </c>
      <c r="B4287" s="1" t="n">
        <v>46009</v>
      </c>
      <c r="C4287" t="inlineStr">
        <is>
          <t>S01</t>
        </is>
      </c>
      <c r="D4287" t="inlineStr">
        <is>
          <t>P103</t>
        </is>
      </c>
      <c r="E4287" t="n">
        <v>2</v>
      </c>
      <c r="F4287" t="n">
        <v>29</v>
      </c>
      <c r="G4287" t="n">
        <v>0</v>
      </c>
      <c r="H4287">
        <f>E4287*F4287*(1-G4287)</f>
        <v/>
      </c>
      <c r="I4287">
        <f>XLOOKUP(D4287,Products!$A$2:$A$15,Products!$B$2:$B$15,"Not found")</f>
        <v/>
      </c>
    </row>
    <row r="4288">
      <c r="A4288" t="n">
        <v>108607</v>
      </c>
      <c r="B4288" s="1" t="n">
        <v>46009</v>
      </c>
      <c r="C4288" t="inlineStr">
        <is>
          <t>S01</t>
        </is>
      </c>
      <c r="D4288" t="inlineStr">
        <is>
          <t>P203</t>
        </is>
      </c>
      <c r="E4288" t="n">
        <v>4</v>
      </c>
      <c r="F4288" t="n">
        <v>19.5</v>
      </c>
      <c r="G4288" t="n">
        <v>0</v>
      </c>
      <c r="H4288">
        <f>E4288*F4288*(1-G4288)</f>
        <v/>
      </c>
      <c r="I4288">
        <f>XLOOKUP(D4288,Products!$A$2:$A$15,Products!$B$2:$B$15,"Not found")</f>
        <v/>
      </c>
    </row>
    <row r="4289">
      <c r="A4289" t="n">
        <v>108608</v>
      </c>
      <c r="B4289" s="1" t="n">
        <v>46009</v>
      </c>
      <c r="C4289" t="inlineStr">
        <is>
          <t>S01</t>
        </is>
      </c>
      <c r="D4289" t="inlineStr">
        <is>
          <t>P104</t>
        </is>
      </c>
      <c r="E4289" t="n">
        <v>1</v>
      </c>
      <c r="F4289" t="n">
        <v>189</v>
      </c>
      <c r="G4289" t="n">
        <v>0</v>
      </c>
      <c r="H4289">
        <f>E4289*F4289*(1-G4289)</f>
        <v/>
      </c>
      <c r="I4289">
        <f>XLOOKUP(D4289,Products!$A$2:$A$15,Products!$B$2:$B$15,"Not found")</f>
        <v/>
      </c>
    </row>
    <row r="4290">
      <c r="A4290" t="n">
        <v>108609</v>
      </c>
      <c r="B4290" s="1" t="n">
        <v>46009</v>
      </c>
      <c r="C4290" t="inlineStr">
        <is>
          <t>S02</t>
        </is>
      </c>
      <c r="D4290" t="inlineStr">
        <is>
          <t>P203</t>
        </is>
      </c>
      <c r="E4290" t="n">
        <v>3</v>
      </c>
      <c r="F4290" t="n">
        <v>19.5</v>
      </c>
      <c r="G4290" t="n">
        <v>0</v>
      </c>
      <c r="H4290">
        <f>E4290*F4290*(1-G4290)</f>
        <v/>
      </c>
      <c r="I4290">
        <f>XLOOKUP(D4290,Products!$A$2:$A$15,Products!$B$2:$B$15,"Not found")</f>
        <v/>
      </c>
    </row>
    <row r="4291">
      <c r="A4291" t="n">
        <v>108610</v>
      </c>
      <c r="B4291" s="1" t="n">
        <v>46009</v>
      </c>
      <c r="C4291" t="inlineStr">
        <is>
          <t>S02</t>
        </is>
      </c>
      <c r="D4291" t="inlineStr">
        <is>
          <t>P101</t>
        </is>
      </c>
      <c r="E4291" t="n">
        <v>1</v>
      </c>
      <c r="F4291" t="n">
        <v>39</v>
      </c>
      <c r="G4291" t="n">
        <v>0.15</v>
      </c>
      <c r="H4291">
        <f>E4291*F4291*(1-G4291)</f>
        <v/>
      </c>
      <c r="I4291">
        <f>XLOOKUP(D4291,Products!$A$2:$A$15,Products!$B$2:$B$15,"Not found")</f>
        <v/>
      </c>
    </row>
    <row r="4292">
      <c r="A4292" t="n">
        <v>108611</v>
      </c>
      <c r="B4292" s="1" t="n">
        <v>46009</v>
      </c>
      <c r="C4292" t="inlineStr">
        <is>
          <t>S02</t>
        </is>
      </c>
      <c r="D4292" t="inlineStr">
        <is>
          <t>P102</t>
        </is>
      </c>
      <c r="E4292" t="n">
        <v>1</v>
      </c>
      <c r="F4292" t="n">
        <v>14.5</v>
      </c>
      <c r="G4292" t="n">
        <v>0</v>
      </c>
      <c r="H4292">
        <f>E4292*F4292*(1-G4292)</f>
        <v/>
      </c>
      <c r="I4292">
        <f>XLOOKUP(D4292,Products!$A$2:$A$15,Products!$B$2:$B$15,"Not found")</f>
        <v/>
      </c>
    </row>
    <row r="4293">
      <c r="A4293" t="n">
        <v>108612</v>
      </c>
      <c r="B4293" s="1" t="n">
        <v>46009</v>
      </c>
      <c r="C4293" t="inlineStr">
        <is>
          <t>S02</t>
        </is>
      </c>
      <c r="D4293" t="inlineStr">
        <is>
          <t>P102</t>
        </is>
      </c>
      <c r="E4293" t="n">
        <v>3</v>
      </c>
      <c r="F4293" t="n">
        <v>14.5</v>
      </c>
      <c r="G4293" t="n">
        <v>0.2</v>
      </c>
      <c r="H4293">
        <f>E4293*F4293*(1-G4293)</f>
        <v/>
      </c>
      <c r="I4293">
        <f>XLOOKUP(D4293,Products!$A$2:$A$15,Products!$B$2:$B$15,"Not found")</f>
        <v/>
      </c>
    </row>
    <row r="4294">
      <c r="A4294" t="n">
        <v>108613</v>
      </c>
      <c r="B4294" s="1" t="n">
        <v>46009</v>
      </c>
      <c r="C4294" t="inlineStr">
        <is>
          <t>S02</t>
        </is>
      </c>
      <c r="D4294" t="inlineStr">
        <is>
          <t>P102</t>
        </is>
      </c>
      <c r="E4294" t="n">
        <v>1</v>
      </c>
      <c r="F4294" t="n">
        <v>14.5</v>
      </c>
      <c r="G4294" t="n">
        <v>0</v>
      </c>
      <c r="H4294">
        <f>E4294*F4294*(1-G4294)</f>
        <v/>
      </c>
      <c r="I4294">
        <f>XLOOKUP(D4294,Products!$A$2:$A$15,Products!$B$2:$B$15,"Not found")</f>
        <v/>
      </c>
    </row>
    <row r="4295">
      <c r="A4295" t="n">
        <v>108614</v>
      </c>
      <c r="B4295" s="1" t="n">
        <v>46009</v>
      </c>
      <c r="C4295" t="inlineStr">
        <is>
          <t>S03</t>
        </is>
      </c>
      <c r="D4295" t="inlineStr">
        <is>
          <t>P303</t>
        </is>
      </c>
      <c r="E4295" t="n">
        <v>1</v>
      </c>
      <c r="F4295" t="n">
        <v>12</v>
      </c>
      <c r="G4295" t="n">
        <v>0</v>
      </c>
      <c r="H4295">
        <f>E4295*F4295*(1-G4295)</f>
        <v/>
      </c>
      <c r="I4295">
        <f>XLOOKUP(D4295,Products!$A$2:$A$15,Products!$B$2:$B$15,"Not found")</f>
        <v/>
      </c>
    </row>
    <row r="4296">
      <c r="A4296" t="n">
        <v>108615</v>
      </c>
      <c r="B4296" s="1" t="n">
        <v>46009</v>
      </c>
      <c r="C4296" t="inlineStr">
        <is>
          <t>S03</t>
        </is>
      </c>
      <c r="D4296" t="inlineStr">
        <is>
          <t>P301</t>
        </is>
      </c>
      <c r="E4296" t="n">
        <v>1</v>
      </c>
      <c r="F4296" t="n">
        <v>119</v>
      </c>
      <c r="G4296" t="n">
        <v>0</v>
      </c>
      <c r="H4296">
        <f>E4296*F4296*(1-G4296)</f>
        <v/>
      </c>
      <c r="I4296">
        <f>XLOOKUP(D4296,Products!$A$2:$A$15,Products!$B$2:$B$15,"Not found")</f>
        <v/>
      </c>
    </row>
    <row r="4297">
      <c r="A4297" t="n">
        <v>108616</v>
      </c>
      <c r="B4297" s="1" t="n">
        <v>46009</v>
      </c>
      <c r="C4297" t="inlineStr">
        <is>
          <t>S03</t>
        </is>
      </c>
      <c r="D4297" t="inlineStr">
        <is>
          <t>P203</t>
        </is>
      </c>
      <c r="E4297" t="n">
        <v>1</v>
      </c>
      <c r="F4297" t="n">
        <v>19.5</v>
      </c>
      <c r="G4297" t="n">
        <v>0.2</v>
      </c>
      <c r="H4297">
        <f>E4297*F4297*(1-G4297)</f>
        <v/>
      </c>
      <c r="I4297">
        <f>XLOOKUP(D4297,Products!$A$2:$A$15,Products!$B$2:$B$15,"Not found")</f>
        <v/>
      </c>
    </row>
    <row r="4298">
      <c r="A4298" t="n">
        <v>108617</v>
      </c>
      <c r="B4298" s="1" t="n">
        <v>46009</v>
      </c>
      <c r="C4298" t="inlineStr">
        <is>
          <t>S03</t>
        </is>
      </c>
      <c r="D4298" t="inlineStr">
        <is>
          <t>P102</t>
        </is>
      </c>
      <c r="E4298" t="n">
        <v>2</v>
      </c>
      <c r="F4298" t="n">
        <v>14.5</v>
      </c>
      <c r="G4298" t="n">
        <v>0</v>
      </c>
      <c r="H4298">
        <f>E4298*F4298*(1-G4298)</f>
        <v/>
      </c>
      <c r="I4298">
        <f>XLOOKUP(D4298,Products!$A$2:$A$15,Products!$B$2:$B$15,"Not found")</f>
        <v/>
      </c>
    </row>
    <row r="4299">
      <c r="A4299" t="n">
        <v>108618</v>
      </c>
      <c r="B4299" s="1" t="n">
        <v>46009</v>
      </c>
      <c r="C4299" t="inlineStr">
        <is>
          <t>S03</t>
        </is>
      </c>
      <c r="D4299" t="inlineStr">
        <is>
          <t>P101</t>
        </is>
      </c>
      <c r="E4299" t="n">
        <v>1</v>
      </c>
      <c r="F4299" t="n">
        <v>39</v>
      </c>
      <c r="G4299" t="n">
        <v>0</v>
      </c>
      <c r="H4299">
        <f>E4299*F4299*(1-G4299)</f>
        <v/>
      </c>
      <c r="I4299">
        <f>XLOOKUP(D4299,Products!$A$2:$A$15,Products!$B$2:$B$15,"Not found")</f>
        <v/>
      </c>
    </row>
    <row r="4300">
      <c r="A4300" t="n">
        <v>108619</v>
      </c>
      <c r="B4300" s="1" t="n">
        <v>46009</v>
      </c>
      <c r="C4300" t="inlineStr">
        <is>
          <t>S03</t>
        </is>
      </c>
      <c r="D4300" t="inlineStr">
        <is>
          <t>P301</t>
        </is>
      </c>
      <c r="E4300" t="n">
        <v>1</v>
      </c>
      <c r="F4300" t="n">
        <v>119</v>
      </c>
      <c r="G4300" t="n">
        <v>0</v>
      </c>
      <c r="H4300">
        <f>E4300*F4300*(1-G4300)</f>
        <v/>
      </c>
      <c r="I4300">
        <f>XLOOKUP(D4300,Products!$A$2:$A$15,Products!$B$2:$B$15,"Not found")</f>
        <v/>
      </c>
    </row>
    <row r="4301">
      <c r="A4301" t="n">
        <v>108620</v>
      </c>
      <c r="B4301" s="1" t="n">
        <v>46009</v>
      </c>
      <c r="C4301" t="inlineStr">
        <is>
          <t>S04</t>
        </is>
      </c>
      <c r="D4301" t="inlineStr">
        <is>
          <t>P204</t>
        </is>
      </c>
      <c r="E4301" t="n">
        <v>1</v>
      </c>
      <c r="F4301" t="n">
        <v>229</v>
      </c>
      <c r="G4301" t="n">
        <v>0.1</v>
      </c>
      <c r="H4301">
        <f>E4301*F4301*(1-G4301)</f>
        <v/>
      </c>
      <c r="I4301">
        <f>XLOOKUP(D4301,Products!$A$2:$A$15,Products!$B$2:$B$15,"Not found")</f>
        <v/>
      </c>
    </row>
    <row r="4302">
      <c r="A4302" t="n">
        <v>108621</v>
      </c>
      <c r="B4302" s="1" t="n">
        <v>46009</v>
      </c>
      <c r="C4302" t="inlineStr">
        <is>
          <t>S04</t>
        </is>
      </c>
      <c r="D4302" t="inlineStr">
        <is>
          <t>P103</t>
        </is>
      </c>
      <c r="E4302" t="n">
        <v>1</v>
      </c>
      <c r="F4302" t="n">
        <v>29</v>
      </c>
      <c r="G4302" t="n">
        <v>0</v>
      </c>
      <c r="H4302">
        <f>E4302*F4302*(1-G4302)</f>
        <v/>
      </c>
      <c r="I4302">
        <f>XLOOKUP(D4302,Products!$A$2:$A$15,Products!$B$2:$B$15,"Not found")</f>
        <v/>
      </c>
    </row>
    <row r="4303">
      <c r="A4303" t="n">
        <v>108622</v>
      </c>
      <c r="B4303" s="1" t="n">
        <v>46009</v>
      </c>
      <c r="C4303" t="inlineStr">
        <is>
          <t>S05</t>
        </is>
      </c>
      <c r="D4303" t="inlineStr">
        <is>
          <t>P303</t>
        </is>
      </c>
      <c r="E4303" t="n">
        <v>4</v>
      </c>
      <c r="F4303" t="n">
        <v>12</v>
      </c>
      <c r="G4303" t="n">
        <v>0</v>
      </c>
      <c r="H4303">
        <f>E4303*F4303*(1-G4303)</f>
        <v/>
      </c>
      <c r="I4303">
        <f>XLOOKUP(D4303,Products!$A$2:$A$15,Products!$B$2:$B$15,"Not found")</f>
        <v/>
      </c>
    </row>
    <row r="4304">
      <c r="A4304" t="n">
        <v>108623</v>
      </c>
      <c r="B4304" s="1" t="n">
        <v>46009</v>
      </c>
      <c r="C4304" t="inlineStr">
        <is>
          <t>S05</t>
        </is>
      </c>
      <c r="D4304" t="inlineStr">
        <is>
          <t>P203</t>
        </is>
      </c>
      <c r="E4304" t="n">
        <v>1</v>
      </c>
      <c r="F4304" t="n">
        <v>19.5</v>
      </c>
      <c r="G4304" t="n">
        <v>0.1</v>
      </c>
      <c r="H4304">
        <f>E4304*F4304*(1-G4304)</f>
        <v/>
      </c>
      <c r="I4304">
        <f>XLOOKUP(D4304,Products!$A$2:$A$15,Products!$B$2:$B$15,"Not found")</f>
        <v/>
      </c>
    </row>
    <row r="4305">
      <c r="A4305" t="n">
        <v>108624</v>
      </c>
      <c r="B4305" s="1" t="n">
        <v>46009</v>
      </c>
      <c r="C4305" t="inlineStr">
        <is>
          <t>S06</t>
        </is>
      </c>
      <c r="D4305" t="inlineStr">
        <is>
          <t>P101</t>
        </is>
      </c>
      <c r="E4305" t="n">
        <v>2</v>
      </c>
      <c r="F4305" t="n">
        <v>39</v>
      </c>
      <c r="G4305" t="n">
        <v>0</v>
      </c>
      <c r="H4305">
        <f>E4305*F4305*(1-G4305)</f>
        <v/>
      </c>
      <c r="I4305">
        <f>XLOOKUP(D4305,Products!$A$2:$A$15,Products!$B$2:$B$15,"Not found")</f>
        <v/>
      </c>
    </row>
    <row r="4306">
      <c r="A4306" t="n">
        <v>108625</v>
      </c>
      <c r="B4306" s="1" t="n">
        <v>46010</v>
      </c>
      <c r="C4306" t="inlineStr">
        <is>
          <t>S01</t>
        </is>
      </c>
      <c r="D4306" t="inlineStr">
        <is>
          <t>P102</t>
        </is>
      </c>
      <c r="E4306" t="n">
        <v>1</v>
      </c>
      <c r="F4306" t="n">
        <v>14.5</v>
      </c>
      <c r="G4306" t="n">
        <v>0</v>
      </c>
      <c r="H4306">
        <f>E4306*F4306*(1-G4306)</f>
        <v/>
      </c>
      <c r="I4306">
        <f>XLOOKUP(D4306,Products!$A$2:$A$15,Products!$B$2:$B$15,"Not found")</f>
        <v/>
      </c>
    </row>
    <row r="4307">
      <c r="A4307" t="n">
        <v>108626</v>
      </c>
      <c r="B4307" s="1" t="n">
        <v>46010</v>
      </c>
      <c r="C4307" t="inlineStr">
        <is>
          <t>S01</t>
        </is>
      </c>
      <c r="D4307" t="inlineStr">
        <is>
          <t>P201</t>
        </is>
      </c>
      <c r="E4307" t="n">
        <v>1</v>
      </c>
      <c r="F4307" t="n">
        <v>149</v>
      </c>
      <c r="G4307" t="n">
        <v>0.1</v>
      </c>
      <c r="H4307">
        <f>E4307*F4307*(1-G4307)</f>
        <v/>
      </c>
      <c r="I4307">
        <f>XLOOKUP(D4307,Products!$A$2:$A$15,Products!$B$2:$B$15,"Not found")</f>
        <v/>
      </c>
    </row>
    <row r="4308">
      <c r="A4308" t="n">
        <v>108627</v>
      </c>
      <c r="B4308" s="1" t="n">
        <v>46010</v>
      </c>
      <c r="C4308" t="inlineStr">
        <is>
          <t>S01</t>
        </is>
      </c>
      <c r="D4308" t="inlineStr">
        <is>
          <t>P402</t>
        </is>
      </c>
      <c r="E4308" t="n">
        <v>1</v>
      </c>
      <c r="F4308" t="n">
        <v>699</v>
      </c>
      <c r="G4308" t="n">
        <v>0</v>
      </c>
      <c r="H4308">
        <f>E4308*F4308*(1-G4308)</f>
        <v/>
      </c>
      <c r="I4308">
        <f>XLOOKUP(D4308,Products!$A$2:$A$15,Products!$B$2:$B$15,"Not found")</f>
        <v/>
      </c>
    </row>
    <row r="4309">
      <c r="A4309" t="n">
        <v>108628</v>
      </c>
      <c r="B4309" s="1" t="n">
        <v>46010</v>
      </c>
      <c r="C4309" t="inlineStr">
        <is>
          <t>S01</t>
        </is>
      </c>
      <c r="D4309" t="inlineStr">
        <is>
          <t>P202</t>
        </is>
      </c>
      <c r="E4309" t="n">
        <v>1</v>
      </c>
      <c r="F4309" t="n">
        <v>79</v>
      </c>
      <c r="G4309" t="n">
        <v>0</v>
      </c>
      <c r="H4309">
        <f>E4309*F4309*(1-G4309)</f>
        <v/>
      </c>
      <c r="I4309">
        <f>XLOOKUP(D4309,Products!$A$2:$A$15,Products!$B$2:$B$15,"Not found")</f>
        <v/>
      </c>
    </row>
    <row r="4310">
      <c r="A4310" t="n">
        <v>108629</v>
      </c>
      <c r="B4310" s="1" t="n">
        <v>46010</v>
      </c>
      <c r="C4310" t="inlineStr">
        <is>
          <t>S01</t>
        </is>
      </c>
      <c r="D4310" t="inlineStr">
        <is>
          <t>P103</t>
        </is>
      </c>
      <c r="E4310" t="n">
        <v>2</v>
      </c>
      <c r="F4310" t="n">
        <v>29</v>
      </c>
      <c r="G4310" t="n">
        <v>0</v>
      </c>
      <c r="H4310">
        <f>E4310*F4310*(1-G4310)</f>
        <v/>
      </c>
      <c r="I4310">
        <f>XLOOKUP(D4310,Products!$A$2:$A$15,Products!$B$2:$B$15,"Not found")</f>
        <v/>
      </c>
    </row>
    <row r="4311">
      <c r="A4311" t="n">
        <v>108630</v>
      </c>
      <c r="B4311" s="1" t="n">
        <v>46010</v>
      </c>
      <c r="C4311" t="inlineStr">
        <is>
          <t>S01</t>
        </is>
      </c>
      <c r="D4311" t="inlineStr">
        <is>
          <t>P203</t>
        </is>
      </c>
      <c r="E4311" t="n">
        <v>2</v>
      </c>
      <c r="F4311" t="n">
        <v>19.5</v>
      </c>
      <c r="G4311" t="n">
        <v>0.1</v>
      </c>
      <c r="H4311">
        <f>E4311*F4311*(1-G4311)</f>
        <v/>
      </c>
      <c r="I4311">
        <f>XLOOKUP(D4311,Products!$A$2:$A$15,Products!$B$2:$B$15,"Not found")</f>
        <v/>
      </c>
    </row>
    <row r="4312">
      <c r="A4312" t="n">
        <v>108631</v>
      </c>
      <c r="B4312" s="1" t="n">
        <v>46010</v>
      </c>
      <c r="C4312" t="inlineStr">
        <is>
          <t>S01</t>
        </is>
      </c>
      <c r="D4312" t="inlineStr">
        <is>
          <t>P302</t>
        </is>
      </c>
      <c r="E4312" t="n">
        <v>1</v>
      </c>
      <c r="F4312" t="n">
        <v>24</v>
      </c>
      <c r="G4312" t="n">
        <v>0.2</v>
      </c>
      <c r="H4312">
        <f>E4312*F4312*(1-G4312)</f>
        <v/>
      </c>
      <c r="I4312">
        <f>XLOOKUP(D4312,Products!$A$2:$A$15,Products!$B$2:$B$15,"Not found")</f>
        <v/>
      </c>
    </row>
    <row r="4313">
      <c r="A4313" t="n">
        <v>108632</v>
      </c>
      <c r="B4313" s="1" t="n">
        <v>46010</v>
      </c>
      <c r="C4313" t="inlineStr">
        <is>
          <t>S02</t>
        </is>
      </c>
      <c r="D4313" t="inlineStr">
        <is>
          <t>P103</t>
        </is>
      </c>
      <c r="E4313" t="n">
        <v>2</v>
      </c>
      <c r="F4313" t="n">
        <v>29</v>
      </c>
      <c r="G4313" t="n">
        <v>0.15</v>
      </c>
      <c r="H4313">
        <f>E4313*F4313*(1-G4313)</f>
        <v/>
      </c>
      <c r="I4313">
        <f>XLOOKUP(D4313,Products!$A$2:$A$15,Products!$B$2:$B$15,"Not found")</f>
        <v/>
      </c>
    </row>
    <row r="4314">
      <c r="A4314" t="n">
        <v>108633</v>
      </c>
      <c r="B4314" s="1" t="n">
        <v>46010</v>
      </c>
      <c r="C4314" t="inlineStr">
        <is>
          <t>S02</t>
        </is>
      </c>
      <c r="D4314" t="inlineStr">
        <is>
          <t>P102</t>
        </is>
      </c>
      <c r="E4314" t="n">
        <v>2</v>
      </c>
      <c r="F4314" t="n">
        <v>14.5</v>
      </c>
      <c r="G4314" t="n">
        <v>0</v>
      </c>
      <c r="H4314">
        <f>E4314*F4314*(1-G4314)</f>
        <v/>
      </c>
      <c r="I4314">
        <f>XLOOKUP(D4314,Products!$A$2:$A$15,Products!$B$2:$B$15,"Not found")</f>
        <v/>
      </c>
    </row>
    <row r="4315">
      <c r="A4315" t="n">
        <v>108634</v>
      </c>
      <c r="B4315" s="1" t="n">
        <v>46010</v>
      </c>
      <c r="C4315" t="inlineStr">
        <is>
          <t>S02</t>
        </is>
      </c>
      <c r="D4315" t="inlineStr">
        <is>
          <t>P301</t>
        </is>
      </c>
      <c r="E4315" t="n">
        <v>1</v>
      </c>
      <c r="F4315" t="n">
        <v>119</v>
      </c>
      <c r="G4315" t="n">
        <v>0.2</v>
      </c>
      <c r="H4315">
        <f>E4315*F4315*(1-G4315)</f>
        <v/>
      </c>
      <c r="I4315">
        <f>XLOOKUP(D4315,Products!$A$2:$A$15,Products!$B$2:$B$15,"Not found")</f>
        <v/>
      </c>
    </row>
    <row r="4316">
      <c r="A4316" t="n">
        <v>108635</v>
      </c>
      <c r="B4316" s="1" t="n">
        <v>46010</v>
      </c>
      <c r="C4316" t="inlineStr">
        <is>
          <t>S02</t>
        </is>
      </c>
      <c r="D4316" t="inlineStr">
        <is>
          <t>P303</t>
        </is>
      </c>
      <c r="E4316" t="n">
        <v>1</v>
      </c>
      <c r="F4316" t="n">
        <v>12</v>
      </c>
      <c r="G4316" t="n">
        <v>0.15</v>
      </c>
      <c r="H4316">
        <f>E4316*F4316*(1-G4316)</f>
        <v/>
      </c>
      <c r="I4316">
        <f>XLOOKUP(D4316,Products!$A$2:$A$15,Products!$B$2:$B$15,"Not found")</f>
        <v/>
      </c>
    </row>
    <row r="4317">
      <c r="A4317" t="n">
        <v>108636</v>
      </c>
      <c r="B4317" s="1" t="n">
        <v>46010</v>
      </c>
      <c r="C4317" t="inlineStr">
        <is>
          <t>S02</t>
        </is>
      </c>
      <c r="D4317" t="inlineStr">
        <is>
          <t>P202</t>
        </is>
      </c>
      <c r="E4317" t="n">
        <v>2</v>
      </c>
      <c r="F4317" t="n">
        <v>79</v>
      </c>
      <c r="G4317" t="n">
        <v>0</v>
      </c>
      <c r="H4317">
        <f>E4317*F4317*(1-G4317)</f>
        <v/>
      </c>
      <c r="I4317">
        <f>XLOOKUP(D4317,Products!$A$2:$A$15,Products!$B$2:$B$15,"Not found")</f>
        <v/>
      </c>
    </row>
    <row r="4318">
      <c r="A4318" t="n">
        <v>108637</v>
      </c>
      <c r="B4318" s="1" t="n">
        <v>46010</v>
      </c>
      <c r="C4318" t="inlineStr">
        <is>
          <t>S03</t>
        </is>
      </c>
      <c r="D4318" t="inlineStr">
        <is>
          <t>P302</t>
        </is>
      </c>
      <c r="E4318" t="n">
        <v>4</v>
      </c>
      <c r="F4318" t="n">
        <v>24</v>
      </c>
      <c r="G4318" t="n">
        <v>0</v>
      </c>
      <c r="H4318">
        <f>E4318*F4318*(1-G4318)</f>
        <v/>
      </c>
      <c r="I4318">
        <f>XLOOKUP(D4318,Products!$A$2:$A$15,Products!$B$2:$B$15,"Not found")</f>
        <v/>
      </c>
    </row>
    <row r="4319">
      <c r="A4319" t="n">
        <v>108638</v>
      </c>
      <c r="B4319" s="1" t="n">
        <v>46010</v>
      </c>
      <c r="C4319" t="inlineStr">
        <is>
          <t>S03</t>
        </is>
      </c>
      <c r="D4319" t="inlineStr">
        <is>
          <t>P202</t>
        </is>
      </c>
      <c r="E4319" t="n">
        <v>2</v>
      </c>
      <c r="F4319" t="n">
        <v>79</v>
      </c>
      <c r="G4319" t="n">
        <v>0</v>
      </c>
      <c r="H4319">
        <f>E4319*F4319*(1-G4319)</f>
        <v/>
      </c>
      <c r="I4319">
        <f>XLOOKUP(D4319,Products!$A$2:$A$15,Products!$B$2:$B$15,"Not found")</f>
        <v/>
      </c>
    </row>
    <row r="4320">
      <c r="A4320" t="n">
        <v>108639</v>
      </c>
      <c r="B4320" s="1" t="n">
        <v>46010</v>
      </c>
      <c r="C4320" t="inlineStr">
        <is>
          <t>S04</t>
        </is>
      </c>
      <c r="D4320" t="inlineStr">
        <is>
          <t>P303</t>
        </is>
      </c>
      <c r="E4320" t="n">
        <v>4</v>
      </c>
      <c r="F4320" t="n">
        <v>12</v>
      </c>
      <c r="G4320" t="n">
        <v>0.2</v>
      </c>
      <c r="H4320">
        <f>E4320*F4320*(1-G4320)</f>
        <v/>
      </c>
      <c r="I4320">
        <f>XLOOKUP(D4320,Products!$A$2:$A$15,Products!$B$2:$B$15,"Not found")</f>
        <v/>
      </c>
    </row>
    <row r="4321">
      <c r="A4321" t="n">
        <v>108640</v>
      </c>
      <c r="B4321" s="1" t="n">
        <v>46010</v>
      </c>
      <c r="C4321" t="inlineStr">
        <is>
          <t>S04</t>
        </is>
      </c>
      <c r="D4321" t="inlineStr">
        <is>
          <t>P303</t>
        </is>
      </c>
      <c r="E4321" t="n">
        <v>2</v>
      </c>
      <c r="F4321" t="n">
        <v>12</v>
      </c>
      <c r="G4321" t="n">
        <v>0</v>
      </c>
      <c r="H4321">
        <f>E4321*F4321*(1-G4321)</f>
        <v/>
      </c>
      <c r="I4321">
        <f>XLOOKUP(D4321,Products!$A$2:$A$15,Products!$B$2:$B$15,"Not found")</f>
        <v/>
      </c>
    </row>
    <row r="4322">
      <c r="A4322" t="n">
        <v>108641</v>
      </c>
      <c r="B4322" s="1" t="n">
        <v>46010</v>
      </c>
      <c r="C4322" t="inlineStr">
        <is>
          <t>S05</t>
        </is>
      </c>
      <c r="D4322" t="inlineStr">
        <is>
          <t>P203</t>
        </is>
      </c>
      <c r="E4322" t="n">
        <v>2</v>
      </c>
      <c r="F4322" t="n">
        <v>19.5</v>
      </c>
      <c r="G4322" t="n">
        <v>0.2</v>
      </c>
      <c r="H4322">
        <f>E4322*F4322*(1-G4322)</f>
        <v/>
      </c>
      <c r="I4322">
        <f>XLOOKUP(D4322,Products!$A$2:$A$15,Products!$B$2:$B$15,"Not found")</f>
        <v/>
      </c>
    </row>
    <row r="4323">
      <c r="A4323" t="n">
        <v>108642</v>
      </c>
      <c r="B4323" s="1" t="n">
        <v>46010</v>
      </c>
      <c r="C4323" t="inlineStr">
        <is>
          <t>S05</t>
        </is>
      </c>
      <c r="D4323" t="inlineStr">
        <is>
          <t>P201</t>
        </is>
      </c>
      <c r="E4323" t="n">
        <v>1</v>
      </c>
      <c r="F4323" t="n">
        <v>149</v>
      </c>
      <c r="G4323" t="n">
        <v>0</v>
      </c>
      <c r="H4323">
        <f>E4323*F4323*(1-G4323)</f>
        <v/>
      </c>
      <c r="I4323">
        <f>XLOOKUP(D4323,Products!$A$2:$A$15,Products!$B$2:$B$15,"Not found")</f>
        <v/>
      </c>
    </row>
    <row r="4324">
      <c r="A4324" t="n">
        <v>108643</v>
      </c>
      <c r="B4324" s="1" t="n">
        <v>46010</v>
      </c>
      <c r="C4324" t="inlineStr">
        <is>
          <t>S05</t>
        </is>
      </c>
      <c r="D4324" t="inlineStr">
        <is>
          <t>P401</t>
        </is>
      </c>
      <c r="E4324" t="n">
        <v>1</v>
      </c>
      <c r="F4324" t="n">
        <v>549</v>
      </c>
      <c r="G4324" t="n">
        <v>0.15</v>
      </c>
      <c r="H4324">
        <f>E4324*F4324*(1-G4324)</f>
        <v/>
      </c>
      <c r="I4324">
        <f>XLOOKUP(D4324,Products!$A$2:$A$15,Products!$B$2:$B$15,"Not found")</f>
        <v/>
      </c>
    </row>
    <row r="4325">
      <c r="A4325" t="n">
        <v>108644</v>
      </c>
      <c r="B4325" s="1" t="n">
        <v>46010</v>
      </c>
      <c r="C4325" t="inlineStr">
        <is>
          <t>S05</t>
        </is>
      </c>
      <c r="D4325" t="inlineStr">
        <is>
          <t>P204</t>
        </is>
      </c>
      <c r="E4325" t="n">
        <v>1</v>
      </c>
      <c r="F4325" t="n">
        <v>229</v>
      </c>
      <c r="G4325" t="n">
        <v>0.2</v>
      </c>
      <c r="H4325">
        <f>E4325*F4325*(1-G4325)</f>
        <v/>
      </c>
      <c r="I4325">
        <f>XLOOKUP(D4325,Products!$A$2:$A$15,Products!$B$2:$B$15,"Not found")</f>
        <v/>
      </c>
    </row>
    <row r="4326">
      <c r="A4326" t="n">
        <v>108645</v>
      </c>
      <c r="B4326" s="1" t="n">
        <v>46010</v>
      </c>
      <c r="C4326" t="inlineStr">
        <is>
          <t>S05</t>
        </is>
      </c>
      <c r="D4326" t="inlineStr">
        <is>
          <t>P101</t>
        </is>
      </c>
      <c r="E4326" t="n">
        <v>4</v>
      </c>
      <c r="F4326" t="n">
        <v>39</v>
      </c>
      <c r="G4326" t="n">
        <v>0.2</v>
      </c>
      <c r="H4326">
        <f>E4326*F4326*(1-G4326)</f>
        <v/>
      </c>
      <c r="I4326">
        <f>XLOOKUP(D4326,Products!$A$2:$A$15,Products!$B$2:$B$15,"Not found")</f>
        <v/>
      </c>
    </row>
    <row r="4327">
      <c r="A4327" t="n">
        <v>108646</v>
      </c>
      <c r="B4327" s="1" t="n">
        <v>46010</v>
      </c>
      <c r="C4327" t="inlineStr">
        <is>
          <t>S05</t>
        </is>
      </c>
      <c r="D4327" t="inlineStr">
        <is>
          <t>P102</t>
        </is>
      </c>
      <c r="E4327" t="n">
        <v>3</v>
      </c>
      <c r="F4327" t="n">
        <v>14.5</v>
      </c>
      <c r="G4327" t="n">
        <v>0</v>
      </c>
      <c r="H4327">
        <f>E4327*F4327*(1-G4327)</f>
        <v/>
      </c>
      <c r="I4327">
        <f>XLOOKUP(D4327,Products!$A$2:$A$15,Products!$B$2:$B$15,"Not found")</f>
        <v/>
      </c>
    </row>
    <row r="4328">
      <c r="A4328" t="n">
        <v>108647</v>
      </c>
      <c r="B4328" s="1" t="n">
        <v>46010</v>
      </c>
      <c r="C4328" t="inlineStr">
        <is>
          <t>S06</t>
        </is>
      </c>
      <c r="D4328" t="inlineStr">
        <is>
          <t>P301</t>
        </is>
      </c>
      <c r="E4328" t="n">
        <v>1</v>
      </c>
      <c r="F4328" t="n">
        <v>119</v>
      </c>
      <c r="G4328" t="n">
        <v>0</v>
      </c>
      <c r="H4328">
        <f>E4328*F4328*(1-G4328)</f>
        <v/>
      </c>
      <c r="I4328">
        <f>XLOOKUP(D4328,Products!$A$2:$A$15,Products!$B$2:$B$15,"Not found")</f>
        <v/>
      </c>
    </row>
    <row r="4329">
      <c r="A4329" t="n">
        <v>108648</v>
      </c>
      <c r="B4329" s="1" t="n">
        <v>46010</v>
      </c>
      <c r="C4329" t="inlineStr">
        <is>
          <t>S06</t>
        </is>
      </c>
      <c r="D4329" t="inlineStr">
        <is>
          <t>P202</t>
        </is>
      </c>
      <c r="E4329" t="n">
        <v>1</v>
      </c>
      <c r="F4329" t="n">
        <v>79</v>
      </c>
      <c r="G4329" t="n">
        <v>0</v>
      </c>
      <c r="H4329">
        <f>E4329*F4329*(1-G4329)</f>
        <v/>
      </c>
      <c r="I4329">
        <f>XLOOKUP(D4329,Products!$A$2:$A$15,Products!$B$2:$B$15,"Not found")</f>
        <v/>
      </c>
    </row>
    <row r="4330">
      <c r="A4330" t="n">
        <v>108649</v>
      </c>
      <c r="B4330" s="1" t="n">
        <v>46011</v>
      </c>
      <c r="C4330" t="inlineStr">
        <is>
          <t>S01</t>
        </is>
      </c>
      <c r="D4330" t="inlineStr">
        <is>
          <t>P203</t>
        </is>
      </c>
      <c r="E4330" t="n">
        <v>4</v>
      </c>
      <c r="F4330" t="n">
        <v>19.5</v>
      </c>
      <c r="G4330" t="n">
        <v>0</v>
      </c>
      <c r="H4330">
        <f>E4330*F4330*(1-G4330)</f>
        <v/>
      </c>
      <c r="I4330">
        <f>XLOOKUP(D4330,Products!$A$2:$A$15,Products!$B$2:$B$15,"Not found")</f>
        <v/>
      </c>
    </row>
    <row r="4331">
      <c r="A4331" t="n">
        <v>108650</v>
      </c>
      <c r="B4331" s="1" t="n">
        <v>46011</v>
      </c>
      <c r="C4331" t="inlineStr">
        <is>
          <t>S01</t>
        </is>
      </c>
      <c r="D4331" t="inlineStr">
        <is>
          <t>P303</t>
        </is>
      </c>
      <c r="E4331" t="n">
        <v>4</v>
      </c>
      <c r="F4331" t="n">
        <v>12</v>
      </c>
      <c r="G4331" t="n">
        <v>0</v>
      </c>
      <c r="H4331">
        <f>E4331*F4331*(1-G4331)</f>
        <v/>
      </c>
      <c r="I4331">
        <f>XLOOKUP(D4331,Products!$A$2:$A$15,Products!$B$2:$B$15,"Not found")</f>
        <v/>
      </c>
    </row>
    <row r="4332">
      <c r="A4332" t="n">
        <v>108651</v>
      </c>
      <c r="B4332" s="1" t="n">
        <v>46011</v>
      </c>
      <c r="C4332" t="inlineStr">
        <is>
          <t>S01</t>
        </is>
      </c>
      <c r="D4332" t="inlineStr">
        <is>
          <t>P104</t>
        </is>
      </c>
      <c r="E4332" t="n">
        <v>1</v>
      </c>
      <c r="F4332" t="n">
        <v>189</v>
      </c>
      <c r="G4332" t="n">
        <v>0</v>
      </c>
      <c r="H4332">
        <f>E4332*F4332*(1-G4332)</f>
        <v/>
      </c>
      <c r="I4332">
        <f>XLOOKUP(D4332,Products!$A$2:$A$15,Products!$B$2:$B$15,"Not found")</f>
        <v/>
      </c>
    </row>
    <row r="4333">
      <c r="A4333" t="n">
        <v>108652</v>
      </c>
      <c r="B4333" s="1" t="n">
        <v>46011</v>
      </c>
      <c r="C4333" t="inlineStr">
        <is>
          <t>S01</t>
        </is>
      </c>
      <c r="D4333" t="inlineStr">
        <is>
          <t>P302</t>
        </is>
      </c>
      <c r="E4333" t="n">
        <v>3</v>
      </c>
      <c r="F4333" t="n">
        <v>24</v>
      </c>
      <c r="G4333" t="n">
        <v>0.2</v>
      </c>
      <c r="H4333">
        <f>E4333*F4333*(1-G4333)</f>
        <v/>
      </c>
      <c r="I4333">
        <f>XLOOKUP(D4333,Products!$A$2:$A$15,Products!$B$2:$B$15,"Not found")</f>
        <v/>
      </c>
    </row>
    <row r="4334">
      <c r="A4334" t="n">
        <v>108653</v>
      </c>
      <c r="B4334" s="1" t="n">
        <v>46011</v>
      </c>
      <c r="C4334" t="inlineStr">
        <is>
          <t>S01</t>
        </is>
      </c>
      <c r="D4334" t="inlineStr">
        <is>
          <t>P302</t>
        </is>
      </c>
      <c r="E4334" t="n">
        <v>3</v>
      </c>
      <c r="F4334" t="n">
        <v>24</v>
      </c>
      <c r="G4334" t="n">
        <v>0.1</v>
      </c>
      <c r="H4334">
        <f>E4334*F4334*(1-G4334)</f>
        <v/>
      </c>
      <c r="I4334">
        <f>XLOOKUP(D4334,Products!$A$2:$A$15,Products!$B$2:$B$15,"Not found")</f>
        <v/>
      </c>
    </row>
    <row r="4335">
      <c r="A4335" t="n">
        <v>108654</v>
      </c>
      <c r="B4335" s="1" t="n">
        <v>46011</v>
      </c>
      <c r="C4335" t="inlineStr">
        <is>
          <t>S02</t>
        </is>
      </c>
      <c r="D4335" t="inlineStr">
        <is>
          <t>P102</t>
        </is>
      </c>
      <c r="E4335" t="n">
        <v>3</v>
      </c>
      <c r="F4335" t="n">
        <v>14.5</v>
      </c>
      <c r="G4335" t="n">
        <v>0</v>
      </c>
      <c r="H4335">
        <f>E4335*F4335*(1-G4335)</f>
        <v/>
      </c>
      <c r="I4335">
        <f>XLOOKUP(D4335,Products!$A$2:$A$15,Products!$B$2:$B$15,"Not found")</f>
        <v/>
      </c>
    </row>
    <row r="4336">
      <c r="A4336" t="n">
        <v>108655</v>
      </c>
      <c r="B4336" s="1" t="n">
        <v>46011</v>
      </c>
      <c r="C4336" t="inlineStr">
        <is>
          <t>S02</t>
        </is>
      </c>
      <c r="D4336" t="inlineStr">
        <is>
          <t>P302</t>
        </is>
      </c>
      <c r="E4336" t="n">
        <v>1</v>
      </c>
      <c r="F4336" t="n">
        <v>24</v>
      </c>
      <c r="G4336" t="n">
        <v>0</v>
      </c>
      <c r="H4336">
        <f>E4336*F4336*(1-G4336)</f>
        <v/>
      </c>
      <c r="I4336">
        <f>XLOOKUP(D4336,Products!$A$2:$A$15,Products!$B$2:$B$15,"Not found")</f>
        <v/>
      </c>
    </row>
    <row r="4337">
      <c r="A4337" t="n">
        <v>108656</v>
      </c>
      <c r="B4337" s="1" t="n">
        <v>46011</v>
      </c>
      <c r="C4337" t="inlineStr">
        <is>
          <t>S02</t>
        </is>
      </c>
      <c r="D4337" t="inlineStr">
        <is>
          <t>P202</t>
        </is>
      </c>
      <c r="E4337" t="n">
        <v>4</v>
      </c>
      <c r="F4337" t="n">
        <v>79</v>
      </c>
      <c r="G4337" t="n">
        <v>0</v>
      </c>
      <c r="H4337">
        <f>E4337*F4337*(1-G4337)</f>
        <v/>
      </c>
      <c r="I4337">
        <f>XLOOKUP(D4337,Products!$A$2:$A$15,Products!$B$2:$B$15,"Not found")</f>
        <v/>
      </c>
    </row>
    <row r="4338">
      <c r="A4338" t="n">
        <v>108657</v>
      </c>
      <c r="B4338" s="1" t="n">
        <v>46011</v>
      </c>
      <c r="C4338" t="inlineStr">
        <is>
          <t>S02</t>
        </is>
      </c>
      <c r="D4338" t="inlineStr">
        <is>
          <t>P301</t>
        </is>
      </c>
      <c r="E4338" t="n">
        <v>1</v>
      </c>
      <c r="F4338" t="n">
        <v>119</v>
      </c>
      <c r="G4338" t="n">
        <v>0.2</v>
      </c>
      <c r="H4338">
        <f>E4338*F4338*(1-G4338)</f>
        <v/>
      </c>
      <c r="I4338">
        <f>XLOOKUP(D4338,Products!$A$2:$A$15,Products!$B$2:$B$15,"Not found")</f>
        <v/>
      </c>
    </row>
    <row r="4339">
      <c r="A4339" t="n">
        <v>108658</v>
      </c>
      <c r="B4339" s="1" t="n">
        <v>46011</v>
      </c>
      <c r="C4339" t="inlineStr">
        <is>
          <t>S03</t>
        </is>
      </c>
      <c r="D4339" t="inlineStr">
        <is>
          <t>P202</t>
        </is>
      </c>
      <c r="E4339" t="n">
        <v>1</v>
      </c>
      <c r="F4339" t="n">
        <v>79</v>
      </c>
      <c r="G4339" t="n">
        <v>0.2</v>
      </c>
      <c r="H4339">
        <f>E4339*F4339*(1-G4339)</f>
        <v/>
      </c>
      <c r="I4339">
        <f>XLOOKUP(D4339,Products!$A$2:$A$15,Products!$B$2:$B$15,"Not found")</f>
        <v/>
      </c>
    </row>
    <row r="4340">
      <c r="A4340" t="n">
        <v>108659</v>
      </c>
      <c r="B4340" s="1" t="n">
        <v>46011</v>
      </c>
      <c r="C4340" t="inlineStr">
        <is>
          <t>S03</t>
        </is>
      </c>
      <c r="D4340" t="inlineStr">
        <is>
          <t>P303</t>
        </is>
      </c>
      <c r="E4340" t="n">
        <v>1</v>
      </c>
      <c r="F4340" t="n">
        <v>12</v>
      </c>
      <c r="G4340" t="n">
        <v>0.2</v>
      </c>
      <c r="H4340">
        <f>E4340*F4340*(1-G4340)</f>
        <v/>
      </c>
      <c r="I4340">
        <f>XLOOKUP(D4340,Products!$A$2:$A$15,Products!$B$2:$B$15,"Not found")</f>
        <v/>
      </c>
    </row>
    <row r="4341">
      <c r="A4341" t="n">
        <v>108660</v>
      </c>
      <c r="B4341" s="1" t="n">
        <v>46011</v>
      </c>
      <c r="C4341" t="inlineStr">
        <is>
          <t>S03</t>
        </is>
      </c>
      <c r="D4341" t="inlineStr">
        <is>
          <t>P303</t>
        </is>
      </c>
      <c r="E4341" t="n">
        <v>2</v>
      </c>
      <c r="F4341" t="n">
        <v>12</v>
      </c>
      <c r="G4341" t="n">
        <v>0.15</v>
      </c>
      <c r="H4341">
        <f>E4341*F4341*(1-G4341)</f>
        <v/>
      </c>
      <c r="I4341">
        <f>XLOOKUP(D4341,Products!$A$2:$A$15,Products!$B$2:$B$15,"Not found")</f>
        <v/>
      </c>
    </row>
    <row r="4342">
      <c r="A4342" t="n">
        <v>108661</v>
      </c>
      <c r="B4342" s="1" t="n">
        <v>46011</v>
      </c>
      <c r="C4342" t="inlineStr">
        <is>
          <t>S04</t>
        </is>
      </c>
      <c r="D4342" t="inlineStr">
        <is>
          <t>P303</t>
        </is>
      </c>
      <c r="E4342" t="n">
        <v>2</v>
      </c>
      <c r="F4342" t="n">
        <v>12</v>
      </c>
      <c r="G4342" t="n">
        <v>0</v>
      </c>
      <c r="H4342">
        <f>E4342*F4342*(1-G4342)</f>
        <v/>
      </c>
      <c r="I4342">
        <f>XLOOKUP(D4342,Products!$A$2:$A$15,Products!$B$2:$B$15,"Not found")</f>
        <v/>
      </c>
    </row>
    <row r="4343">
      <c r="A4343" t="n">
        <v>108662</v>
      </c>
      <c r="B4343" s="1" t="n">
        <v>46011</v>
      </c>
      <c r="C4343" t="inlineStr">
        <is>
          <t>S04</t>
        </is>
      </c>
      <c r="D4343" t="inlineStr">
        <is>
          <t>P201</t>
        </is>
      </c>
      <c r="E4343" t="n">
        <v>1</v>
      </c>
      <c r="F4343" t="n">
        <v>149</v>
      </c>
      <c r="G4343" t="n">
        <v>0</v>
      </c>
      <c r="H4343">
        <f>E4343*F4343*(1-G4343)</f>
        <v/>
      </c>
      <c r="I4343">
        <f>XLOOKUP(D4343,Products!$A$2:$A$15,Products!$B$2:$B$15,"Not found")</f>
        <v/>
      </c>
    </row>
    <row r="4344">
      <c r="A4344" t="n">
        <v>108663</v>
      </c>
      <c r="B4344" s="1" t="n">
        <v>46011</v>
      </c>
      <c r="C4344" t="inlineStr">
        <is>
          <t>S04</t>
        </is>
      </c>
      <c r="D4344" t="inlineStr">
        <is>
          <t>P102</t>
        </is>
      </c>
      <c r="E4344" t="n">
        <v>1</v>
      </c>
      <c r="F4344" t="n">
        <v>14.5</v>
      </c>
      <c r="G4344" t="n">
        <v>0</v>
      </c>
      <c r="H4344">
        <f>E4344*F4344*(1-G4344)</f>
        <v/>
      </c>
      <c r="I4344">
        <f>XLOOKUP(D4344,Products!$A$2:$A$15,Products!$B$2:$B$15,"Not found")</f>
        <v/>
      </c>
    </row>
    <row r="4345">
      <c r="A4345" t="n">
        <v>108664</v>
      </c>
      <c r="B4345" s="1" t="n">
        <v>46011</v>
      </c>
      <c r="C4345" t="inlineStr">
        <is>
          <t>S04</t>
        </is>
      </c>
      <c r="D4345" t="inlineStr">
        <is>
          <t>P202</t>
        </is>
      </c>
      <c r="E4345" t="n">
        <v>4</v>
      </c>
      <c r="F4345" t="n">
        <v>79</v>
      </c>
      <c r="G4345" t="n">
        <v>0</v>
      </c>
      <c r="H4345">
        <f>E4345*F4345*(1-G4345)</f>
        <v/>
      </c>
      <c r="I4345">
        <f>XLOOKUP(D4345,Products!$A$2:$A$15,Products!$B$2:$B$15,"Not found")</f>
        <v/>
      </c>
    </row>
    <row r="4346">
      <c r="A4346" t="n">
        <v>108665</v>
      </c>
      <c r="B4346" s="1" t="n">
        <v>46011</v>
      </c>
      <c r="C4346" t="inlineStr">
        <is>
          <t>S04</t>
        </is>
      </c>
      <c r="D4346" t="inlineStr">
        <is>
          <t>P102</t>
        </is>
      </c>
      <c r="E4346" t="n">
        <v>2</v>
      </c>
      <c r="F4346" t="n">
        <v>14.5</v>
      </c>
      <c r="G4346" t="n">
        <v>0.1</v>
      </c>
      <c r="H4346">
        <f>E4346*F4346*(1-G4346)</f>
        <v/>
      </c>
      <c r="I4346">
        <f>XLOOKUP(D4346,Products!$A$2:$A$15,Products!$B$2:$B$15,"Not found")</f>
        <v/>
      </c>
    </row>
    <row r="4347">
      <c r="A4347" t="n">
        <v>108666</v>
      </c>
      <c r="B4347" s="1" t="n">
        <v>46011</v>
      </c>
      <c r="C4347" t="inlineStr">
        <is>
          <t>S04</t>
        </is>
      </c>
      <c r="D4347" t="inlineStr">
        <is>
          <t>P402</t>
        </is>
      </c>
      <c r="E4347" t="n">
        <v>1</v>
      </c>
      <c r="F4347" t="n">
        <v>699</v>
      </c>
      <c r="G4347" t="n">
        <v>0</v>
      </c>
      <c r="H4347">
        <f>E4347*F4347*(1-G4347)</f>
        <v/>
      </c>
      <c r="I4347">
        <f>XLOOKUP(D4347,Products!$A$2:$A$15,Products!$B$2:$B$15,"Not found")</f>
        <v/>
      </c>
    </row>
    <row r="4348">
      <c r="A4348" t="n">
        <v>108667</v>
      </c>
      <c r="B4348" s="1" t="n">
        <v>46011</v>
      </c>
      <c r="C4348" t="inlineStr">
        <is>
          <t>S04</t>
        </is>
      </c>
      <c r="D4348" t="inlineStr">
        <is>
          <t>P102</t>
        </is>
      </c>
      <c r="E4348" t="n">
        <v>2</v>
      </c>
      <c r="F4348" t="n">
        <v>14.5</v>
      </c>
      <c r="G4348" t="n">
        <v>0.15</v>
      </c>
      <c r="H4348">
        <f>E4348*F4348*(1-G4348)</f>
        <v/>
      </c>
      <c r="I4348">
        <f>XLOOKUP(D4348,Products!$A$2:$A$15,Products!$B$2:$B$15,"Not found")</f>
        <v/>
      </c>
    </row>
    <row r="4349">
      <c r="A4349" t="n">
        <v>108668</v>
      </c>
      <c r="B4349" s="1" t="n">
        <v>46011</v>
      </c>
      <c r="C4349" t="inlineStr">
        <is>
          <t>S06</t>
        </is>
      </c>
      <c r="D4349" t="inlineStr">
        <is>
          <t>P204</t>
        </is>
      </c>
      <c r="E4349" t="n">
        <v>1</v>
      </c>
      <c r="F4349" t="n">
        <v>229</v>
      </c>
      <c r="G4349" t="n">
        <v>0</v>
      </c>
      <c r="H4349">
        <f>E4349*F4349*(1-G4349)</f>
        <v/>
      </c>
      <c r="I4349">
        <f>XLOOKUP(D4349,Products!$A$2:$A$15,Products!$B$2:$B$15,"Not found")</f>
        <v/>
      </c>
    </row>
    <row r="4350">
      <c r="A4350" t="n">
        <v>108669</v>
      </c>
      <c r="B4350" s="1" t="n">
        <v>46011</v>
      </c>
      <c r="C4350" t="inlineStr">
        <is>
          <t>S06</t>
        </is>
      </c>
      <c r="D4350" t="inlineStr">
        <is>
          <t>P101</t>
        </is>
      </c>
      <c r="E4350" t="n">
        <v>1</v>
      </c>
      <c r="F4350" t="n">
        <v>39</v>
      </c>
      <c r="G4350" t="n">
        <v>0</v>
      </c>
      <c r="H4350">
        <f>E4350*F4350*(1-G4350)</f>
        <v/>
      </c>
      <c r="I4350">
        <f>XLOOKUP(D4350,Products!$A$2:$A$15,Products!$B$2:$B$15,"Not found")</f>
        <v/>
      </c>
    </row>
    <row r="4351">
      <c r="A4351" t="n">
        <v>108670</v>
      </c>
      <c r="B4351" s="1" t="n">
        <v>46012</v>
      </c>
      <c r="C4351" t="inlineStr">
        <is>
          <t>S01</t>
        </is>
      </c>
      <c r="D4351" t="inlineStr">
        <is>
          <t>P202</t>
        </is>
      </c>
      <c r="E4351" t="n">
        <v>4</v>
      </c>
      <c r="F4351" t="n">
        <v>79</v>
      </c>
      <c r="G4351" t="n">
        <v>0.15</v>
      </c>
      <c r="H4351">
        <f>E4351*F4351*(1-G4351)</f>
        <v/>
      </c>
      <c r="I4351">
        <f>XLOOKUP(D4351,Products!$A$2:$A$15,Products!$B$2:$B$15,"Not found")</f>
        <v/>
      </c>
    </row>
    <row r="4352">
      <c r="A4352" t="n">
        <v>108671</v>
      </c>
      <c r="B4352" s="1" t="n">
        <v>46012</v>
      </c>
      <c r="C4352" t="inlineStr">
        <is>
          <t>S01</t>
        </is>
      </c>
      <c r="D4352" t="inlineStr">
        <is>
          <t>P102</t>
        </is>
      </c>
      <c r="E4352" t="n">
        <v>2</v>
      </c>
      <c r="F4352" t="n">
        <v>14.5</v>
      </c>
      <c r="G4352" t="n">
        <v>0</v>
      </c>
      <c r="H4352">
        <f>E4352*F4352*(1-G4352)</f>
        <v/>
      </c>
      <c r="I4352">
        <f>XLOOKUP(D4352,Products!$A$2:$A$15,Products!$B$2:$B$15,"Not found")</f>
        <v/>
      </c>
    </row>
    <row r="4353">
      <c r="A4353" t="n">
        <v>108672</v>
      </c>
      <c r="B4353" s="1" t="n">
        <v>46012</v>
      </c>
      <c r="C4353" t="inlineStr">
        <is>
          <t>S01</t>
        </is>
      </c>
      <c r="D4353" t="inlineStr">
        <is>
          <t>P203</t>
        </is>
      </c>
      <c r="E4353" t="n">
        <v>1</v>
      </c>
      <c r="F4353" t="n">
        <v>19.5</v>
      </c>
      <c r="G4353" t="n">
        <v>0.2</v>
      </c>
      <c r="H4353">
        <f>E4353*F4353*(1-G4353)</f>
        <v/>
      </c>
      <c r="I4353">
        <f>XLOOKUP(D4353,Products!$A$2:$A$15,Products!$B$2:$B$15,"Not found")</f>
        <v/>
      </c>
    </row>
    <row r="4354">
      <c r="A4354" t="n">
        <v>108673</v>
      </c>
      <c r="B4354" s="1" t="n">
        <v>46012</v>
      </c>
      <c r="C4354" t="inlineStr">
        <is>
          <t>S02</t>
        </is>
      </c>
      <c r="D4354" t="inlineStr">
        <is>
          <t>P302</t>
        </is>
      </c>
      <c r="E4354" t="n">
        <v>1</v>
      </c>
      <c r="F4354" t="n">
        <v>24</v>
      </c>
      <c r="G4354" t="n">
        <v>0</v>
      </c>
      <c r="H4354">
        <f>E4354*F4354*(1-G4354)</f>
        <v/>
      </c>
      <c r="I4354">
        <f>XLOOKUP(D4354,Products!$A$2:$A$15,Products!$B$2:$B$15,"Not found")</f>
        <v/>
      </c>
    </row>
    <row r="4355">
      <c r="A4355" t="n">
        <v>108674</v>
      </c>
      <c r="B4355" s="1" t="n">
        <v>46012</v>
      </c>
      <c r="C4355" t="inlineStr">
        <is>
          <t>S02</t>
        </is>
      </c>
      <c r="D4355" t="inlineStr">
        <is>
          <t>P102</t>
        </is>
      </c>
      <c r="E4355" t="n">
        <v>2</v>
      </c>
      <c r="F4355" t="n">
        <v>14.5</v>
      </c>
      <c r="G4355" t="n">
        <v>0.2</v>
      </c>
      <c r="H4355">
        <f>E4355*F4355*(1-G4355)</f>
        <v/>
      </c>
      <c r="I4355">
        <f>XLOOKUP(D4355,Products!$A$2:$A$15,Products!$B$2:$B$15,"Not found")</f>
        <v/>
      </c>
    </row>
    <row r="4356">
      <c r="A4356" t="n">
        <v>108675</v>
      </c>
      <c r="B4356" s="1" t="n">
        <v>46012</v>
      </c>
      <c r="C4356" t="inlineStr">
        <is>
          <t>S02</t>
        </is>
      </c>
      <c r="D4356" t="inlineStr">
        <is>
          <t>P203</t>
        </is>
      </c>
      <c r="E4356" t="n">
        <v>1</v>
      </c>
      <c r="F4356" t="n">
        <v>19.5</v>
      </c>
      <c r="G4356" t="n">
        <v>0</v>
      </c>
      <c r="H4356">
        <f>E4356*F4356*(1-G4356)</f>
        <v/>
      </c>
      <c r="I4356">
        <f>XLOOKUP(D4356,Products!$A$2:$A$15,Products!$B$2:$B$15,"Not found")</f>
        <v/>
      </c>
    </row>
    <row r="4357">
      <c r="A4357" t="n">
        <v>108676</v>
      </c>
      <c r="B4357" s="1" t="n">
        <v>46012</v>
      </c>
      <c r="C4357" t="inlineStr">
        <is>
          <t>S03</t>
        </is>
      </c>
      <c r="D4357" t="inlineStr">
        <is>
          <t>P102</t>
        </is>
      </c>
      <c r="E4357" t="n">
        <v>1</v>
      </c>
      <c r="F4357" t="n">
        <v>14.5</v>
      </c>
      <c r="G4357" t="n">
        <v>0</v>
      </c>
      <c r="H4357">
        <f>E4357*F4357*(1-G4357)</f>
        <v/>
      </c>
      <c r="I4357">
        <f>XLOOKUP(D4357,Products!$A$2:$A$15,Products!$B$2:$B$15,"Not found")</f>
        <v/>
      </c>
    </row>
    <row r="4358">
      <c r="A4358" t="n">
        <v>108677</v>
      </c>
      <c r="B4358" s="1" t="n">
        <v>46012</v>
      </c>
      <c r="C4358" t="inlineStr">
        <is>
          <t>S03</t>
        </is>
      </c>
      <c r="D4358" t="inlineStr">
        <is>
          <t>P102</t>
        </is>
      </c>
      <c r="E4358" t="n">
        <v>3</v>
      </c>
      <c r="F4358" t="n">
        <v>14.5</v>
      </c>
      <c r="G4358" t="n">
        <v>0</v>
      </c>
      <c r="H4358">
        <f>E4358*F4358*(1-G4358)</f>
        <v/>
      </c>
      <c r="I4358">
        <f>XLOOKUP(D4358,Products!$A$2:$A$15,Products!$B$2:$B$15,"Not found")</f>
        <v/>
      </c>
    </row>
    <row r="4359">
      <c r="A4359" t="n">
        <v>108678</v>
      </c>
      <c r="B4359" s="1" t="n">
        <v>46012</v>
      </c>
      <c r="C4359" t="inlineStr">
        <is>
          <t>S03</t>
        </is>
      </c>
      <c r="D4359" t="inlineStr">
        <is>
          <t>P102</t>
        </is>
      </c>
      <c r="E4359" t="n">
        <v>3</v>
      </c>
      <c r="F4359" t="n">
        <v>14.5</v>
      </c>
      <c r="G4359" t="n">
        <v>0.15</v>
      </c>
      <c r="H4359">
        <f>E4359*F4359*(1-G4359)</f>
        <v/>
      </c>
      <c r="I4359">
        <f>XLOOKUP(D4359,Products!$A$2:$A$15,Products!$B$2:$B$15,"Not found")</f>
        <v/>
      </c>
    </row>
    <row r="4360">
      <c r="A4360" t="n">
        <v>108679</v>
      </c>
      <c r="B4360" s="1" t="n">
        <v>46012</v>
      </c>
      <c r="C4360" t="inlineStr">
        <is>
          <t>S03</t>
        </is>
      </c>
      <c r="D4360" t="inlineStr">
        <is>
          <t>P201</t>
        </is>
      </c>
      <c r="E4360" t="n">
        <v>1</v>
      </c>
      <c r="F4360" t="n">
        <v>149</v>
      </c>
      <c r="G4360" t="n">
        <v>0.1</v>
      </c>
      <c r="H4360">
        <f>E4360*F4360*(1-G4360)</f>
        <v/>
      </c>
      <c r="I4360">
        <f>XLOOKUP(D4360,Products!$A$2:$A$15,Products!$B$2:$B$15,"Not found")</f>
        <v/>
      </c>
    </row>
    <row r="4361">
      <c r="A4361" t="n">
        <v>108680</v>
      </c>
      <c r="B4361" s="1" t="n">
        <v>46012</v>
      </c>
      <c r="C4361" t="inlineStr">
        <is>
          <t>S03</t>
        </is>
      </c>
      <c r="D4361" t="inlineStr">
        <is>
          <t>P104</t>
        </is>
      </c>
      <c r="E4361" t="n">
        <v>1</v>
      </c>
      <c r="F4361" t="n">
        <v>189</v>
      </c>
      <c r="G4361" t="n">
        <v>0.1</v>
      </c>
      <c r="H4361">
        <f>E4361*F4361*(1-G4361)</f>
        <v/>
      </c>
      <c r="I4361">
        <f>XLOOKUP(D4361,Products!$A$2:$A$15,Products!$B$2:$B$15,"Not found")</f>
        <v/>
      </c>
    </row>
    <row r="4362">
      <c r="A4362" t="n">
        <v>108681</v>
      </c>
      <c r="B4362" s="1" t="n">
        <v>46012</v>
      </c>
      <c r="C4362" t="inlineStr">
        <is>
          <t>S04</t>
        </is>
      </c>
      <c r="D4362" t="inlineStr">
        <is>
          <t>P302</t>
        </is>
      </c>
      <c r="E4362" t="n">
        <v>1</v>
      </c>
      <c r="F4362" t="n">
        <v>24</v>
      </c>
      <c r="G4362" t="n">
        <v>0.2</v>
      </c>
      <c r="H4362">
        <f>E4362*F4362*(1-G4362)</f>
        <v/>
      </c>
      <c r="I4362">
        <f>XLOOKUP(D4362,Products!$A$2:$A$15,Products!$B$2:$B$15,"Not found")</f>
        <v/>
      </c>
    </row>
    <row r="4363">
      <c r="A4363" t="n">
        <v>108682</v>
      </c>
      <c r="B4363" s="1" t="n">
        <v>46012</v>
      </c>
      <c r="C4363" t="inlineStr">
        <is>
          <t>S04</t>
        </is>
      </c>
      <c r="D4363" t="inlineStr">
        <is>
          <t>P104</t>
        </is>
      </c>
      <c r="E4363" t="n">
        <v>1</v>
      </c>
      <c r="F4363" t="n">
        <v>189</v>
      </c>
      <c r="G4363" t="n">
        <v>0</v>
      </c>
      <c r="H4363">
        <f>E4363*F4363*(1-G4363)</f>
        <v/>
      </c>
      <c r="I4363">
        <f>XLOOKUP(D4363,Products!$A$2:$A$15,Products!$B$2:$B$15,"Not found")</f>
        <v/>
      </c>
    </row>
    <row r="4364">
      <c r="A4364" t="n">
        <v>108683</v>
      </c>
      <c r="B4364" s="1" t="n">
        <v>46012</v>
      </c>
      <c r="C4364" t="inlineStr">
        <is>
          <t>S04</t>
        </is>
      </c>
      <c r="D4364" t="inlineStr">
        <is>
          <t>P101</t>
        </is>
      </c>
      <c r="E4364" t="n">
        <v>4</v>
      </c>
      <c r="F4364" t="n">
        <v>39</v>
      </c>
      <c r="G4364" t="n">
        <v>0.1</v>
      </c>
      <c r="H4364">
        <f>E4364*F4364*(1-G4364)</f>
        <v/>
      </c>
      <c r="I4364">
        <f>XLOOKUP(D4364,Products!$A$2:$A$15,Products!$B$2:$B$15,"Not found")</f>
        <v/>
      </c>
    </row>
    <row r="4365">
      <c r="A4365" t="n">
        <v>108684</v>
      </c>
      <c r="B4365" s="1" t="n">
        <v>46012</v>
      </c>
      <c r="C4365" t="inlineStr">
        <is>
          <t>S05</t>
        </is>
      </c>
      <c r="D4365" t="inlineStr">
        <is>
          <t>P303</t>
        </is>
      </c>
      <c r="E4365" t="n">
        <v>1</v>
      </c>
      <c r="F4365" t="n">
        <v>12</v>
      </c>
      <c r="G4365" t="n">
        <v>0</v>
      </c>
      <c r="H4365">
        <f>E4365*F4365*(1-G4365)</f>
        <v/>
      </c>
      <c r="I4365">
        <f>XLOOKUP(D4365,Products!$A$2:$A$15,Products!$B$2:$B$15,"Not found")</f>
        <v/>
      </c>
    </row>
    <row r="4366">
      <c r="A4366" t="n">
        <v>108685</v>
      </c>
      <c r="B4366" s="1" t="n">
        <v>46012</v>
      </c>
      <c r="C4366" t="inlineStr">
        <is>
          <t>S05</t>
        </is>
      </c>
      <c r="D4366" t="inlineStr">
        <is>
          <t>P303</t>
        </is>
      </c>
      <c r="E4366" t="n">
        <v>1</v>
      </c>
      <c r="F4366" t="n">
        <v>12</v>
      </c>
      <c r="G4366" t="n">
        <v>0</v>
      </c>
      <c r="H4366">
        <f>E4366*F4366*(1-G4366)</f>
        <v/>
      </c>
      <c r="I4366">
        <f>XLOOKUP(D4366,Products!$A$2:$A$15,Products!$B$2:$B$15,"Not found")</f>
        <v/>
      </c>
    </row>
    <row r="4367">
      <c r="A4367" t="n">
        <v>108686</v>
      </c>
      <c r="B4367" s="1" t="n">
        <v>46012</v>
      </c>
      <c r="C4367" t="inlineStr">
        <is>
          <t>S05</t>
        </is>
      </c>
      <c r="D4367" t="inlineStr">
        <is>
          <t>P302</t>
        </is>
      </c>
      <c r="E4367" t="n">
        <v>1</v>
      </c>
      <c r="F4367" t="n">
        <v>24</v>
      </c>
      <c r="G4367" t="n">
        <v>0.1</v>
      </c>
      <c r="H4367">
        <f>E4367*F4367*(1-G4367)</f>
        <v/>
      </c>
      <c r="I4367">
        <f>XLOOKUP(D4367,Products!$A$2:$A$15,Products!$B$2:$B$15,"Not found")</f>
        <v/>
      </c>
    </row>
    <row r="4368">
      <c r="A4368" t="n">
        <v>108687</v>
      </c>
      <c r="B4368" s="1" t="n">
        <v>46012</v>
      </c>
      <c r="C4368" t="inlineStr">
        <is>
          <t>S05</t>
        </is>
      </c>
      <c r="D4368" t="inlineStr">
        <is>
          <t>P302</t>
        </is>
      </c>
      <c r="E4368" t="n">
        <v>1</v>
      </c>
      <c r="F4368" t="n">
        <v>24</v>
      </c>
      <c r="G4368" t="n">
        <v>0</v>
      </c>
      <c r="H4368">
        <f>E4368*F4368*(1-G4368)</f>
        <v/>
      </c>
      <c r="I4368">
        <f>XLOOKUP(D4368,Products!$A$2:$A$15,Products!$B$2:$B$15,"Not found")</f>
        <v/>
      </c>
    </row>
    <row r="4369">
      <c r="A4369" t="n">
        <v>108688</v>
      </c>
      <c r="B4369" s="1" t="n">
        <v>46012</v>
      </c>
      <c r="C4369" t="inlineStr">
        <is>
          <t>S06</t>
        </is>
      </c>
      <c r="D4369" t="inlineStr">
        <is>
          <t>P102</t>
        </is>
      </c>
      <c r="E4369" t="n">
        <v>1</v>
      </c>
      <c r="F4369" t="n">
        <v>14.5</v>
      </c>
      <c r="G4369" t="n">
        <v>0.15</v>
      </c>
      <c r="H4369">
        <f>E4369*F4369*(1-G4369)</f>
        <v/>
      </c>
      <c r="I4369">
        <f>XLOOKUP(D4369,Products!$A$2:$A$15,Products!$B$2:$B$15,"Not found")</f>
        <v/>
      </c>
    </row>
    <row r="4370">
      <c r="A4370" t="n">
        <v>108689</v>
      </c>
      <c r="B4370" s="1" t="n">
        <v>46012</v>
      </c>
      <c r="C4370" t="inlineStr">
        <is>
          <t>S06</t>
        </is>
      </c>
      <c r="D4370" t="inlineStr">
        <is>
          <t>P301</t>
        </is>
      </c>
      <c r="E4370" t="n">
        <v>1</v>
      </c>
      <c r="F4370" t="n">
        <v>119</v>
      </c>
      <c r="G4370" t="n">
        <v>0.15</v>
      </c>
      <c r="H4370">
        <f>E4370*F4370*(1-G4370)</f>
        <v/>
      </c>
      <c r="I4370">
        <f>XLOOKUP(D4370,Products!$A$2:$A$15,Products!$B$2:$B$15,"Not found")</f>
        <v/>
      </c>
    </row>
    <row r="4371">
      <c r="A4371" t="n">
        <v>108690</v>
      </c>
      <c r="B4371" s="1" t="n">
        <v>46013</v>
      </c>
      <c r="C4371" t="inlineStr">
        <is>
          <t>S01</t>
        </is>
      </c>
      <c r="D4371" t="inlineStr">
        <is>
          <t>P101</t>
        </is>
      </c>
      <c r="E4371" t="n">
        <v>1</v>
      </c>
      <c r="F4371" t="n">
        <v>39</v>
      </c>
      <c r="G4371" t="n">
        <v>0.15</v>
      </c>
      <c r="H4371">
        <f>E4371*F4371*(1-G4371)</f>
        <v/>
      </c>
      <c r="I4371">
        <f>XLOOKUP(D4371,Products!$A$2:$A$15,Products!$B$2:$B$15,"Not found")</f>
        <v/>
      </c>
    </row>
    <row r="4372">
      <c r="A4372" t="n">
        <v>108691</v>
      </c>
      <c r="B4372" s="1" t="n">
        <v>46013</v>
      </c>
      <c r="C4372" t="inlineStr">
        <is>
          <t>S01</t>
        </is>
      </c>
      <c r="D4372" t="inlineStr">
        <is>
          <t>P202</t>
        </is>
      </c>
      <c r="E4372" t="n">
        <v>1</v>
      </c>
      <c r="F4372" t="n">
        <v>79</v>
      </c>
      <c r="G4372" t="n">
        <v>0.15</v>
      </c>
      <c r="H4372">
        <f>E4372*F4372*(1-G4372)</f>
        <v/>
      </c>
      <c r="I4372">
        <f>XLOOKUP(D4372,Products!$A$2:$A$15,Products!$B$2:$B$15,"Not found")</f>
        <v/>
      </c>
    </row>
    <row r="4373">
      <c r="A4373" t="n">
        <v>108692</v>
      </c>
      <c r="B4373" s="1" t="n">
        <v>46013</v>
      </c>
      <c r="C4373" t="inlineStr">
        <is>
          <t>S01</t>
        </is>
      </c>
      <c r="D4373" t="inlineStr">
        <is>
          <t>P301</t>
        </is>
      </c>
      <c r="E4373" t="n">
        <v>1</v>
      </c>
      <c r="F4373" t="n">
        <v>119</v>
      </c>
      <c r="G4373" t="n">
        <v>0</v>
      </c>
      <c r="H4373">
        <f>E4373*F4373*(1-G4373)</f>
        <v/>
      </c>
      <c r="I4373">
        <f>XLOOKUP(D4373,Products!$A$2:$A$15,Products!$B$2:$B$15,"Not found")</f>
        <v/>
      </c>
    </row>
    <row r="4374">
      <c r="A4374" t="n">
        <v>108693</v>
      </c>
      <c r="B4374" s="1" t="n">
        <v>46013</v>
      </c>
      <c r="C4374" t="inlineStr">
        <is>
          <t>S02</t>
        </is>
      </c>
      <c r="D4374" t="inlineStr">
        <is>
          <t>P203</t>
        </is>
      </c>
      <c r="E4374" t="n">
        <v>2</v>
      </c>
      <c r="F4374" t="n">
        <v>19.5</v>
      </c>
      <c r="G4374" t="n">
        <v>0</v>
      </c>
      <c r="H4374">
        <f>E4374*F4374*(1-G4374)</f>
        <v/>
      </c>
      <c r="I4374">
        <f>XLOOKUP(D4374,Products!$A$2:$A$15,Products!$B$2:$B$15,"Not found")</f>
        <v/>
      </c>
    </row>
    <row r="4375">
      <c r="A4375" t="n">
        <v>108694</v>
      </c>
      <c r="B4375" s="1" t="n">
        <v>46013</v>
      </c>
      <c r="C4375" t="inlineStr">
        <is>
          <t>S02</t>
        </is>
      </c>
      <c r="D4375" t="inlineStr">
        <is>
          <t>P302</t>
        </is>
      </c>
      <c r="E4375" t="n">
        <v>1</v>
      </c>
      <c r="F4375" t="n">
        <v>24</v>
      </c>
      <c r="G4375" t="n">
        <v>0</v>
      </c>
      <c r="H4375">
        <f>E4375*F4375*(1-G4375)</f>
        <v/>
      </c>
      <c r="I4375">
        <f>XLOOKUP(D4375,Products!$A$2:$A$15,Products!$B$2:$B$15,"Not found")</f>
        <v/>
      </c>
    </row>
    <row r="4376">
      <c r="A4376" t="n">
        <v>108695</v>
      </c>
      <c r="B4376" s="1" t="n">
        <v>46013</v>
      </c>
      <c r="C4376" t="inlineStr">
        <is>
          <t>S04</t>
        </is>
      </c>
      <c r="D4376" t="inlineStr">
        <is>
          <t>P203</t>
        </is>
      </c>
      <c r="E4376" t="n">
        <v>2</v>
      </c>
      <c r="F4376" t="n">
        <v>19.5</v>
      </c>
      <c r="G4376" t="n">
        <v>0</v>
      </c>
      <c r="H4376">
        <f>E4376*F4376*(1-G4376)</f>
        <v/>
      </c>
      <c r="I4376">
        <f>XLOOKUP(D4376,Products!$A$2:$A$15,Products!$B$2:$B$15,"Not found")</f>
        <v/>
      </c>
    </row>
    <row r="4377">
      <c r="A4377" t="n">
        <v>108696</v>
      </c>
      <c r="B4377" s="1" t="n">
        <v>46013</v>
      </c>
      <c r="C4377" t="inlineStr">
        <is>
          <t>S04</t>
        </is>
      </c>
      <c r="D4377" t="inlineStr">
        <is>
          <t>P202</t>
        </is>
      </c>
      <c r="E4377" t="n">
        <v>1</v>
      </c>
      <c r="F4377" t="n">
        <v>79</v>
      </c>
      <c r="G4377" t="n">
        <v>0</v>
      </c>
      <c r="H4377">
        <f>E4377*F4377*(1-G4377)</f>
        <v/>
      </c>
      <c r="I4377">
        <f>XLOOKUP(D4377,Products!$A$2:$A$15,Products!$B$2:$B$15,"Not found")</f>
        <v/>
      </c>
    </row>
    <row r="4378">
      <c r="A4378" t="n">
        <v>108697</v>
      </c>
      <c r="B4378" s="1" t="n">
        <v>46013</v>
      </c>
      <c r="C4378" t="inlineStr">
        <is>
          <t>S04</t>
        </is>
      </c>
      <c r="D4378" t="inlineStr">
        <is>
          <t>P201</t>
        </is>
      </c>
      <c r="E4378" t="n">
        <v>1</v>
      </c>
      <c r="F4378" t="n">
        <v>149</v>
      </c>
      <c r="G4378" t="n">
        <v>0</v>
      </c>
      <c r="H4378">
        <f>E4378*F4378*(1-G4378)</f>
        <v/>
      </c>
      <c r="I4378">
        <f>XLOOKUP(D4378,Products!$A$2:$A$15,Products!$B$2:$B$15,"Not found")</f>
        <v/>
      </c>
    </row>
    <row r="4379">
      <c r="A4379" t="n">
        <v>108698</v>
      </c>
      <c r="B4379" s="1" t="n">
        <v>46013</v>
      </c>
      <c r="C4379" t="inlineStr">
        <is>
          <t>S04</t>
        </is>
      </c>
      <c r="D4379" t="inlineStr">
        <is>
          <t>P104</t>
        </is>
      </c>
      <c r="E4379" t="n">
        <v>1</v>
      </c>
      <c r="F4379" t="n">
        <v>189</v>
      </c>
      <c r="G4379" t="n">
        <v>0</v>
      </c>
      <c r="H4379">
        <f>E4379*F4379*(1-G4379)</f>
        <v/>
      </c>
      <c r="I4379">
        <f>XLOOKUP(D4379,Products!$A$2:$A$15,Products!$B$2:$B$15,"Not found")</f>
        <v/>
      </c>
    </row>
    <row r="4380">
      <c r="A4380" t="n">
        <v>108699</v>
      </c>
      <c r="B4380" s="1" t="n">
        <v>46013</v>
      </c>
      <c r="C4380" t="inlineStr">
        <is>
          <t>S05</t>
        </is>
      </c>
      <c r="D4380" t="inlineStr">
        <is>
          <t>P201</t>
        </is>
      </c>
      <c r="E4380" t="n">
        <v>1</v>
      </c>
      <c r="F4380" t="n">
        <v>149</v>
      </c>
      <c r="G4380" t="n">
        <v>0.1</v>
      </c>
      <c r="H4380">
        <f>E4380*F4380*(1-G4380)</f>
        <v/>
      </c>
      <c r="I4380">
        <f>XLOOKUP(D4380,Products!$A$2:$A$15,Products!$B$2:$B$15,"Not found")</f>
        <v/>
      </c>
    </row>
    <row r="4381">
      <c r="A4381" t="n">
        <v>108700</v>
      </c>
      <c r="B4381" s="1" t="n">
        <v>46013</v>
      </c>
      <c r="C4381" t="inlineStr">
        <is>
          <t>S05</t>
        </is>
      </c>
      <c r="D4381" t="inlineStr">
        <is>
          <t>P302</t>
        </is>
      </c>
      <c r="E4381" t="n">
        <v>1</v>
      </c>
      <c r="F4381" t="n">
        <v>24</v>
      </c>
      <c r="G4381" t="n">
        <v>0.2</v>
      </c>
      <c r="H4381">
        <f>E4381*F4381*(1-G4381)</f>
        <v/>
      </c>
      <c r="I4381">
        <f>XLOOKUP(D4381,Products!$A$2:$A$15,Products!$B$2:$B$15,"Not found")</f>
        <v/>
      </c>
    </row>
    <row r="4382">
      <c r="A4382" t="n">
        <v>108701</v>
      </c>
      <c r="B4382" s="1" t="n">
        <v>46013</v>
      </c>
      <c r="C4382" t="inlineStr">
        <is>
          <t>S05</t>
        </is>
      </c>
      <c r="D4382" t="inlineStr">
        <is>
          <t>P102</t>
        </is>
      </c>
      <c r="E4382" t="n">
        <v>2</v>
      </c>
      <c r="F4382" t="n">
        <v>14.5</v>
      </c>
      <c r="G4382" t="n">
        <v>0</v>
      </c>
      <c r="H4382">
        <f>E4382*F4382*(1-G4382)</f>
        <v/>
      </c>
      <c r="I4382">
        <f>XLOOKUP(D4382,Products!$A$2:$A$15,Products!$B$2:$B$15,"Not found")</f>
        <v/>
      </c>
    </row>
    <row r="4383">
      <c r="A4383" t="n">
        <v>108702</v>
      </c>
      <c r="B4383" s="1" t="n">
        <v>46013</v>
      </c>
      <c r="C4383" t="inlineStr">
        <is>
          <t>S05</t>
        </is>
      </c>
      <c r="D4383" t="inlineStr">
        <is>
          <t>P301</t>
        </is>
      </c>
      <c r="E4383" t="n">
        <v>1</v>
      </c>
      <c r="F4383" t="n">
        <v>119</v>
      </c>
      <c r="G4383" t="n">
        <v>0.2</v>
      </c>
      <c r="H4383">
        <f>E4383*F4383*(1-G4383)</f>
        <v/>
      </c>
      <c r="I4383">
        <f>XLOOKUP(D4383,Products!$A$2:$A$15,Products!$B$2:$B$15,"Not found")</f>
        <v/>
      </c>
    </row>
    <row r="4384">
      <c r="A4384" t="n">
        <v>108703</v>
      </c>
      <c r="B4384" s="1" t="n">
        <v>46013</v>
      </c>
      <c r="C4384" t="inlineStr">
        <is>
          <t>S06</t>
        </is>
      </c>
      <c r="D4384" t="inlineStr">
        <is>
          <t>P301</t>
        </is>
      </c>
      <c r="E4384" t="n">
        <v>1</v>
      </c>
      <c r="F4384" t="n">
        <v>119</v>
      </c>
      <c r="G4384" t="n">
        <v>0</v>
      </c>
      <c r="H4384">
        <f>E4384*F4384*(1-G4384)</f>
        <v/>
      </c>
      <c r="I4384">
        <f>XLOOKUP(D4384,Products!$A$2:$A$15,Products!$B$2:$B$15,"Not found")</f>
        <v/>
      </c>
    </row>
    <row r="4385">
      <c r="A4385" t="n">
        <v>108704</v>
      </c>
      <c r="B4385" s="1" t="n">
        <v>46014</v>
      </c>
      <c r="C4385" t="inlineStr">
        <is>
          <t>S01</t>
        </is>
      </c>
      <c r="D4385" t="inlineStr">
        <is>
          <t>P101</t>
        </is>
      </c>
      <c r="E4385" t="n">
        <v>1</v>
      </c>
      <c r="F4385" t="n">
        <v>39</v>
      </c>
      <c r="G4385" t="n">
        <v>0.15</v>
      </c>
      <c r="H4385">
        <f>E4385*F4385*(1-G4385)</f>
        <v/>
      </c>
      <c r="I4385">
        <f>XLOOKUP(D4385,Products!$A$2:$A$15,Products!$B$2:$B$15,"Not found")</f>
        <v/>
      </c>
    </row>
    <row r="4386">
      <c r="A4386" t="n">
        <v>108705</v>
      </c>
      <c r="B4386" s="1" t="n">
        <v>46014</v>
      </c>
      <c r="C4386" t="inlineStr">
        <is>
          <t>S01</t>
        </is>
      </c>
      <c r="D4386" t="inlineStr">
        <is>
          <t>P203</t>
        </is>
      </c>
      <c r="E4386" t="n">
        <v>1</v>
      </c>
      <c r="F4386" t="n">
        <v>19.5</v>
      </c>
      <c r="G4386" t="n">
        <v>0</v>
      </c>
      <c r="H4386">
        <f>E4386*F4386*(1-G4386)</f>
        <v/>
      </c>
      <c r="I4386">
        <f>XLOOKUP(D4386,Products!$A$2:$A$15,Products!$B$2:$B$15,"Not found")</f>
        <v/>
      </c>
    </row>
    <row r="4387">
      <c r="A4387" t="n">
        <v>108706</v>
      </c>
      <c r="B4387" s="1" t="n">
        <v>46014</v>
      </c>
      <c r="C4387" t="inlineStr">
        <is>
          <t>S01</t>
        </is>
      </c>
      <c r="D4387" t="inlineStr">
        <is>
          <t>P302</t>
        </is>
      </c>
      <c r="E4387" t="n">
        <v>4</v>
      </c>
      <c r="F4387" t="n">
        <v>24</v>
      </c>
      <c r="G4387" t="n">
        <v>0</v>
      </c>
      <c r="H4387">
        <f>E4387*F4387*(1-G4387)</f>
        <v/>
      </c>
      <c r="I4387">
        <f>XLOOKUP(D4387,Products!$A$2:$A$15,Products!$B$2:$B$15,"Not found")</f>
        <v/>
      </c>
    </row>
    <row r="4388">
      <c r="A4388" t="n">
        <v>108707</v>
      </c>
      <c r="B4388" s="1" t="n">
        <v>46014</v>
      </c>
      <c r="C4388" t="inlineStr">
        <is>
          <t>S01</t>
        </is>
      </c>
      <c r="D4388" t="inlineStr">
        <is>
          <t>P303</t>
        </is>
      </c>
      <c r="E4388" t="n">
        <v>3</v>
      </c>
      <c r="F4388" t="n">
        <v>12</v>
      </c>
      <c r="G4388" t="n">
        <v>0</v>
      </c>
      <c r="H4388">
        <f>E4388*F4388*(1-G4388)</f>
        <v/>
      </c>
      <c r="I4388">
        <f>XLOOKUP(D4388,Products!$A$2:$A$15,Products!$B$2:$B$15,"Not found")</f>
        <v/>
      </c>
    </row>
    <row r="4389">
      <c r="A4389" t="n">
        <v>108708</v>
      </c>
      <c r="B4389" s="1" t="n">
        <v>46014</v>
      </c>
      <c r="C4389" t="inlineStr">
        <is>
          <t>S01</t>
        </is>
      </c>
      <c r="D4389" t="inlineStr">
        <is>
          <t>P203</t>
        </is>
      </c>
      <c r="E4389" t="n">
        <v>1</v>
      </c>
      <c r="F4389" t="n">
        <v>19.5</v>
      </c>
      <c r="G4389" t="n">
        <v>0.2</v>
      </c>
      <c r="H4389">
        <f>E4389*F4389*(1-G4389)</f>
        <v/>
      </c>
      <c r="I4389">
        <f>XLOOKUP(D4389,Products!$A$2:$A$15,Products!$B$2:$B$15,"Not found")</f>
        <v/>
      </c>
    </row>
    <row r="4390">
      <c r="A4390" t="n">
        <v>108709</v>
      </c>
      <c r="B4390" s="1" t="n">
        <v>46014</v>
      </c>
      <c r="C4390" t="inlineStr">
        <is>
          <t>S01</t>
        </is>
      </c>
      <c r="D4390" t="inlineStr">
        <is>
          <t>P204</t>
        </is>
      </c>
      <c r="E4390" t="n">
        <v>1</v>
      </c>
      <c r="F4390" t="n">
        <v>229</v>
      </c>
      <c r="G4390" t="n">
        <v>0</v>
      </c>
      <c r="H4390">
        <f>E4390*F4390*(1-G4390)</f>
        <v/>
      </c>
      <c r="I4390">
        <f>XLOOKUP(D4390,Products!$A$2:$A$15,Products!$B$2:$B$15,"Not found")</f>
        <v/>
      </c>
    </row>
    <row r="4391">
      <c r="A4391" t="n">
        <v>108710</v>
      </c>
      <c r="B4391" s="1" t="n">
        <v>46014</v>
      </c>
      <c r="C4391" t="inlineStr">
        <is>
          <t>S01</t>
        </is>
      </c>
      <c r="D4391" t="inlineStr">
        <is>
          <t>P102</t>
        </is>
      </c>
      <c r="E4391" t="n">
        <v>1</v>
      </c>
      <c r="F4391" t="n">
        <v>14.5</v>
      </c>
      <c r="G4391" t="n">
        <v>0</v>
      </c>
      <c r="H4391">
        <f>E4391*F4391*(1-G4391)</f>
        <v/>
      </c>
      <c r="I4391">
        <f>XLOOKUP(D4391,Products!$A$2:$A$15,Products!$B$2:$B$15,"Not found")</f>
        <v/>
      </c>
    </row>
    <row r="4392">
      <c r="A4392" t="n">
        <v>108711</v>
      </c>
      <c r="B4392" s="1" t="n">
        <v>46014</v>
      </c>
      <c r="C4392" t="inlineStr">
        <is>
          <t>S01</t>
        </is>
      </c>
      <c r="D4392" t="inlineStr">
        <is>
          <t>P102</t>
        </is>
      </c>
      <c r="E4392" t="n">
        <v>1</v>
      </c>
      <c r="F4392" t="n">
        <v>14.5</v>
      </c>
      <c r="G4392" t="n">
        <v>0</v>
      </c>
      <c r="H4392">
        <f>E4392*F4392*(1-G4392)</f>
        <v/>
      </c>
      <c r="I4392">
        <f>XLOOKUP(D4392,Products!$A$2:$A$15,Products!$B$2:$B$15,"Not found")</f>
        <v/>
      </c>
    </row>
    <row r="4393">
      <c r="A4393" t="n">
        <v>108712</v>
      </c>
      <c r="B4393" s="1" t="n">
        <v>46014</v>
      </c>
      <c r="C4393" t="inlineStr">
        <is>
          <t>S02</t>
        </is>
      </c>
      <c r="D4393" t="inlineStr">
        <is>
          <t>P302</t>
        </is>
      </c>
      <c r="E4393" t="n">
        <v>1</v>
      </c>
      <c r="F4393" t="n">
        <v>24</v>
      </c>
      <c r="G4393" t="n">
        <v>0</v>
      </c>
      <c r="H4393">
        <f>E4393*F4393*(1-G4393)</f>
        <v/>
      </c>
      <c r="I4393">
        <f>XLOOKUP(D4393,Products!$A$2:$A$15,Products!$B$2:$B$15,"Not found")</f>
        <v/>
      </c>
    </row>
    <row r="4394">
      <c r="A4394" t="n">
        <v>108713</v>
      </c>
      <c r="B4394" s="1" t="n">
        <v>46014</v>
      </c>
      <c r="C4394" t="inlineStr">
        <is>
          <t>S02</t>
        </is>
      </c>
      <c r="D4394" t="inlineStr">
        <is>
          <t>P303</t>
        </is>
      </c>
      <c r="E4394" t="n">
        <v>1</v>
      </c>
      <c r="F4394" t="n">
        <v>12</v>
      </c>
      <c r="G4394" t="n">
        <v>0.2</v>
      </c>
      <c r="H4394">
        <f>E4394*F4394*(1-G4394)</f>
        <v/>
      </c>
      <c r="I4394">
        <f>XLOOKUP(D4394,Products!$A$2:$A$15,Products!$B$2:$B$15,"Not found")</f>
        <v/>
      </c>
    </row>
    <row r="4395">
      <c r="A4395" t="n">
        <v>108714</v>
      </c>
      <c r="B4395" s="1" t="n">
        <v>46014</v>
      </c>
      <c r="C4395" t="inlineStr">
        <is>
          <t>S02</t>
        </is>
      </c>
      <c r="D4395" t="inlineStr">
        <is>
          <t>P101</t>
        </is>
      </c>
      <c r="E4395" t="n">
        <v>2</v>
      </c>
      <c r="F4395" t="n">
        <v>39</v>
      </c>
      <c r="G4395" t="n">
        <v>0.15</v>
      </c>
      <c r="H4395">
        <f>E4395*F4395*(1-G4395)</f>
        <v/>
      </c>
      <c r="I4395">
        <f>XLOOKUP(D4395,Products!$A$2:$A$15,Products!$B$2:$B$15,"Not found")</f>
        <v/>
      </c>
    </row>
    <row r="4396">
      <c r="A4396" t="n">
        <v>108715</v>
      </c>
      <c r="B4396" s="1" t="n">
        <v>46014</v>
      </c>
      <c r="C4396" t="inlineStr">
        <is>
          <t>S03</t>
        </is>
      </c>
      <c r="D4396" t="inlineStr">
        <is>
          <t>P302</t>
        </is>
      </c>
      <c r="E4396" t="n">
        <v>3</v>
      </c>
      <c r="F4396" t="n">
        <v>24</v>
      </c>
      <c r="G4396" t="n">
        <v>0.15</v>
      </c>
      <c r="H4396">
        <f>E4396*F4396*(1-G4396)</f>
        <v/>
      </c>
      <c r="I4396">
        <f>XLOOKUP(D4396,Products!$A$2:$A$15,Products!$B$2:$B$15,"Not found")</f>
        <v/>
      </c>
    </row>
    <row r="4397">
      <c r="A4397" t="n">
        <v>108716</v>
      </c>
      <c r="B4397" s="1" t="n">
        <v>46014</v>
      </c>
      <c r="C4397" t="inlineStr">
        <is>
          <t>S03</t>
        </is>
      </c>
      <c r="D4397" t="inlineStr">
        <is>
          <t>P403</t>
        </is>
      </c>
      <c r="E4397" t="n">
        <v>2</v>
      </c>
      <c r="F4397" t="n">
        <v>89</v>
      </c>
      <c r="G4397" t="n">
        <v>0</v>
      </c>
      <c r="H4397">
        <f>E4397*F4397*(1-G4397)</f>
        <v/>
      </c>
      <c r="I4397">
        <f>XLOOKUP(D4397,Products!$A$2:$A$15,Products!$B$2:$B$15,"Not found")</f>
        <v/>
      </c>
    </row>
    <row r="4398">
      <c r="A4398" t="n">
        <v>108717</v>
      </c>
      <c r="B4398" s="1" t="n">
        <v>46014</v>
      </c>
      <c r="C4398" t="inlineStr">
        <is>
          <t>S03</t>
        </is>
      </c>
      <c r="D4398" t="inlineStr">
        <is>
          <t>P203</t>
        </is>
      </c>
      <c r="E4398" t="n">
        <v>2</v>
      </c>
      <c r="F4398" t="n">
        <v>19.5</v>
      </c>
      <c r="G4398" t="n">
        <v>0.15</v>
      </c>
      <c r="H4398">
        <f>E4398*F4398*(1-G4398)</f>
        <v/>
      </c>
      <c r="I4398">
        <f>XLOOKUP(D4398,Products!$A$2:$A$15,Products!$B$2:$B$15,"Not found")</f>
        <v/>
      </c>
    </row>
    <row r="4399">
      <c r="A4399" t="n">
        <v>108718</v>
      </c>
      <c r="B4399" s="1" t="n">
        <v>46014</v>
      </c>
      <c r="C4399" t="inlineStr">
        <is>
          <t>S03</t>
        </is>
      </c>
      <c r="D4399" t="inlineStr">
        <is>
          <t>P403</t>
        </is>
      </c>
      <c r="E4399" t="n">
        <v>3</v>
      </c>
      <c r="F4399" t="n">
        <v>89</v>
      </c>
      <c r="G4399" t="n">
        <v>0</v>
      </c>
      <c r="H4399">
        <f>E4399*F4399*(1-G4399)</f>
        <v/>
      </c>
      <c r="I4399">
        <f>XLOOKUP(D4399,Products!$A$2:$A$15,Products!$B$2:$B$15,"Not found")</f>
        <v/>
      </c>
    </row>
    <row r="4400">
      <c r="A4400" t="n">
        <v>108719</v>
      </c>
      <c r="B4400" s="1" t="n">
        <v>46014</v>
      </c>
      <c r="C4400" t="inlineStr">
        <is>
          <t>S03</t>
        </is>
      </c>
      <c r="D4400" t="inlineStr">
        <is>
          <t>P103</t>
        </is>
      </c>
      <c r="E4400" t="n">
        <v>1</v>
      </c>
      <c r="F4400" t="n">
        <v>29</v>
      </c>
      <c r="G4400" t="n">
        <v>0.15</v>
      </c>
      <c r="H4400">
        <f>E4400*F4400*(1-G4400)</f>
        <v/>
      </c>
      <c r="I4400">
        <f>XLOOKUP(D4400,Products!$A$2:$A$15,Products!$B$2:$B$15,"Not found")</f>
        <v/>
      </c>
    </row>
    <row r="4401">
      <c r="A4401" t="n">
        <v>108720</v>
      </c>
      <c r="B4401" s="1" t="n">
        <v>46014</v>
      </c>
      <c r="C4401" t="inlineStr">
        <is>
          <t>S03</t>
        </is>
      </c>
      <c r="D4401" t="inlineStr">
        <is>
          <t>P303</t>
        </is>
      </c>
      <c r="E4401" t="n">
        <v>2</v>
      </c>
      <c r="F4401" t="n">
        <v>12</v>
      </c>
      <c r="G4401" t="n">
        <v>0</v>
      </c>
      <c r="H4401">
        <f>E4401*F4401*(1-G4401)</f>
        <v/>
      </c>
      <c r="I4401">
        <f>XLOOKUP(D4401,Products!$A$2:$A$15,Products!$B$2:$B$15,"Not found")</f>
        <v/>
      </c>
    </row>
    <row r="4402">
      <c r="A4402" t="n">
        <v>108721</v>
      </c>
      <c r="B4402" s="1" t="n">
        <v>46014</v>
      </c>
      <c r="C4402" t="inlineStr">
        <is>
          <t>S03</t>
        </is>
      </c>
      <c r="D4402" t="inlineStr">
        <is>
          <t>P102</t>
        </is>
      </c>
      <c r="E4402" t="n">
        <v>2</v>
      </c>
      <c r="F4402" t="n">
        <v>14.5</v>
      </c>
      <c r="G4402" t="n">
        <v>0</v>
      </c>
      <c r="H4402">
        <f>E4402*F4402*(1-G4402)</f>
        <v/>
      </c>
      <c r="I4402">
        <f>XLOOKUP(D4402,Products!$A$2:$A$15,Products!$B$2:$B$15,"Not found")</f>
        <v/>
      </c>
    </row>
    <row r="4403">
      <c r="A4403" t="n">
        <v>108722</v>
      </c>
      <c r="B4403" s="1" t="n">
        <v>46014</v>
      </c>
      <c r="C4403" t="inlineStr">
        <is>
          <t>S04</t>
        </is>
      </c>
      <c r="D4403" t="inlineStr">
        <is>
          <t>P101</t>
        </is>
      </c>
      <c r="E4403" t="n">
        <v>1</v>
      </c>
      <c r="F4403" t="n">
        <v>39</v>
      </c>
      <c r="G4403" t="n">
        <v>0</v>
      </c>
      <c r="H4403">
        <f>E4403*F4403*(1-G4403)</f>
        <v/>
      </c>
      <c r="I4403">
        <f>XLOOKUP(D4403,Products!$A$2:$A$15,Products!$B$2:$B$15,"Not found")</f>
        <v/>
      </c>
    </row>
    <row r="4404">
      <c r="A4404" t="n">
        <v>108723</v>
      </c>
      <c r="B4404" s="1" t="n">
        <v>46014</v>
      </c>
      <c r="C4404" t="inlineStr">
        <is>
          <t>S05</t>
        </is>
      </c>
      <c r="D4404" t="inlineStr">
        <is>
          <t>P201</t>
        </is>
      </c>
      <c r="E4404" t="n">
        <v>1</v>
      </c>
      <c r="F4404" t="n">
        <v>149</v>
      </c>
      <c r="G4404" t="n">
        <v>0</v>
      </c>
      <c r="H4404">
        <f>E4404*F4404*(1-G4404)</f>
        <v/>
      </c>
      <c r="I4404">
        <f>XLOOKUP(D4404,Products!$A$2:$A$15,Products!$B$2:$B$15,"Not found")</f>
        <v/>
      </c>
    </row>
    <row r="4405">
      <c r="A4405" t="n">
        <v>108724</v>
      </c>
      <c r="B4405" s="1" t="n">
        <v>46014</v>
      </c>
      <c r="C4405" t="inlineStr">
        <is>
          <t>S06</t>
        </is>
      </c>
      <c r="D4405" t="inlineStr">
        <is>
          <t>P203</t>
        </is>
      </c>
      <c r="E4405" t="n">
        <v>2</v>
      </c>
      <c r="F4405" t="n">
        <v>19.5</v>
      </c>
      <c r="G4405" t="n">
        <v>0</v>
      </c>
      <c r="H4405">
        <f>E4405*F4405*(1-G4405)</f>
        <v/>
      </c>
      <c r="I4405">
        <f>XLOOKUP(D4405,Products!$A$2:$A$15,Products!$B$2:$B$15,"Not found")</f>
        <v/>
      </c>
    </row>
    <row r="4406">
      <c r="A4406" t="n">
        <v>108725</v>
      </c>
      <c r="B4406" s="1" t="n">
        <v>46015</v>
      </c>
      <c r="C4406" t="inlineStr">
        <is>
          <t>S01</t>
        </is>
      </c>
      <c r="D4406" t="inlineStr">
        <is>
          <t>P203</t>
        </is>
      </c>
      <c r="E4406" t="n">
        <v>1</v>
      </c>
      <c r="F4406" t="n">
        <v>19.5</v>
      </c>
      <c r="G4406" t="n">
        <v>0.15</v>
      </c>
      <c r="H4406">
        <f>E4406*F4406*(1-G4406)</f>
        <v/>
      </c>
      <c r="I4406">
        <f>XLOOKUP(D4406,Products!$A$2:$A$15,Products!$B$2:$B$15,"Not found")</f>
        <v/>
      </c>
    </row>
    <row r="4407">
      <c r="A4407" t="n">
        <v>108726</v>
      </c>
      <c r="B4407" s="1" t="n">
        <v>46015</v>
      </c>
      <c r="C4407" t="inlineStr">
        <is>
          <t>S01</t>
        </is>
      </c>
      <c r="D4407" t="inlineStr">
        <is>
          <t>P303</t>
        </is>
      </c>
      <c r="E4407" t="n">
        <v>4</v>
      </c>
      <c r="F4407" t="n">
        <v>12</v>
      </c>
      <c r="G4407" t="n">
        <v>0.15</v>
      </c>
      <c r="H4407">
        <f>E4407*F4407*(1-G4407)</f>
        <v/>
      </c>
      <c r="I4407">
        <f>XLOOKUP(D4407,Products!$A$2:$A$15,Products!$B$2:$B$15,"Not found")</f>
        <v/>
      </c>
    </row>
    <row r="4408">
      <c r="A4408" t="n">
        <v>108727</v>
      </c>
      <c r="B4408" s="1" t="n">
        <v>46015</v>
      </c>
      <c r="C4408" t="inlineStr">
        <is>
          <t>S01</t>
        </is>
      </c>
      <c r="D4408" t="inlineStr">
        <is>
          <t>P303</t>
        </is>
      </c>
      <c r="E4408" t="n">
        <v>1</v>
      </c>
      <c r="F4408" t="n">
        <v>12</v>
      </c>
      <c r="G4408" t="n">
        <v>0</v>
      </c>
      <c r="H4408">
        <f>E4408*F4408*(1-G4408)</f>
        <v/>
      </c>
      <c r="I4408">
        <f>XLOOKUP(D4408,Products!$A$2:$A$15,Products!$B$2:$B$15,"Not found")</f>
        <v/>
      </c>
    </row>
    <row r="4409">
      <c r="A4409" t="n">
        <v>108728</v>
      </c>
      <c r="B4409" s="1" t="n">
        <v>46015</v>
      </c>
      <c r="C4409" t="inlineStr">
        <is>
          <t>S01</t>
        </is>
      </c>
      <c r="D4409" t="inlineStr">
        <is>
          <t>P301</t>
        </is>
      </c>
      <c r="E4409" t="n">
        <v>1</v>
      </c>
      <c r="F4409" t="n">
        <v>119</v>
      </c>
      <c r="G4409" t="n">
        <v>0.15</v>
      </c>
      <c r="H4409">
        <f>E4409*F4409*(1-G4409)</f>
        <v/>
      </c>
      <c r="I4409">
        <f>XLOOKUP(D4409,Products!$A$2:$A$15,Products!$B$2:$B$15,"Not found")</f>
        <v/>
      </c>
    </row>
    <row r="4410">
      <c r="A4410" t="n">
        <v>108729</v>
      </c>
      <c r="B4410" s="1" t="n">
        <v>46015</v>
      </c>
      <c r="C4410" t="inlineStr">
        <is>
          <t>S01</t>
        </is>
      </c>
      <c r="D4410" t="inlineStr">
        <is>
          <t>P203</t>
        </is>
      </c>
      <c r="E4410" t="n">
        <v>4</v>
      </c>
      <c r="F4410" t="n">
        <v>19.5</v>
      </c>
      <c r="G4410" t="n">
        <v>0.2</v>
      </c>
      <c r="H4410">
        <f>E4410*F4410*(1-G4410)</f>
        <v/>
      </c>
      <c r="I4410">
        <f>XLOOKUP(D4410,Products!$A$2:$A$15,Products!$B$2:$B$15,"Not found")</f>
        <v/>
      </c>
    </row>
    <row r="4411">
      <c r="A4411" t="n">
        <v>108730</v>
      </c>
      <c r="B4411" s="1" t="n">
        <v>46015</v>
      </c>
      <c r="C4411" t="inlineStr">
        <is>
          <t>S01</t>
        </is>
      </c>
      <c r="D4411" t="inlineStr">
        <is>
          <t>P203</t>
        </is>
      </c>
      <c r="E4411" t="n">
        <v>4</v>
      </c>
      <c r="F4411" t="n">
        <v>19.5</v>
      </c>
      <c r="G4411" t="n">
        <v>0</v>
      </c>
      <c r="H4411">
        <f>E4411*F4411*(1-G4411)</f>
        <v/>
      </c>
      <c r="I4411">
        <f>XLOOKUP(D4411,Products!$A$2:$A$15,Products!$B$2:$B$15,"Not found")</f>
        <v/>
      </c>
    </row>
    <row r="4412">
      <c r="A4412" t="n">
        <v>108731</v>
      </c>
      <c r="B4412" s="1" t="n">
        <v>46015</v>
      </c>
      <c r="C4412" t="inlineStr">
        <is>
          <t>S01</t>
        </is>
      </c>
      <c r="D4412" t="inlineStr">
        <is>
          <t>P103</t>
        </is>
      </c>
      <c r="E4412" t="n">
        <v>3</v>
      </c>
      <c r="F4412" t="n">
        <v>29</v>
      </c>
      <c r="G4412" t="n">
        <v>0.15</v>
      </c>
      <c r="H4412">
        <f>E4412*F4412*(1-G4412)</f>
        <v/>
      </c>
      <c r="I4412">
        <f>XLOOKUP(D4412,Products!$A$2:$A$15,Products!$B$2:$B$15,"Not found")</f>
        <v/>
      </c>
    </row>
    <row r="4413">
      <c r="A4413" t="n">
        <v>108732</v>
      </c>
      <c r="B4413" s="1" t="n">
        <v>46015</v>
      </c>
      <c r="C4413" t="inlineStr">
        <is>
          <t>S01</t>
        </is>
      </c>
      <c r="D4413" t="inlineStr">
        <is>
          <t>P301</t>
        </is>
      </c>
      <c r="E4413" t="n">
        <v>1</v>
      </c>
      <c r="F4413" t="n">
        <v>119</v>
      </c>
      <c r="G4413" t="n">
        <v>0</v>
      </c>
      <c r="H4413">
        <f>E4413*F4413*(1-G4413)</f>
        <v/>
      </c>
      <c r="I4413">
        <f>XLOOKUP(D4413,Products!$A$2:$A$15,Products!$B$2:$B$15,"Not found")</f>
        <v/>
      </c>
    </row>
    <row r="4414">
      <c r="A4414" t="n">
        <v>108733</v>
      </c>
      <c r="B4414" s="1" t="n">
        <v>46015</v>
      </c>
      <c r="C4414" t="inlineStr">
        <is>
          <t>S01</t>
        </is>
      </c>
      <c r="D4414" t="inlineStr">
        <is>
          <t>P303</t>
        </is>
      </c>
      <c r="E4414" t="n">
        <v>1</v>
      </c>
      <c r="F4414" t="n">
        <v>12</v>
      </c>
      <c r="G4414" t="n">
        <v>0</v>
      </c>
      <c r="H4414">
        <f>E4414*F4414*(1-G4414)</f>
        <v/>
      </c>
      <c r="I4414">
        <f>XLOOKUP(D4414,Products!$A$2:$A$15,Products!$B$2:$B$15,"Not found")</f>
        <v/>
      </c>
    </row>
    <row r="4415">
      <c r="A4415" t="n">
        <v>108734</v>
      </c>
      <c r="B4415" s="1" t="n">
        <v>46015</v>
      </c>
      <c r="C4415" t="inlineStr">
        <is>
          <t>S02</t>
        </is>
      </c>
      <c r="D4415" t="inlineStr">
        <is>
          <t>P302</t>
        </is>
      </c>
      <c r="E4415" t="n">
        <v>2</v>
      </c>
      <c r="F4415" t="n">
        <v>24</v>
      </c>
      <c r="G4415" t="n">
        <v>0.2</v>
      </c>
      <c r="H4415">
        <f>E4415*F4415*(1-G4415)</f>
        <v/>
      </c>
      <c r="I4415">
        <f>XLOOKUP(D4415,Products!$A$2:$A$15,Products!$B$2:$B$15,"Not found")</f>
        <v/>
      </c>
    </row>
    <row r="4416">
      <c r="A4416" t="n">
        <v>108735</v>
      </c>
      <c r="B4416" s="1" t="n">
        <v>46015</v>
      </c>
      <c r="C4416" t="inlineStr">
        <is>
          <t>S02</t>
        </is>
      </c>
      <c r="D4416" t="inlineStr">
        <is>
          <t>P101</t>
        </is>
      </c>
      <c r="E4416" t="n">
        <v>1</v>
      </c>
      <c r="F4416" t="n">
        <v>39</v>
      </c>
      <c r="G4416" t="n">
        <v>0</v>
      </c>
      <c r="H4416">
        <f>E4416*F4416*(1-G4416)</f>
        <v/>
      </c>
      <c r="I4416">
        <f>XLOOKUP(D4416,Products!$A$2:$A$15,Products!$B$2:$B$15,"Not found")</f>
        <v/>
      </c>
    </row>
    <row r="4417">
      <c r="A4417" t="n">
        <v>108736</v>
      </c>
      <c r="B4417" s="1" t="n">
        <v>46015</v>
      </c>
      <c r="C4417" t="inlineStr">
        <is>
          <t>S02</t>
        </is>
      </c>
      <c r="D4417" t="inlineStr">
        <is>
          <t>P203</t>
        </is>
      </c>
      <c r="E4417" t="n">
        <v>1</v>
      </c>
      <c r="F4417" t="n">
        <v>19.5</v>
      </c>
      <c r="G4417" t="n">
        <v>0</v>
      </c>
      <c r="H4417">
        <f>E4417*F4417*(1-G4417)</f>
        <v/>
      </c>
      <c r="I4417">
        <f>XLOOKUP(D4417,Products!$A$2:$A$15,Products!$B$2:$B$15,"Not found")</f>
        <v/>
      </c>
    </row>
    <row r="4418">
      <c r="A4418" t="n">
        <v>108737</v>
      </c>
      <c r="B4418" s="1" t="n">
        <v>46015</v>
      </c>
      <c r="C4418" t="inlineStr">
        <is>
          <t>S02</t>
        </is>
      </c>
      <c r="D4418" t="inlineStr">
        <is>
          <t>P202</t>
        </is>
      </c>
      <c r="E4418" t="n">
        <v>4</v>
      </c>
      <c r="F4418" t="n">
        <v>79</v>
      </c>
      <c r="G4418" t="n">
        <v>0.15</v>
      </c>
      <c r="H4418">
        <f>E4418*F4418*(1-G4418)</f>
        <v/>
      </c>
      <c r="I4418">
        <f>XLOOKUP(D4418,Products!$A$2:$A$15,Products!$B$2:$B$15,"Not found")</f>
        <v/>
      </c>
    </row>
    <row r="4419">
      <c r="A4419" t="n">
        <v>108738</v>
      </c>
      <c r="B4419" s="1" t="n">
        <v>46015</v>
      </c>
      <c r="C4419" t="inlineStr">
        <is>
          <t>S02</t>
        </is>
      </c>
      <c r="D4419" t="inlineStr">
        <is>
          <t>P203</t>
        </is>
      </c>
      <c r="E4419" t="n">
        <v>1</v>
      </c>
      <c r="F4419" t="n">
        <v>19.5</v>
      </c>
      <c r="G4419" t="n">
        <v>0.1</v>
      </c>
      <c r="H4419">
        <f>E4419*F4419*(1-G4419)</f>
        <v/>
      </c>
      <c r="I4419">
        <f>XLOOKUP(D4419,Products!$A$2:$A$15,Products!$B$2:$B$15,"Not found")</f>
        <v/>
      </c>
    </row>
    <row r="4420">
      <c r="A4420" t="n">
        <v>108739</v>
      </c>
      <c r="B4420" s="1" t="n">
        <v>46015</v>
      </c>
      <c r="C4420" t="inlineStr">
        <is>
          <t>S03</t>
        </is>
      </c>
      <c r="D4420" t="inlineStr">
        <is>
          <t>P201</t>
        </is>
      </c>
      <c r="E4420" t="n">
        <v>1</v>
      </c>
      <c r="F4420" t="n">
        <v>149</v>
      </c>
      <c r="G4420" t="n">
        <v>0</v>
      </c>
      <c r="H4420">
        <f>E4420*F4420*(1-G4420)</f>
        <v/>
      </c>
      <c r="I4420">
        <f>XLOOKUP(D4420,Products!$A$2:$A$15,Products!$B$2:$B$15,"Not found")</f>
        <v/>
      </c>
    </row>
    <row r="4421">
      <c r="A4421" t="n">
        <v>108740</v>
      </c>
      <c r="B4421" s="1" t="n">
        <v>46015</v>
      </c>
      <c r="C4421" t="inlineStr">
        <is>
          <t>S03</t>
        </is>
      </c>
      <c r="D4421" t="inlineStr">
        <is>
          <t>P302</t>
        </is>
      </c>
      <c r="E4421" t="n">
        <v>1</v>
      </c>
      <c r="F4421" t="n">
        <v>24</v>
      </c>
      <c r="G4421" t="n">
        <v>0</v>
      </c>
      <c r="H4421">
        <f>E4421*F4421*(1-G4421)</f>
        <v/>
      </c>
      <c r="I4421">
        <f>XLOOKUP(D4421,Products!$A$2:$A$15,Products!$B$2:$B$15,"Not found")</f>
        <v/>
      </c>
    </row>
    <row r="4422">
      <c r="A4422" t="n">
        <v>108741</v>
      </c>
      <c r="B4422" s="1" t="n">
        <v>46015</v>
      </c>
      <c r="C4422" t="inlineStr">
        <is>
          <t>S03</t>
        </is>
      </c>
      <c r="D4422" t="inlineStr">
        <is>
          <t>P201</t>
        </is>
      </c>
      <c r="E4422" t="n">
        <v>1</v>
      </c>
      <c r="F4422" t="n">
        <v>149</v>
      </c>
      <c r="G4422" t="n">
        <v>0.1</v>
      </c>
      <c r="H4422">
        <f>E4422*F4422*(1-G4422)</f>
        <v/>
      </c>
      <c r="I4422">
        <f>XLOOKUP(D4422,Products!$A$2:$A$15,Products!$B$2:$B$15,"Not found")</f>
        <v/>
      </c>
    </row>
    <row r="4423">
      <c r="A4423" t="n">
        <v>108742</v>
      </c>
      <c r="B4423" s="1" t="n">
        <v>46015</v>
      </c>
      <c r="C4423" t="inlineStr">
        <is>
          <t>S04</t>
        </is>
      </c>
      <c r="D4423" t="inlineStr">
        <is>
          <t>P303</t>
        </is>
      </c>
      <c r="E4423" t="n">
        <v>1</v>
      </c>
      <c r="F4423" t="n">
        <v>12</v>
      </c>
      <c r="G4423" t="n">
        <v>0.2</v>
      </c>
      <c r="H4423">
        <f>E4423*F4423*(1-G4423)</f>
        <v/>
      </c>
      <c r="I4423">
        <f>XLOOKUP(D4423,Products!$A$2:$A$15,Products!$B$2:$B$15,"Not found")</f>
        <v/>
      </c>
    </row>
    <row r="4424">
      <c r="A4424" t="n">
        <v>108743</v>
      </c>
      <c r="B4424" s="1" t="n">
        <v>46015</v>
      </c>
      <c r="C4424" t="inlineStr">
        <is>
          <t>S04</t>
        </is>
      </c>
      <c r="D4424" t="inlineStr">
        <is>
          <t>P102</t>
        </is>
      </c>
      <c r="E4424" t="n">
        <v>1</v>
      </c>
      <c r="F4424" t="n">
        <v>14.5</v>
      </c>
      <c r="G4424" t="n">
        <v>0.15</v>
      </c>
      <c r="H4424">
        <f>E4424*F4424*(1-G4424)</f>
        <v/>
      </c>
      <c r="I4424">
        <f>XLOOKUP(D4424,Products!$A$2:$A$15,Products!$B$2:$B$15,"Not found")</f>
        <v/>
      </c>
    </row>
    <row r="4425">
      <c r="A4425" t="n">
        <v>108744</v>
      </c>
      <c r="B4425" s="1" t="n">
        <v>46015</v>
      </c>
      <c r="C4425" t="inlineStr">
        <is>
          <t>S04</t>
        </is>
      </c>
      <c r="D4425" t="inlineStr">
        <is>
          <t>P101</t>
        </is>
      </c>
      <c r="E4425" t="n">
        <v>4</v>
      </c>
      <c r="F4425" t="n">
        <v>39</v>
      </c>
      <c r="G4425" t="n">
        <v>0</v>
      </c>
      <c r="H4425">
        <f>E4425*F4425*(1-G4425)</f>
        <v/>
      </c>
      <c r="I4425">
        <f>XLOOKUP(D4425,Products!$A$2:$A$15,Products!$B$2:$B$15,"Not found")</f>
        <v/>
      </c>
    </row>
    <row r="4426">
      <c r="A4426" t="n">
        <v>108745</v>
      </c>
      <c r="B4426" s="1" t="n">
        <v>46015</v>
      </c>
      <c r="C4426" t="inlineStr">
        <is>
          <t>S04</t>
        </is>
      </c>
      <c r="D4426" t="inlineStr">
        <is>
          <t>P301</t>
        </is>
      </c>
      <c r="E4426" t="n">
        <v>1</v>
      </c>
      <c r="F4426" t="n">
        <v>119</v>
      </c>
      <c r="G4426" t="n">
        <v>0</v>
      </c>
      <c r="H4426">
        <f>E4426*F4426*(1-G4426)</f>
        <v/>
      </c>
      <c r="I4426">
        <f>XLOOKUP(D4426,Products!$A$2:$A$15,Products!$B$2:$B$15,"Not found")</f>
        <v/>
      </c>
    </row>
    <row r="4427">
      <c r="A4427" t="n">
        <v>108746</v>
      </c>
      <c r="B4427" s="1" t="n">
        <v>46015</v>
      </c>
      <c r="C4427" t="inlineStr">
        <is>
          <t>S05</t>
        </is>
      </c>
      <c r="D4427" t="inlineStr">
        <is>
          <t>P301</t>
        </is>
      </c>
      <c r="E4427" t="n">
        <v>1</v>
      </c>
      <c r="F4427" t="n">
        <v>119</v>
      </c>
      <c r="G4427" t="n">
        <v>0</v>
      </c>
      <c r="H4427">
        <f>E4427*F4427*(1-G4427)</f>
        <v/>
      </c>
      <c r="I4427">
        <f>XLOOKUP(D4427,Products!$A$2:$A$15,Products!$B$2:$B$15,"Not found")</f>
        <v/>
      </c>
    </row>
    <row r="4428">
      <c r="A4428" t="n">
        <v>108747</v>
      </c>
      <c r="B4428" s="1" t="n">
        <v>46015</v>
      </c>
      <c r="C4428" t="inlineStr">
        <is>
          <t>S06</t>
        </is>
      </c>
      <c r="D4428" t="inlineStr">
        <is>
          <t>P202</t>
        </is>
      </c>
      <c r="E4428" t="n">
        <v>4</v>
      </c>
      <c r="F4428" t="n">
        <v>79</v>
      </c>
      <c r="G4428" t="n">
        <v>0</v>
      </c>
      <c r="H4428">
        <f>E4428*F4428*(1-G4428)</f>
        <v/>
      </c>
      <c r="I4428">
        <f>XLOOKUP(D4428,Products!$A$2:$A$15,Products!$B$2:$B$15,"Not found")</f>
        <v/>
      </c>
    </row>
    <row r="4429">
      <c r="A4429" t="n">
        <v>108748</v>
      </c>
      <c r="B4429" s="1" t="n">
        <v>46016</v>
      </c>
      <c r="C4429" t="inlineStr">
        <is>
          <t>S01</t>
        </is>
      </c>
      <c r="D4429" t="inlineStr">
        <is>
          <t>P103</t>
        </is>
      </c>
      <c r="E4429" t="n">
        <v>2</v>
      </c>
      <c r="F4429" t="n">
        <v>29</v>
      </c>
      <c r="G4429" t="n">
        <v>0</v>
      </c>
      <c r="H4429">
        <f>E4429*F4429*(1-G4429)</f>
        <v/>
      </c>
      <c r="I4429">
        <f>XLOOKUP(D4429,Products!$A$2:$A$15,Products!$B$2:$B$15,"Not found")</f>
        <v/>
      </c>
    </row>
    <row r="4430">
      <c r="A4430" t="n">
        <v>108749</v>
      </c>
      <c r="B4430" s="1" t="n">
        <v>46016</v>
      </c>
      <c r="C4430" t="inlineStr">
        <is>
          <t>S01</t>
        </is>
      </c>
      <c r="D4430" t="inlineStr">
        <is>
          <t>P204</t>
        </is>
      </c>
      <c r="E4430" t="n">
        <v>1</v>
      </c>
      <c r="F4430" t="n">
        <v>229</v>
      </c>
      <c r="G4430" t="n">
        <v>0</v>
      </c>
      <c r="H4430">
        <f>E4430*F4430*(1-G4430)</f>
        <v/>
      </c>
      <c r="I4430">
        <f>XLOOKUP(D4430,Products!$A$2:$A$15,Products!$B$2:$B$15,"Not found")</f>
        <v/>
      </c>
    </row>
    <row r="4431">
      <c r="A4431" t="n">
        <v>108750</v>
      </c>
      <c r="B4431" s="1" t="n">
        <v>46016</v>
      </c>
      <c r="C4431" t="inlineStr">
        <is>
          <t>S01</t>
        </is>
      </c>
      <c r="D4431" t="inlineStr">
        <is>
          <t>P302</t>
        </is>
      </c>
      <c r="E4431" t="n">
        <v>1</v>
      </c>
      <c r="F4431" t="n">
        <v>24</v>
      </c>
      <c r="G4431" t="n">
        <v>0</v>
      </c>
      <c r="H4431">
        <f>E4431*F4431*(1-G4431)</f>
        <v/>
      </c>
      <c r="I4431">
        <f>XLOOKUP(D4431,Products!$A$2:$A$15,Products!$B$2:$B$15,"Not found")</f>
        <v/>
      </c>
    </row>
    <row r="4432">
      <c r="A4432" t="n">
        <v>108751</v>
      </c>
      <c r="B4432" s="1" t="n">
        <v>46016</v>
      </c>
      <c r="C4432" t="inlineStr">
        <is>
          <t>S01</t>
        </is>
      </c>
      <c r="D4432" t="inlineStr">
        <is>
          <t>P101</t>
        </is>
      </c>
      <c r="E4432" t="n">
        <v>1</v>
      </c>
      <c r="F4432" t="n">
        <v>39</v>
      </c>
      <c r="G4432" t="n">
        <v>0.15</v>
      </c>
      <c r="H4432">
        <f>E4432*F4432*(1-G4432)</f>
        <v/>
      </c>
      <c r="I4432">
        <f>XLOOKUP(D4432,Products!$A$2:$A$15,Products!$B$2:$B$15,"Not found")</f>
        <v/>
      </c>
    </row>
    <row r="4433">
      <c r="A4433" t="n">
        <v>108752</v>
      </c>
      <c r="B4433" s="1" t="n">
        <v>46016</v>
      </c>
      <c r="C4433" t="inlineStr">
        <is>
          <t>S01</t>
        </is>
      </c>
      <c r="D4433" t="inlineStr">
        <is>
          <t>P102</t>
        </is>
      </c>
      <c r="E4433" t="n">
        <v>1</v>
      </c>
      <c r="F4433" t="n">
        <v>14.5</v>
      </c>
      <c r="G4433" t="n">
        <v>0.2</v>
      </c>
      <c r="H4433">
        <f>E4433*F4433*(1-G4433)</f>
        <v/>
      </c>
      <c r="I4433">
        <f>XLOOKUP(D4433,Products!$A$2:$A$15,Products!$B$2:$B$15,"Not found")</f>
        <v/>
      </c>
    </row>
    <row r="4434">
      <c r="A4434" t="n">
        <v>108753</v>
      </c>
      <c r="B4434" s="1" t="n">
        <v>46016</v>
      </c>
      <c r="C4434" t="inlineStr">
        <is>
          <t>S01</t>
        </is>
      </c>
      <c r="D4434" t="inlineStr">
        <is>
          <t>P303</t>
        </is>
      </c>
      <c r="E4434" t="n">
        <v>1</v>
      </c>
      <c r="F4434" t="n">
        <v>12</v>
      </c>
      <c r="G4434" t="n">
        <v>0.2</v>
      </c>
      <c r="H4434">
        <f>E4434*F4434*(1-G4434)</f>
        <v/>
      </c>
      <c r="I4434">
        <f>XLOOKUP(D4434,Products!$A$2:$A$15,Products!$B$2:$B$15,"Not found")</f>
        <v/>
      </c>
    </row>
    <row r="4435">
      <c r="A4435" t="n">
        <v>108754</v>
      </c>
      <c r="B4435" s="1" t="n">
        <v>46016</v>
      </c>
      <c r="C4435" t="inlineStr">
        <is>
          <t>S02</t>
        </is>
      </c>
      <c r="D4435" t="inlineStr">
        <is>
          <t>P101</t>
        </is>
      </c>
      <c r="E4435" t="n">
        <v>2</v>
      </c>
      <c r="F4435" t="n">
        <v>39</v>
      </c>
      <c r="G4435" t="n">
        <v>0.2</v>
      </c>
      <c r="H4435">
        <f>E4435*F4435*(1-G4435)</f>
        <v/>
      </c>
      <c r="I4435">
        <f>XLOOKUP(D4435,Products!$A$2:$A$15,Products!$B$2:$B$15,"Not found")</f>
        <v/>
      </c>
    </row>
    <row r="4436">
      <c r="A4436" t="n">
        <v>108755</v>
      </c>
      <c r="B4436" s="1" t="n">
        <v>46016</v>
      </c>
      <c r="C4436" t="inlineStr">
        <is>
          <t>S02</t>
        </is>
      </c>
      <c r="D4436" t="inlineStr">
        <is>
          <t>P102</t>
        </is>
      </c>
      <c r="E4436" t="n">
        <v>2</v>
      </c>
      <c r="F4436" t="n">
        <v>14.5</v>
      </c>
      <c r="G4436" t="n">
        <v>0</v>
      </c>
      <c r="H4436">
        <f>E4436*F4436*(1-G4436)</f>
        <v/>
      </c>
      <c r="I4436">
        <f>XLOOKUP(D4436,Products!$A$2:$A$15,Products!$B$2:$B$15,"Not found")</f>
        <v/>
      </c>
    </row>
    <row r="4437">
      <c r="A4437" t="n">
        <v>108756</v>
      </c>
      <c r="B4437" s="1" t="n">
        <v>46016</v>
      </c>
      <c r="C4437" t="inlineStr">
        <is>
          <t>S02</t>
        </is>
      </c>
      <c r="D4437" t="inlineStr">
        <is>
          <t>P202</t>
        </is>
      </c>
      <c r="E4437" t="n">
        <v>2</v>
      </c>
      <c r="F4437" t="n">
        <v>79</v>
      </c>
      <c r="G4437" t="n">
        <v>0.15</v>
      </c>
      <c r="H4437">
        <f>E4437*F4437*(1-G4437)</f>
        <v/>
      </c>
      <c r="I4437">
        <f>XLOOKUP(D4437,Products!$A$2:$A$15,Products!$B$2:$B$15,"Not found")</f>
        <v/>
      </c>
    </row>
    <row r="4438">
      <c r="A4438" t="n">
        <v>108757</v>
      </c>
      <c r="B4438" s="1" t="n">
        <v>46016</v>
      </c>
      <c r="C4438" t="inlineStr">
        <is>
          <t>S02</t>
        </is>
      </c>
      <c r="D4438" t="inlineStr">
        <is>
          <t>P301</t>
        </is>
      </c>
      <c r="E4438" t="n">
        <v>1</v>
      </c>
      <c r="F4438" t="n">
        <v>119</v>
      </c>
      <c r="G4438" t="n">
        <v>0.1</v>
      </c>
      <c r="H4438">
        <f>E4438*F4438*(1-G4438)</f>
        <v/>
      </c>
      <c r="I4438">
        <f>XLOOKUP(D4438,Products!$A$2:$A$15,Products!$B$2:$B$15,"Not found")</f>
        <v/>
      </c>
    </row>
    <row r="4439">
      <c r="A4439" t="n">
        <v>108758</v>
      </c>
      <c r="B4439" s="1" t="n">
        <v>46016</v>
      </c>
      <c r="C4439" t="inlineStr">
        <is>
          <t>S03</t>
        </is>
      </c>
      <c r="D4439" t="inlineStr">
        <is>
          <t>P102</t>
        </is>
      </c>
      <c r="E4439" t="n">
        <v>1</v>
      </c>
      <c r="F4439" t="n">
        <v>14.5</v>
      </c>
      <c r="G4439" t="n">
        <v>0.2</v>
      </c>
      <c r="H4439">
        <f>E4439*F4439*(1-G4439)</f>
        <v/>
      </c>
      <c r="I4439">
        <f>XLOOKUP(D4439,Products!$A$2:$A$15,Products!$B$2:$B$15,"Not found")</f>
        <v/>
      </c>
    </row>
    <row r="4440">
      <c r="A4440" t="n">
        <v>108759</v>
      </c>
      <c r="B4440" s="1" t="n">
        <v>46016</v>
      </c>
      <c r="C4440" t="inlineStr">
        <is>
          <t>S05</t>
        </is>
      </c>
      <c r="D4440" t="inlineStr">
        <is>
          <t>P102</t>
        </is>
      </c>
      <c r="E4440" t="n">
        <v>3</v>
      </c>
      <c r="F4440" t="n">
        <v>14.5</v>
      </c>
      <c r="G4440" t="n">
        <v>0.15</v>
      </c>
      <c r="H4440">
        <f>E4440*F4440*(1-G4440)</f>
        <v/>
      </c>
      <c r="I4440">
        <f>XLOOKUP(D4440,Products!$A$2:$A$15,Products!$B$2:$B$15,"Not found")</f>
        <v/>
      </c>
    </row>
    <row r="4441">
      <c r="A4441" t="n">
        <v>108760</v>
      </c>
      <c r="B4441" s="1" t="n">
        <v>46016</v>
      </c>
      <c r="C4441" t="inlineStr">
        <is>
          <t>S05</t>
        </is>
      </c>
      <c r="D4441" t="inlineStr">
        <is>
          <t>P303</t>
        </is>
      </c>
      <c r="E4441" t="n">
        <v>3</v>
      </c>
      <c r="F4441" t="n">
        <v>12</v>
      </c>
      <c r="G4441" t="n">
        <v>0</v>
      </c>
      <c r="H4441">
        <f>E4441*F4441*(1-G4441)</f>
        <v/>
      </c>
      <c r="I4441">
        <f>XLOOKUP(D4441,Products!$A$2:$A$15,Products!$B$2:$B$15,"Not found")</f>
        <v/>
      </c>
    </row>
    <row r="4442">
      <c r="A4442" t="n">
        <v>108761</v>
      </c>
      <c r="B4442" s="1" t="n">
        <v>46016</v>
      </c>
      <c r="C4442" t="inlineStr">
        <is>
          <t>S05</t>
        </is>
      </c>
      <c r="D4442" t="inlineStr">
        <is>
          <t>P103</t>
        </is>
      </c>
      <c r="E4442" t="n">
        <v>3</v>
      </c>
      <c r="F4442" t="n">
        <v>29</v>
      </c>
      <c r="G4442" t="n">
        <v>0</v>
      </c>
      <c r="H4442">
        <f>E4442*F4442*(1-G4442)</f>
        <v/>
      </c>
      <c r="I4442">
        <f>XLOOKUP(D4442,Products!$A$2:$A$15,Products!$B$2:$B$15,"Not found")</f>
        <v/>
      </c>
    </row>
    <row r="4443">
      <c r="A4443" t="n">
        <v>108762</v>
      </c>
      <c r="B4443" s="1" t="n">
        <v>46016</v>
      </c>
      <c r="C4443" t="inlineStr">
        <is>
          <t>S05</t>
        </is>
      </c>
      <c r="D4443" t="inlineStr">
        <is>
          <t>P403</t>
        </is>
      </c>
      <c r="E4443" t="n">
        <v>2</v>
      </c>
      <c r="F4443" t="n">
        <v>89</v>
      </c>
      <c r="G4443" t="n">
        <v>0</v>
      </c>
      <c r="H4443">
        <f>E4443*F4443*(1-G4443)</f>
        <v/>
      </c>
      <c r="I4443">
        <f>XLOOKUP(D4443,Products!$A$2:$A$15,Products!$B$2:$B$15,"Not found")</f>
        <v/>
      </c>
    </row>
    <row r="4444">
      <c r="A4444" t="n">
        <v>108763</v>
      </c>
      <c r="B4444" s="1" t="n">
        <v>46016</v>
      </c>
      <c r="C4444" t="inlineStr">
        <is>
          <t>S06</t>
        </is>
      </c>
      <c r="D4444" t="inlineStr">
        <is>
          <t>P302</t>
        </is>
      </c>
      <c r="E4444" t="n">
        <v>1</v>
      </c>
      <c r="F4444" t="n">
        <v>24</v>
      </c>
      <c r="G4444" t="n">
        <v>0</v>
      </c>
      <c r="H4444">
        <f>E4444*F4444*(1-G4444)</f>
        <v/>
      </c>
      <c r="I4444">
        <f>XLOOKUP(D4444,Products!$A$2:$A$15,Products!$B$2:$B$15,"Not found")</f>
        <v/>
      </c>
    </row>
    <row r="4445">
      <c r="A4445" t="n">
        <v>108764</v>
      </c>
      <c r="B4445" s="1" t="n">
        <v>46016</v>
      </c>
      <c r="C4445" t="inlineStr">
        <is>
          <t>S06</t>
        </is>
      </c>
      <c r="D4445" t="inlineStr">
        <is>
          <t>P401</t>
        </is>
      </c>
      <c r="E4445" t="n">
        <v>1</v>
      </c>
      <c r="F4445" t="n">
        <v>549</v>
      </c>
      <c r="G4445" t="n">
        <v>0</v>
      </c>
      <c r="H4445">
        <f>E4445*F4445*(1-G4445)</f>
        <v/>
      </c>
      <c r="I4445">
        <f>XLOOKUP(D4445,Products!$A$2:$A$15,Products!$B$2:$B$15,"Not found")</f>
        <v/>
      </c>
    </row>
    <row r="4446">
      <c r="A4446" t="n">
        <v>108765</v>
      </c>
      <c r="B4446" s="1" t="n">
        <v>46017</v>
      </c>
      <c r="C4446" t="inlineStr">
        <is>
          <t>S01</t>
        </is>
      </c>
      <c r="D4446" t="inlineStr">
        <is>
          <t>P201</t>
        </is>
      </c>
      <c r="E4446" t="n">
        <v>1</v>
      </c>
      <c r="F4446" t="n">
        <v>149</v>
      </c>
      <c r="G4446" t="n">
        <v>0.15</v>
      </c>
      <c r="H4446">
        <f>E4446*F4446*(1-G4446)</f>
        <v/>
      </c>
      <c r="I4446">
        <f>XLOOKUP(D4446,Products!$A$2:$A$15,Products!$B$2:$B$15,"Not found")</f>
        <v/>
      </c>
    </row>
    <row r="4447">
      <c r="A4447" t="n">
        <v>108766</v>
      </c>
      <c r="B4447" s="1" t="n">
        <v>46017</v>
      </c>
      <c r="C4447" t="inlineStr">
        <is>
          <t>S01</t>
        </is>
      </c>
      <c r="D4447" t="inlineStr">
        <is>
          <t>P301</t>
        </is>
      </c>
      <c r="E4447" t="n">
        <v>1</v>
      </c>
      <c r="F4447" t="n">
        <v>119</v>
      </c>
      <c r="G4447" t="n">
        <v>0.15</v>
      </c>
      <c r="H4447">
        <f>E4447*F4447*(1-G4447)</f>
        <v/>
      </c>
      <c r="I4447">
        <f>XLOOKUP(D4447,Products!$A$2:$A$15,Products!$B$2:$B$15,"Not found")</f>
        <v/>
      </c>
    </row>
    <row r="4448">
      <c r="A4448" t="n">
        <v>108767</v>
      </c>
      <c r="B4448" s="1" t="n">
        <v>46017</v>
      </c>
      <c r="C4448" t="inlineStr">
        <is>
          <t>S01</t>
        </is>
      </c>
      <c r="D4448" t="inlineStr">
        <is>
          <t>P301</t>
        </is>
      </c>
      <c r="E4448" t="n">
        <v>1</v>
      </c>
      <c r="F4448" t="n">
        <v>119</v>
      </c>
      <c r="G4448" t="n">
        <v>0</v>
      </c>
      <c r="H4448">
        <f>E4448*F4448*(1-G4448)</f>
        <v/>
      </c>
      <c r="I4448">
        <f>XLOOKUP(D4448,Products!$A$2:$A$15,Products!$B$2:$B$15,"Not found")</f>
        <v/>
      </c>
    </row>
    <row r="4449">
      <c r="A4449" t="n">
        <v>108768</v>
      </c>
      <c r="B4449" s="1" t="n">
        <v>46017</v>
      </c>
      <c r="C4449" t="inlineStr">
        <is>
          <t>S01</t>
        </is>
      </c>
      <c r="D4449" t="inlineStr">
        <is>
          <t>P202</t>
        </is>
      </c>
      <c r="E4449" t="n">
        <v>2</v>
      </c>
      <c r="F4449" t="n">
        <v>79</v>
      </c>
      <c r="G4449" t="n">
        <v>0</v>
      </c>
      <c r="H4449">
        <f>E4449*F4449*(1-G4449)</f>
        <v/>
      </c>
      <c r="I4449">
        <f>XLOOKUP(D4449,Products!$A$2:$A$15,Products!$B$2:$B$15,"Not found")</f>
        <v/>
      </c>
    </row>
    <row r="4450">
      <c r="A4450" t="n">
        <v>108769</v>
      </c>
      <c r="B4450" s="1" t="n">
        <v>46017</v>
      </c>
      <c r="C4450" t="inlineStr">
        <is>
          <t>S02</t>
        </is>
      </c>
      <c r="D4450" t="inlineStr">
        <is>
          <t>P303</t>
        </is>
      </c>
      <c r="E4450" t="n">
        <v>3</v>
      </c>
      <c r="F4450" t="n">
        <v>12</v>
      </c>
      <c r="G4450" t="n">
        <v>0</v>
      </c>
      <c r="H4450">
        <f>E4450*F4450*(1-G4450)</f>
        <v/>
      </c>
      <c r="I4450">
        <f>XLOOKUP(D4450,Products!$A$2:$A$15,Products!$B$2:$B$15,"Not found")</f>
        <v/>
      </c>
    </row>
    <row r="4451">
      <c r="A4451" t="n">
        <v>108770</v>
      </c>
      <c r="B4451" s="1" t="n">
        <v>46017</v>
      </c>
      <c r="C4451" t="inlineStr">
        <is>
          <t>S02</t>
        </is>
      </c>
      <c r="D4451" t="inlineStr">
        <is>
          <t>P303</t>
        </is>
      </c>
      <c r="E4451" t="n">
        <v>1</v>
      </c>
      <c r="F4451" t="n">
        <v>12</v>
      </c>
      <c r="G4451" t="n">
        <v>0.15</v>
      </c>
      <c r="H4451">
        <f>E4451*F4451*(1-G4451)</f>
        <v/>
      </c>
      <c r="I4451">
        <f>XLOOKUP(D4451,Products!$A$2:$A$15,Products!$B$2:$B$15,"Not found")</f>
        <v/>
      </c>
    </row>
    <row r="4452">
      <c r="A4452" t="n">
        <v>108771</v>
      </c>
      <c r="B4452" s="1" t="n">
        <v>46017</v>
      </c>
      <c r="C4452" t="inlineStr">
        <is>
          <t>S02</t>
        </is>
      </c>
      <c r="D4452" t="inlineStr">
        <is>
          <t>P102</t>
        </is>
      </c>
      <c r="E4452" t="n">
        <v>2</v>
      </c>
      <c r="F4452" t="n">
        <v>14.5</v>
      </c>
      <c r="G4452" t="n">
        <v>0</v>
      </c>
      <c r="H4452">
        <f>E4452*F4452*(1-G4452)</f>
        <v/>
      </c>
      <c r="I4452">
        <f>XLOOKUP(D4452,Products!$A$2:$A$15,Products!$B$2:$B$15,"Not found")</f>
        <v/>
      </c>
    </row>
    <row r="4453">
      <c r="A4453" t="n">
        <v>108772</v>
      </c>
      <c r="B4453" s="1" t="n">
        <v>46017</v>
      </c>
      <c r="C4453" t="inlineStr">
        <is>
          <t>S02</t>
        </is>
      </c>
      <c r="D4453" t="inlineStr">
        <is>
          <t>P303</t>
        </is>
      </c>
      <c r="E4453" t="n">
        <v>4</v>
      </c>
      <c r="F4453" t="n">
        <v>12</v>
      </c>
      <c r="G4453" t="n">
        <v>0</v>
      </c>
      <c r="H4453">
        <f>E4453*F4453*(1-G4453)</f>
        <v/>
      </c>
      <c r="I4453">
        <f>XLOOKUP(D4453,Products!$A$2:$A$15,Products!$B$2:$B$15,"Not found")</f>
        <v/>
      </c>
    </row>
    <row r="4454">
      <c r="A4454" t="n">
        <v>108773</v>
      </c>
      <c r="B4454" s="1" t="n">
        <v>46017</v>
      </c>
      <c r="C4454" t="inlineStr">
        <is>
          <t>S02</t>
        </is>
      </c>
      <c r="D4454" t="inlineStr">
        <is>
          <t>P102</t>
        </is>
      </c>
      <c r="E4454" t="n">
        <v>1</v>
      </c>
      <c r="F4454" t="n">
        <v>14.5</v>
      </c>
      <c r="G4454" t="n">
        <v>0</v>
      </c>
      <c r="H4454">
        <f>E4454*F4454*(1-G4454)</f>
        <v/>
      </c>
      <c r="I4454">
        <f>XLOOKUP(D4454,Products!$A$2:$A$15,Products!$B$2:$B$15,"Not found")</f>
        <v/>
      </c>
    </row>
    <row r="4455">
      <c r="A4455" t="n">
        <v>108774</v>
      </c>
      <c r="B4455" s="1" t="n">
        <v>46017</v>
      </c>
      <c r="C4455" t="inlineStr">
        <is>
          <t>S03</t>
        </is>
      </c>
      <c r="D4455" t="inlineStr">
        <is>
          <t>P301</t>
        </is>
      </c>
      <c r="E4455" t="n">
        <v>1</v>
      </c>
      <c r="F4455" t="n">
        <v>119</v>
      </c>
      <c r="G4455" t="n">
        <v>0</v>
      </c>
      <c r="H4455">
        <f>E4455*F4455*(1-G4455)</f>
        <v/>
      </c>
      <c r="I4455">
        <f>XLOOKUP(D4455,Products!$A$2:$A$15,Products!$B$2:$B$15,"Not found")</f>
        <v/>
      </c>
    </row>
    <row r="4456">
      <c r="A4456" t="n">
        <v>108775</v>
      </c>
      <c r="B4456" s="1" t="n">
        <v>46017</v>
      </c>
      <c r="C4456" t="inlineStr">
        <is>
          <t>S03</t>
        </is>
      </c>
      <c r="D4456" t="inlineStr">
        <is>
          <t>P301</t>
        </is>
      </c>
      <c r="E4456" t="n">
        <v>1</v>
      </c>
      <c r="F4456" t="n">
        <v>119</v>
      </c>
      <c r="G4456" t="n">
        <v>0.1</v>
      </c>
      <c r="H4456">
        <f>E4456*F4456*(1-G4456)</f>
        <v/>
      </c>
      <c r="I4456">
        <f>XLOOKUP(D4456,Products!$A$2:$A$15,Products!$B$2:$B$15,"Not found")</f>
        <v/>
      </c>
    </row>
    <row r="4457">
      <c r="A4457" t="n">
        <v>108776</v>
      </c>
      <c r="B4457" s="1" t="n">
        <v>46017</v>
      </c>
      <c r="C4457" t="inlineStr">
        <is>
          <t>S03</t>
        </is>
      </c>
      <c r="D4457" t="inlineStr">
        <is>
          <t>P103</t>
        </is>
      </c>
      <c r="E4457" t="n">
        <v>1</v>
      </c>
      <c r="F4457" t="n">
        <v>29</v>
      </c>
      <c r="G4457" t="n">
        <v>0.2</v>
      </c>
      <c r="H4457">
        <f>E4457*F4457*(1-G4457)</f>
        <v/>
      </c>
      <c r="I4457">
        <f>XLOOKUP(D4457,Products!$A$2:$A$15,Products!$B$2:$B$15,"Not found")</f>
        <v/>
      </c>
    </row>
    <row r="4458">
      <c r="A4458" t="n">
        <v>108777</v>
      </c>
      <c r="B4458" s="1" t="n">
        <v>46017</v>
      </c>
      <c r="C4458" t="inlineStr">
        <is>
          <t>S03</t>
        </is>
      </c>
      <c r="D4458" t="inlineStr">
        <is>
          <t>P201</t>
        </is>
      </c>
      <c r="E4458" t="n">
        <v>1</v>
      </c>
      <c r="F4458" t="n">
        <v>149</v>
      </c>
      <c r="G4458" t="n">
        <v>0</v>
      </c>
      <c r="H4458">
        <f>E4458*F4458*(1-G4458)</f>
        <v/>
      </c>
      <c r="I4458">
        <f>XLOOKUP(D4458,Products!$A$2:$A$15,Products!$B$2:$B$15,"Not found")</f>
        <v/>
      </c>
    </row>
    <row r="4459">
      <c r="A4459" t="n">
        <v>108778</v>
      </c>
      <c r="B4459" s="1" t="n">
        <v>46017</v>
      </c>
      <c r="C4459" t="inlineStr">
        <is>
          <t>S04</t>
        </is>
      </c>
      <c r="D4459" t="inlineStr">
        <is>
          <t>P101</t>
        </is>
      </c>
      <c r="E4459" t="n">
        <v>2</v>
      </c>
      <c r="F4459" t="n">
        <v>39</v>
      </c>
      <c r="G4459" t="n">
        <v>0.15</v>
      </c>
      <c r="H4459">
        <f>E4459*F4459*(1-G4459)</f>
        <v/>
      </c>
      <c r="I4459">
        <f>XLOOKUP(D4459,Products!$A$2:$A$15,Products!$B$2:$B$15,"Not found")</f>
        <v/>
      </c>
    </row>
    <row r="4460">
      <c r="A4460" t="n">
        <v>108779</v>
      </c>
      <c r="B4460" s="1" t="n">
        <v>46017</v>
      </c>
      <c r="C4460" t="inlineStr">
        <is>
          <t>S04</t>
        </is>
      </c>
      <c r="D4460" t="inlineStr">
        <is>
          <t>P103</t>
        </is>
      </c>
      <c r="E4460" t="n">
        <v>1</v>
      </c>
      <c r="F4460" t="n">
        <v>29</v>
      </c>
      <c r="G4460" t="n">
        <v>0</v>
      </c>
      <c r="H4460">
        <f>E4460*F4460*(1-G4460)</f>
        <v/>
      </c>
      <c r="I4460">
        <f>XLOOKUP(D4460,Products!$A$2:$A$15,Products!$B$2:$B$15,"Not found")</f>
        <v/>
      </c>
    </row>
    <row r="4461">
      <c r="A4461" t="n">
        <v>108780</v>
      </c>
      <c r="B4461" s="1" t="n">
        <v>46017</v>
      </c>
      <c r="C4461" t="inlineStr">
        <is>
          <t>S04</t>
        </is>
      </c>
      <c r="D4461" t="inlineStr">
        <is>
          <t>P101</t>
        </is>
      </c>
      <c r="E4461" t="n">
        <v>4</v>
      </c>
      <c r="F4461" t="n">
        <v>39</v>
      </c>
      <c r="G4461" t="n">
        <v>0</v>
      </c>
      <c r="H4461">
        <f>E4461*F4461*(1-G4461)</f>
        <v/>
      </c>
      <c r="I4461">
        <f>XLOOKUP(D4461,Products!$A$2:$A$15,Products!$B$2:$B$15,"Not found")</f>
        <v/>
      </c>
    </row>
    <row r="4462">
      <c r="A4462" t="n">
        <v>108781</v>
      </c>
      <c r="B4462" s="1" t="n">
        <v>46017</v>
      </c>
      <c r="C4462" t="inlineStr">
        <is>
          <t>S04</t>
        </is>
      </c>
      <c r="D4462" t="inlineStr">
        <is>
          <t>P203</t>
        </is>
      </c>
      <c r="E4462" t="n">
        <v>3</v>
      </c>
      <c r="F4462" t="n">
        <v>19.5</v>
      </c>
      <c r="G4462" t="n">
        <v>0</v>
      </c>
      <c r="H4462">
        <f>E4462*F4462*(1-G4462)</f>
        <v/>
      </c>
      <c r="I4462">
        <f>XLOOKUP(D4462,Products!$A$2:$A$15,Products!$B$2:$B$15,"Not found")</f>
        <v/>
      </c>
    </row>
    <row r="4463">
      <c r="A4463" t="n">
        <v>108782</v>
      </c>
      <c r="B4463" s="1" t="n">
        <v>46017</v>
      </c>
      <c r="C4463" t="inlineStr">
        <is>
          <t>S04</t>
        </is>
      </c>
      <c r="D4463" t="inlineStr">
        <is>
          <t>P301</t>
        </is>
      </c>
      <c r="E4463" t="n">
        <v>1</v>
      </c>
      <c r="F4463" t="n">
        <v>119</v>
      </c>
      <c r="G4463" t="n">
        <v>0.15</v>
      </c>
      <c r="H4463">
        <f>E4463*F4463*(1-G4463)</f>
        <v/>
      </c>
      <c r="I4463">
        <f>XLOOKUP(D4463,Products!$A$2:$A$15,Products!$B$2:$B$15,"Not found")</f>
        <v/>
      </c>
    </row>
    <row r="4464">
      <c r="A4464" t="n">
        <v>108783</v>
      </c>
      <c r="B4464" s="1" t="n">
        <v>46017</v>
      </c>
      <c r="C4464" t="inlineStr">
        <is>
          <t>S04</t>
        </is>
      </c>
      <c r="D4464" t="inlineStr">
        <is>
          <t>P103</t>
        </is>
      </c>
      <c r="E4464" t="n">
        <v>2</v>
      </c>
      <c r="F4464" t="n">
        <v>29</v>
      </c>
      <c r="G4464" t="n">
        <v>0</v>
      </c>
      <c r="H4464">
        <f>E4464*F4464*(1-G4464)</f>
        <v/>
      </c>
      <c r="I4464">
        <f>XLOOKUP(D4464,Products!$A$2:$A$15,Products!$B$2:$B$15,"Not found")</f>
        <v/>
      </c>
    </row>
    <row r="4465">
      <c r="A4465" t="n">
        <v>108784</v>
      </c>
      <c r="B4465" s="1" t="n">
        <v>46017</v>
      </c>
      <c r="C4465" t="inlineStr">
        <is>
          <t>S05</t>
        </is>
      </c>
      <c r="D4465" t="inlineStr">
        <is>
          <t>P103</t>
        </is>
      </c>
      <c r="E4465" t="n">
        <v>1</v>
      </c>
      <c r="F4465" t="n">
        <v>29</v>
      </c>
      <c r="G4465" t="n">
        <v>0.1</v>
      </c>
      <c r="H4465">
        <f>E4465*F4465*(1-G4465)</f>
        <v/>
      </c>
      <c r="I4465">
        <f>XLOOKUP(D4465,Products!$A$2:$A$15,Products!$B$2:$B$15,"Not found")</f>
        <v/>
      </c>
    </row>
    <row r="4466">
      <c r="A4466" t="n">
        <v>108785</v>
      </c>
      <c r="B4466" s="1" t="n">
        <v>46017</v>
      </c>
      <c r="C4466" t="inlineStr">
        <is>
          <t>S05</t>
        </is>
      </c>
      <c r="D4466" t="inlineStr">
        <is>
          <t>P101</t>
        </is>
      </c>
      <c r="E4466" t="n">
        <v>1</v>
      </c>
      <c r="F4466" t="n">
        <v>39</v>
      </c>
      <c r="G4466" t="n">
        <v>0</v>
      </c>
      <c r="H4466">
        <f>E4466*F4466*(1-G4466)</f>
        <v/>
      </c>
      <c r="I4466">
        <f>XLOOKUP(D4466,Products!$A$2:$A$15,Products!$B$2:$B$15,"Not found")</f>
        <v/>
      </c>
    </row>
    <row r="4467">
      <c r="A4467" t="n">
        <v>108786</v>
      </c>
      <c r="B4467" s="1" t="n">
        <v>46017</v>
      </c>
      <c r="C4467" t="inlineStr">
        <is>
          <t>S05</t>
        </is>
      </c>
      <c r="D4467" t="inlineStr">
        <is>
          <t>P102</t>
        </is>
      </c>
      <c r="E4467" t="n">
        <v>1</v>
      </c>
      <c r="F4467" t="n">
        <v>14.5</v>
      </c>
      <c r="G4467" t="n">
        <v>0.15</v>
      </c>
      <c r="H4467">
        <f>E4467*F4467*(1-G4467)</f>
        <v/>
      </c>
      <c r="I4467">
        <f>XLOOKUP(D4467,Products!$A$2:$A$15,Products!$B$2:$B$15,"Not found")</f>
        <v/>
      </c>
    </row>
    <row r="4468">
      <c r="A4468" t="n">
        <v>108787</v>
      </c>
      <c r="B4468" s="1" t="n">
        <v>46017</v>
      </c>
      <c r="C4468" t="inlineStr">
        <is>
          <t>S05</t>
        </is>
      </c>
      <c r="D4468" t="inlineStr">
        <is>
          <t>P203</t>
        </is>
      </c>
      <c r="E4468" t="n">
        <v>1</v>
      </c>
      <c r="F4468" t="n">
        <v>19.5</v>
      </c>
      <c r="G4468" t="n">
        <v>0.1</v>
      </c>
      <c r="H4468">
        <f>E4468*F4468*(1-G4468)</f>
        <v/>
      </c>
      <c r="I4468">
        <f>XLOOKUP(D4468,Products!$A$2:$A$15,Products!$B$2:$B$15,"Not found")</f>
        <v/>
      </c>
    </row>
    <row r="4469">
      <c r="A4469" t="n">
        <v>108788</v>
      </c>
      <c r="B4469" s="1" t="n">
        <v>46018</v>
      </c>
      <c r="C4469" t="inlineStr">
        <is>
          <t>S01</t>
        </is>
      </c>
      <c r="D4469" t="inlineStr">
        <is>
          <t>P201</t>
        </is>
      </c>
      <c r="E4469" t="n">
        <v>1</v>
      </c>
      <c r="F4469" t="n">
        <v>149</v>
      </c>
      <c r="G4469" t="n">
        <v>0.2</v>
      </c>
      <c r="H4469">
        <f>E4469*F4469*(1-G4469)</f>
        <v/>
      </c>
      <c r="I4469">
        <f>XLOOKUP(D4469,Products!$A$2:$A$15,Products!$B$2:$B$15,"Not found")</f>
        <v/>
      </c>
    </row>
    <row r="4470">
      <c r="A4470" t="n">
        <v>108789</v>
      </c>
      <c r="B4470" s="1" t="n">
        <v>46018</v>
      </c>
      <c r="C4470" t="inlineStr">
        <is>
          <t>S01</t>
        </is>
      </c>
      <c r="D4470" t="inlineStr">
        <is>
          <t>P303</t>
        </is>
      </c>
      <c r="E4470" t="n">
        <v>4</v>
      </c>
      <c r="F4470" t="n">
        <v>12</v>
      </c>
      <c r="G4470" t="n">
        <v>0.1</v>
      </c>
      <c r="H4470">
        <f>E4470*F4470*(1-G4470)</f>
        <v/>
      </c>
      <c r="I4470">
        <f>XLOOKUP(D4470,Products!$A$2:$A$15,Products!$B$2:$B$15,"Not found")</f>
        <v/>
      </c>
    </row>
    <row r="4471">
      <c r="A4471" t="n">
        <v>108790</v>
      </c>
      <c r="B4471" s="1" t="n">
        <v>46018</v>
      </c>
      <c r="C4471" t="inlineStr">
        <is>
          <t>S01</t>
        </is>
      </c>
      <c r="D4471" t="inlineStr">
        <is>
          <t>P301</t>
        </is>
      </c>
      <c r="E4471" t="n">
        <v>1</v>
      </c>
      <c r="F4471" t="n">
        <v>119</v>
      </c>
      <c r="G4471" t="n">
        <v>0</v>
      </c>
      <c r="H4471">
        <f>E4471*F4471*(1-G4471)</f>
        <v/>
      </c>
      <c r="I4471">
        <f>XLOOKUP(D4471,Products!$A$2:$A$15,Products!$B$2:$B$15,"Not found")</f>
        <v/>
      </c>
    </row>
    <row r="4472">
      <c r="A4472" t="n">
        <v>108791</v>
      </c>
      <c r="B4472" s="1" t="n">
        <v>46018</v>
      </c>
      <c r="C4472" t="inlineStr">
        <is>
          <t>S01</t>
        </is>
      </c>
      <c r="D4472" t="inlineStr">
        <is>
          <t>P102</t>
        </is>
      </c>
      <c r="E4472" t="n">
        <v>1</v>
      </c>
      <c r="F4472" t="n">
        <v>14.5</v>
      </c>
      <c r="G4472" t="n">
        <v>0.2</v>
      </c>
      <c r="H4472">
        <f>E4472*F4472*(1-G4472)</f>
        <v/>
      </c>
      <c r="I4472">
        <f>XLOOKUP(D4472,Products!$A$2:$A$15,Products!$B$2:$B$15,"Not found")</f>
        <v/>
      </c>
    </row>
    <row r="4473">
      <c r="A4473" t="n">
        <v>108792</v>
      </c>
      <c r="B4473" s="1" t="n">
        <v>46018</v>
      </c>
      <c r="C4473" t="inlineStr">
        <is>
          <t>S01</t>
        </is>
      </c>
      <c r="D4473" t="inlineStr">
        <is>
          <t>P103</t>
        </is>
      </c>
      <c r="E4473" t="n">
        <v>2</v>
      </c>
      <c r="F4473" t="n">
        <v>29</v>
      </c>
      <c r="G4473" t="n">
        <v>0.15</v>
      </c>
      <c r="H4473">
        <f>E4473*F4473*(1-G4473)</f>
        <v/>
      </c>
      <c r="I4473">
        <f>XLOOKUP(D4473,Products!$A$2:$A$15,Products!$B$2:$B$15,"Not found")</f>
        <v/>
      </c>
    </row>
    <row r="4474">
      <c r="A4474" t="n">
        <v>108793</v>
      </c>
      <c r="B4474" s="1" t="n">
        <v>46018</v>
      </c>
      <c r="C4474" t="inlineStr">
        <is>
          <t>S01</t>
        </is>
      </c>
      <c r="D4474" t="inlineStr">
        <is>
          <t>P102</t>
        </is>
      </c>
      <c r="E4474" t="n">
        <v>1</v>
      </c>
      <c r="F4474" t="n">
        <v>14.5</v>
      </c>
      <c r="G4474" t="n">
        <v>0</v>
      </c>
      <c r="H4474">
        <f>E4474*F4474*(1-G4474)</f>
        <v/>
      </c>
      <c r="I4474">
        <f>XLOOKUP(D4474,Products!$A$2:$A$15,Products!$B$2:$B$15,"Not found")</f>
        <v/>
      </c>
    </row>
    <row r="4475">
      <c r="A4475" t="n">
        <v>108794</v>
      </c>
      <c r="B4475" s="1" t="n">
        <v>46018</v>
      </c>
      <c r="C4475" t="inlineStr">
        <is>
          <t>S01</t>
        </is>
      </c>
      <c r="D4475" t="inlineStr">
        <is>
          <t>P101</t>
        </is>
      </c>
      <c r="E4475" t="n">
        <v>2</v>
      </c>
      <c r="F4475" t="n">
        <v>39</v>
      </c>
      <c r="G4475" t="n">
        <v>0</v>
      </c>
      <c r="H4475">
        <f>E4475*F4475*(1-G4475)</f>
        <v/>
      </c>
      <c r="I4475">
        <f>XLOOKUP(D4475,Products!$A$2:$A$15,Products!$B$2:$B$15,"Not found")</f>
        <v/>
      </c>
    </row>
    <row r="4476">
      <c r="A4476" t="n">
        <v>108795</v>
      </c>
      <c r="B4476" s="1" t="n">
        <v>46018</v>
      </c>
      <c r="C4476" t="inlineStr">
        <is>
          <t>S01</t>
        </is>
      </c>
      <c r="D4476" t="inlineStr">
        <is>
          <t>P201</t>
        </is>
      </c>
      <c r="E4476" t="n">
        <v>1</v>
      </c>
      <c r="F4476" t="n">
        <v>149</v>
      </c>
      <c r="G4476" t="n">
        <v>0</v>
      </c>
      <c r="H4476">
        <f>E4476*F4476*(1-G4476)</f>
        <v/>
      </c>
      <c r="I4476">
        <f>XLOOKUP(D4476,Products!$A$2:$A$15,Products!$B$2:$B$15,"Not found")</f>
        <v/>
      </c>
    </row>
    <row r="4477">
      <c r="A4477" t="n">
        <v>108796</v>
      </c>
      <c r="B4477" s="1" t="n">
        <v>46018</v>
      </c>
      <c r="C4477" t="inlineStr">
        <is>
          <t>S01</t>
        </is>
      </c>
      <c r="D4477" t="inlineStr">
        <is>
          <t>P201</t>
        </is>
      </c>
      <c r="E4477" t="n">
        <v>1</v>
      </c>
      <c r="F4477" t="n">
        <v>149</v>
      </c>
      <c r="G4477" t="n">
        <v>0</v>
      </c>
      <c r="H4477">
        <f>E4477*F4477*(1-G4477)</f>
        <v/>
      </c>
      <c r="I4477">
        <f>XLOOKUP(D4477,Products!$A$2:$A$15,Products!$B$2:$B$15,"Not found")</f>
        <v/>
      </c>
    </row>
    <row r="4478">
      <c r="A4478" t="n">
        <v>108797</v>
      </c>
      <c r="B4478" s="1" t="n">
        <v>46018</v>
      </c>
      <c r="C4478" t="inlineStr">
        <is>
          <t>S02</t>
        </is>
      </c>
      <c r="D4478" t="inlineStr">
        <is>
          <t>P301</t>
        </is>
      </c>
      <c r="E4478" t="n">
        <v>1</v>
      </c>
      <c r="F4478" t="n">
        <v>119</v>
      </c>
      <c r="G4478" t="n">
        <v>0.2</v>
      </c>
      <c r="H4478">
        <f>E4478*F4478*(1-G4478)</f>
        <v/>
      </c>
      <c r="I4478">
        <f>XLOOKUP(D4478,Products!$A$2:$A$15,Products!$B$2:$B$15,"Not found")</f>
        <v/>
      </c>
    </row>
    <row r="4479">
      <c r="A4479" t="n">
        <v>108798</v>
      </c>
      <c r="B4479" s="1" t="n">
        <v>46018</v>
      </c>
      <c r="C4479" t="inlineStr">
        <is>
          <t>S02</t>
        </is>
      </c>
      <c r="D4479" t="inlineStr">
        <is>
          <t>P302</t>
        </is>
      </c>
      <c r="E4479" t="n">
        <v>2</v>
      </c>
      <c r="F4479" t="n">
        <v>24</v>
      </c>
      <c r="G4479" t="n">
        <v>0.2</v>
      </c>
      <c r="H4479">
        <f>E4479*F4479*(1-G4479)</f>
        <v/>
      </c>
      <c r="I4479">
        <f>XLOOKUP(D4479,Products!$A$2:$A$15,Products!$B$2:$B$15,"Not found")</f>
        <v/>
      </c>
    </row>
    <row r="4480">
      <c r="A4480" t="n">
        <v>108799</v>
      </c>
      <c r="B4480" s="1" t="n">
        <v>46018</v>
      </c>
      <c r="C4480" t="inlineStr">
        <is>
          <t>S02</t>
        </is>
      </c>
      <c r="D4480" t="inlineStr">
        <is>
          <t>P301</t>
        </is>
      </c>
      <c r="E4480" t="n">
        <v>1</v>
      </c>
      <c r="F4480" t="n">
        <v>119</v>
      </c>
      <c r="G4480" t="n">
        <v>0.1</v>
      </c>
      <c r="H4480">
        <f>E4480*F4480*(1-G4480)</f>
        <v/>
      </c>
      <c r="I4480">
        <f>XLOOKUP(D4480,Products!$A$2:$A$15,Products!$B$2:$B$15,"Not found")</f>
        <v/>
      </c>
    </row>
    <row r="4481">
      <c r="A4481" t="n">
        <v>108800</v>
      </c>
      <c r="B4481" s="1" t="n">
        <v>46018</v>
      </c>
      <c r="C4481" t="inlineStr">
        <is>
          <t>S03</t>
        </is>
      </c>
      <c r="D4481" t="inlineStr">
        <is>
          <t>P303</t>
        </is>
      </c>
      <c r="E4481" t="n">
        <v>4</v>
      </c>
      <c r="F4481" t="n">
        <v>12</v>
      </c>
      <c r="G4481" t="n">
        <v>0</v>
      </c>
      <c r="H4481">
        <f>E4481*F4481*(1-G4481)</f>
        <v/>
      </c>
      <c r="I4481">
        <f>XLOOKUP(D4481,Products!$A$2:$A$15,Products!$B$2:$B$15,"Not found")</f>
        <v/>
      </c>
    </row>
    <row r="4482">
      <c r="A4482" t="n">
        <v>108801</v>
      </c>
      <c r="B4482" s="1" t="n">
        <v>46018</v>
      </c>
      <c r="C4482" t="inlineStr">
        <is>
          <t>S03</t>
        </is>
      </c>
      <c r="D4482" t="inlineStr">
        <is>
          <t>P403</t>
        </is>
      </c>
      <c r="E4482" t="n">
        <v>2</v>
      </c>
      <c r="F4482" t="n">
        <v>89</v>
      </c>
      <c r="G4482" t="n">
        <v>0.2</v>
      </c>
      <c r="H4482">
        <f>E4482*F4482*(1-G4482)</f>
        <v/>
      </c>
      <c r="I4482">
        <f>XLOOKUP(D4482,Products!$A$2:$A$15,Products!$B$2:$B$15,"Not found")</f>
        <v/>
      </c>
    </row>
    <row r="4483">
      <c r="A4483" t="n">
        <v>108802</v>
      </c>
      <c r="B4483" s="1" t="n">
        <v>46018</v>
      </c>
      <c r="C4483" t="inlineStr">
        <is>
          <t>S04</t>
        </is>
      </c>
      <c r="D4483" t="inlineStr">
        <is>
          <t>P102</t>
        </is>
      </c>
      <c r="E4483" t="n">
        <v>3</v>
      </c>
      <c r="F4483" t="n">
        <v>14.5</v>
      </c>
      <c r="G4483" t="n">
        <v>0</v>
      </c>
      <c r="H4483">
        <f>E4483*F4483*(1-G4483)</f>
        <v/>
      </c>
      <c r="I4483">
        <f>XLOOKUP(D4483,Products!$A$2:$A$15,Products!$B$2:$B$15,"Not found")</f>
        <v/>
      </c>
    </row>
    <row r="4484">
      <c r="A4484" t="n">
        <v>108803</v>
      </c>
      <c r="B4484" s="1" t="n">
        <v>46018</v>
      </c>
      <c r="C4484" t="inlineStr">
        <is>
          <t>S04</t>
        </is>
      </c>
      <c r="D4484" t="inlineStr">
        <is>
          <t>P103</t>
        </is>
      </c>
      <c r="E4484" t="n">
        <v>4</v>
      </c>
      <c r="F4484" t="n">
        <v>29</v>
      </c>
      <c r="G4484" t="n">
        <v>0</v>
      </c>
      <c r="H4484">
        <f>E4484*F4484*(1-G4484)</f>
        <v/>
      </c>
      <c r="I4484">
        <f>XLOOKUP(D4484,Products!$A$2:$A$15,Products!$B$2:$B$15,"Not found")</f>
        <v/>
      </c>
    </row>
    <row r="4485">
      <c r="A4485" t="n">
        <v>108804</v>
      </c>
      <c r="B4485" s="1" t="n">
        <v>46018</v>
      </c>
      <c r="C4485" t="inlineStr">
        <is>
          <t>S04</t>
        </is>
      </c>
      <c r="D4485" t="inlineStr">
        <is>
          <t>P302</t>
        </is>
      </c>
      <c r="E4485" t="n">
        <v>3</v>
      </c>
      <c r="F4485" t="n">
        <v>24</v>
      </c>
      <c r="G4485" t="n">
        <v>0</v>
      </c>
      <c r="H4485">
        <f>E4485*F4485*(1-G4485)</f>
        <v/>
      </c>
      <c r="I4485">
        <f>XLOOKUP(D4485,Products!$A$2:$A$15,Products!$B$2:$B$15,"Not found")</f>
        <v/>
      </c>
    </row>
    <row r="4486">
      <c r="A4486" t="n">
        <v>108805</v>
      </c>
      <c r="B4486" s="1" t="n">
        <v>46018</v>
      </c>
      <c r="C4486" t="inlineStr">
        <is>
          <t>S05</t>
        </is>
      </c>
      <c r="D4486" t="inlineStr">
        <is>
          <t>P301</t>
        </is>
      </c>
      <c r="E4486" t="n">
        <v>1</v>
      </c>
      <c r="F4486" t="n">
        <v>119</v>
      </c>
      <c r="G4486" t="n">
        <v>0</v>
      </c>
      <c r="H4486">
        <f>E4486*F4486*(1-G4486)</f>
        <v/>
      </c>
      <c r="I4486">
        <f>XLOOKUP(D4486,Products!$A$2:$A$15,Products!$B$2:$B$15,"Not found")</f>
        <v/>
      </c>
    </row>
    <row r="4487">
      <c r="A4487" t="n">
        <v>108806</v>
      </c>
      <c r="B4487" s="1" t="n">
        <v>46018</v>
      </c>
      <c r="C4487" t="inlineStr">
        <is>
          <t>S05</t>
        </is>
      </c>
      <c r="D4487" t="inlineStr">
        <is>
          <t>P101</t>
        </is>
      </c>
      <c r="E4487" t="n">
        <v>3</v>
      </c>
      <c r="F4487" t="n">
        <v>39</v>
      </c>
      <c r="G4487" t="n">
        <v>0.2</v>
      </c>
      <c r="H4487">
        <f>E4487*F4487*(1-G4487)</f>
        <v/>
      </c>
      <c r="I4487">
        <f>XLOOKUP(D4487,Products!$A$2:$A$15,Products!$B$2:$B$15,"Not found")</f>
        <v/>
      </c>
    </row>
    <row r="4488">
      <c r="A4488" t="n">
        <v>108807</v>
      </c>
      <c r="B4488" s="1" t="n">
        <v>46018</v>
      </c>
      <c r="C4488" t="inlineStr">
        <is>
          <t>S05</t>
        </is>
      </c>
      <c r="D4488" t="inlineStr">
        <is>
          <t>P101</t>
        </is>
      </c>
      <c r="E4488" t="n">
        <v>1</v>
      </c>
      <c r="F4488" t="n">
        <v>39</v>
      </c>
      <c r="G4488" t="n">
        <v>0</v>
      </c>
      <c r="H4488">
        <f>E4488*F4488*(1-G4488)</f>
        <v/>
      </c>
      <c r="I4488">
        <f>XLOOKUP(D4488,Products!$A$2:$A$15,Products!$B$2:$B$15,"Not found")</f>
        <v/>
      </c>
    </row>
    <row r="4489">
      <c r="A4489" t="n">
        <v>108808</v>
      </c>
      <c r="B4489" s="1" t="n">
        <v>46018</v>
      </c>
      <c r="C4489" t="inlineStr">
        <is>
          <t>S05</t>
        </is>
      </c>
      <c r="D4489" t="inlineStr">
        <is>
          <t>P203</t>
        </is>
      </c>
      <c r="E4489" t="n">
        <v>4</v>
      </c>
      <c r="F4489" t="n">
        <v>19.5</v>
      </c>
      <c r="G4489" t="n">
        <v>0</v>
      </c>
      <c r="H4489">
        <f>E4489*F4489*(1-G4489)</f>
        <v/>
      </c>
      <c r="I4489">
        <f>XLOOKUP(D4489,Products!$A$2:$A$15,Products!$B$2:$B$15,"Not found")</f>
        <v/>
      </c>
    </row>
    <row r="4490">
      <c r="A4490" t="n">
        <v>108809</v>
      </c>
      <c r="B4490" s="1" t="n">
        <v>46018</v>
      </c>
      <c r="C4490" t="inlineStr">
        <is>
          <t>S06</t>
        </is>
      </c>
      <c r="D4490" t="inlineStr">
        <is>
          <t>P103</t>
        </is>
      </c>
      <c r="E4490" t="n">
        <v>1</v>
      </c>
      <c r="F4490" t="n">
        <v>29</v>
      </c>
      <c r="G4490" t="n">
        <v>0.15</v>
      </c>
      <c r="H4490">
        <f>E4490*F4490*(1-G4490)</f>
        <v/>
      </c>
      <c r="I4490">
        <f>XLOOKUP(D4490,Products!$A$2:$A$15,Products!$B$2:$B$15,"Not found")</f>
        <v/>
      </c>
    </row>
    <row r="4491">
      <c r="A4491" t="n">
        <v>108810</v>
      </c>
      <c r="B4491" s="1" t="n">
        <v>46019</v>
      </c>
      <c r="C4491" t="inlineStr">
        <is>
          <t>S01</t>
        </is>
      </c>
      <c r="D4491" t="inlineStr">
        <is>
          <t>P303</t>
        </is>
      </c>
      <c r="E4491" t="n">
        <v>2</v>
      </c>
      <c r="F4491" t="n">
        <v>12</v>
      </c>
      <c r="G4491" t="n">
        <v>0.1</v>
      </c>
      <c r="H4491">
        <f>E4491*F4491*(1-G4491)</f>
        <v/>
      </c>
      <c r="I4491">
        <f>XLOOKUP(D4491,Products!$A$2:$A$15,Products!$B$2:$B$15,"Not found")</f>
        <v/>
      </c>
    </row>
    <row r="4492">
      <c r="A4492" t="n">
        <v>108811</v>
      </c>
      <c r="B4492" s="1" t="n">
        <v>46019</v>
      </c>
      <c r="C4492" t="inlineStr">
        <is>
          <t>S01</t>
        </is>
      </c>
      <c r="D4492" t="inlineStr">
        <is>
          <t>P104</t>
        </is>
      </c>
      <c r="E4492" t="n">
        <v>1</v>
      </c>
      <c r="F4492" t="n">
        <v>189</v>
      </c>
      <c r="G4492" t="n">
        <v>0.1</v>
      </c>
      <c r="H4492">
        <f>E4492*F4492*(1-G4492)</f>
        <v/>
      </c>
      <c r="I4492">
        <f>XLOOKUP(D4492,Products!$A$2:$A$15,Products!$B$2:$B$15,"Not found")</f>
        <v/>
      </c>
    </row>
    <row r="4493">
      <c r="A4493" t="n">
        <v>108812</v>
      </c>
      <c r="B4493" s="1" t="n">
        <v>46019</v>
      </c>
      <c r="C4493" t="inlineStr">
        <is>
          <t>S01</t>
        </is>
      </c>
      <c r="D4493" t="inlineStr">
        <is>
          <t>P103</t>
        </is>
      </c>
      <c r="E4493" t="n">
        <v>2</v>
      </c>
      <c r="F4493" t="n">
        <v>29</v>
      </c>
      <c r="G4493" t="n">
        <v>0</v>
      </c>
      <c r="H4493">
        <f>E4493*F4493*(1-G4493)</f>
        <v/>
      </c>
      <c r="I4493">
        <f>XLOOKUP(D4493,Products!$A$2:$A$15,Products!$B$2:$B$15,"Not found")</f>
        <v/>
      </c>
    </row>
    <row r="4494">
      <c r="A4494" t="n">
        <v>108813</v>
      </c>
      <c r="B4494" s="1" t="n">
        <v>46019</v>
      </c>
      <c r="C4494" t="inlineStr">
        <is>
          <t>S01</t>
        </is>
      </c>
      <c r="D4494" t="inlineStr">
        <is>
          <t>P102</t>
        </is>
      </c>
      <c r="E4494" t="n">
        <v>1</v>
      </c>
      <c r="F4494" t="n">
        <v>14.5</v>
      </c>
      <c r="G4494" t="n">
        <v>0.2</v>
      </c>
      <c r="H4494">
        <f>E4494*F4494*(1-G4494)</f>
        <v/>
      </c>
      <c r="I4494">
        <f>XLOOKUP(D4494,Products!$A$2:$A$15,Products!$B$2:$B$15,"Not found")</f>
        <v/>
      </c>
    </row>
    <row r="4495">
      <c r="A4495" t="n">
        <v>108814</v>
      </c>
      <c r="B4495" s="1" t="n">
        <v>46019</v>
      </c>
      <c r="C4495" t="inlineStr">
        <is>
          <t>S01</t>
        </is>
      </c>
      <c r="D4495" t="inlineStr">
        <is>
          <t>P303</t>
        </is>
      </c>
      <c r="E4495" t="n">
        <v>2</v>
      </c>
      <c r="F4495" t="n">
        <v>12</v>
      </c>
      <c r="G4495" t="n">
        <v>0.15</v>
      </c>
      <c r="H4495">
        <f>E4495*F4495*(1-G4495)</f>
        <v/>
      </c>
      <c r="I4495">
        <f>XLOOKUP(D4495,Products!$A$2:$A$15,Products!$B$2:$B$15,"Not found")</f>
        <v/>
      </c>
    </row>
    <row r="4496">
      <c r="A4496" t="n">
        <v>108815</v>
      </c>
      <c r="B4496" s="1" t="n">
        <v>46019</v>
      </c>
      <c r="C4496" t="inlineStr">
        <is>
          <t>S01</t>
        </is>
      </c>
      <c r="D4496" t="inlineStr">
        <is>
          <t>P102</t>
        </is>
      </c>
      <c r="E4496" t="n">
        <v>3</v>
      </c>
      <c r="F4496" t="n">
        <v>14.5</v>
      </c>
      <c r="G4496" t="n">
        <v>0.15</v>
      </c>
      <c r="H4496">
        <f>E4496*F4496*(1-G4496)</f>
        <v/>
      </c>
      <c r="I4496">
        <f>XLOOKUP(D4496,Products!$A$2:$A$15,Products!$B$2:$B$15,"Not found")</f>
        <v/>
      </c>
    </row>
    <row r="4497">
      <c r="A4497" t="n">
        <v>108816</v>
      </c>
      <c r="B4497" s="1" t="n">
        <v>46019</v>
      </c>
      <c r="C4497" t="inlineStr">
        <is>
          <t>S01</t>
        </is>
      </c>
      <c r="D4497" t="inlineStr">
        <is>
          <t>P204</t>
        </is>
      </c>
      <c r="E4497" t="n">
        <v>1</v>
      </c>
      <c r="F4497" t="n">
        <v>229</v>
      </c>
      <c r="G4497" t="n">
        <v>0</v>
      </c>
      <c r="H4497">
        <f>E4497*F4497*(1-G4497)</f>
        <v/>
      </c>
      <c r="I4497">
        <f>XLOOKUP(D4497,Products!$A$2:$A$15,Products!$B$2:$B$15,"Not found")</f>
        <v/>
      </c>
    </row>
    <row r="4498">
      <c r="A4498" t="n">
        <v>108817</v>
      </c>
      <c r="B4498" s="1" t="n">
        <v>46019</v>
      </c>
      <c r="C4498" t="inlineStr">
        <is>
          <t>S02</t>
        </is>
      </c>
      <c r="D4498" t="inlineStr">
        <is>
          <t>P302</t>
        </is>
      </c>
      <c r="E4498" t="n">
        <v>2</v>
      </c>
      <c r="F4498" t="n">
        <v>24</v>
      </c>
      <c r="G4498" t="n">
        <v>0.2</v>
      </c>
      <c r="H4498">
        <f>E4498*F4498*(1-G4498)</f>
        <v/>
      </c>
      <c r="I4498">
        <f>XLOOKUP(D4498,Products!$A$2:$A$15,Products!$B$2:$B$15,"Not found")</f>
        <v/>
      </c>
    </row>
    <row r="4499">
      <c r="A4499" t="n">
        <v>108818</v>
      </c>
      <c r="B4499" s="1" t="n">
        <v>46019</v>
      </c>
      <c r="C4499" t="inlineStr">
        <is>
          <t>S02</t>
        </is>
      </c>
      <c r="D4499" t="inlineStr">
        <is>
          <t>P101</t>
        </is>
      </c>
      <c r="E4499" t="n">
        <v>3</v>
      </c>
      <c r="F4499" t="n">
        <v>39</v>
      </c>
      <c r="G4499" t="n">
        <v>0.15</v>
      </c>
      <c r="H4499">
        <f>E4499*F4499*(1-G4499)</f>
        <v/>
      </c>
      <c r="I4499">
        <f>XLOOKUP(D4499,Products!$A$2:$A$15,Products!$B$2:$B$15,"Not found")</f>
        <v/>
      </c>
    </row>
    <row r="4500">
      <c r="A4500" t="n">
        <v>108819</v>
      </c>
      <c r="B4500" s="1" t="n">
        <v>46019</v>
      </c>
      <c r="C4500" t="inlineStr">
        <is>
          <t>S02</t>
        </is>
      </c>
      <c r="D4500" t="inlineStr">
        <is>
          <t>P201</t>
        </is>
      </c>
      <c r="E4500" t="n">
        <v>1</v>
      </c>
      <c r="F4500" t="n">
        <v>149</v>
      </c>
      <c r="G4500" t="n">
        <v>0</v>
      </c>
      <c r="H4500">
        <f>E4500*F4500*(1-G4500)</f>
        <v/>
      </c>
      <c r="I4500">
        <f>XLOOKUP(D4500,Products!$A$2:$A$15,Products!$B$2:$B$15,"Not found")</f>
        <v/>
      </c>
    </row>
    <row r="4501">
      <c r="A4501" t="n">
        <v>108820</v>
      </c>
      <c r="B4501" s="1" t="n">
        <v>46019</v>
      </c>
      <c r="C4501" t="inlineStr">
        <is>
          <t>S02</t>
        </is>
      </c>
      <c r="D4501" t="inlineStr">
        <is>
          <t>P102</t>
        </is>
      </c>
      <c r="E4501" t="n">
        <v>2</v>
      </c>
      <c r="F4501" t="n">
        <v>14.5</v>
      </c>
      <c r="G4501" t="n">
        <v>0.1</v>
      </c>
      <c r="H4501">
        <f>E4501*F4501*(1-G4501)</f>
        <v/>
      </c>
      <c r="I4501">
        <f>XLOOKUP(D4501,Products!$A$2:$A$15,Products!$B$2:$B$15,"Not found")</f>
        <v/>
      </c>
    </row>
    <row r="4502">
      <c r="A4502" t="n">
        <v>108821</v>
      </c>
      <c r="B4502" s="1" t="n">
        <v>46019</v>
      </c>
      <c r="C4502" t="inlineStr">
        <is>
          <t>S02</t>
        </is>
      </c>
      <c r="D4502" t="inlineStr">
        <is>
          <t>P103</t>
        </is>
      </c>
      <c r="E4502" t="n">
        <v>1</v>
      </c>
      <c r="F4502" t="n">
        <v>29</v>
      </c>
      <c r="G4502" t="n">
        <v>0.15</v>
      </c>
      <c r="H4502">
        <f>E4502*F4502*(1-G4502)</f>
        <v/>
      </c>
      <c r="I4502">
        <f>XLOOKUP(D4502,Products!$A$2:$A$15,Products!$B$2:$B$15,"Not found")</f>
        <v/>
      </c>
    </row>
    <row r="4503">
      <c r="A4503" t="n">
        <v>108822</v>
      </c>
      <c r="B4503" s="1" t="n">
        <v>46019</v>
      </c>
      <c r="C4503" t="inlineStr">
        <is>
          <t>S02</t>
        </is>
      </c>
      <c r="D4503" t="inlineStr">
        <is>
          <t>P102</t>
        </is>
      </c>
      <c r="E4503" t="n">
        <v>1</v>
      </c>
      <c r="F4503" t="n">
        <v>14.5</v>
      </c>
      <c r="G4503" t="n">
        <v>0</v>
      </c>
      <c r="H4503">
        <f>E4503*F4503*(1-G4503)</f>
        <v/>
      </c>
      <c r="I4503">
        <f>XLOOKUP(D4503,Products!$A$2:$A$15,Products!$B$2:$B$15,"Not found")</f>
        <v/>
      </c>
    </row>
    <row r="4504">
      <c r="A4504" t="n">
        <v>108823</v>
      </c>
      <c r="B4504" s="1" t="n">
        <v>46019</v>
      </c>
      <c r="C4504" t="inlineStr">
        <is>
          <t>S03</t>
        </is>
      </c>
      <c r="D4504" t="inlineStr">
        <is>
          <t>P303</t>
        </is>
      </c>
      <c r="E4504" t="n">
        <v>2</v>
      </c>
      <c r="F4504" t="n">
        <v>12</v>
      </c>
      <c r="G4504" t="n">
        <v>0.15</v>
      </c>
      <c r="H4504">
        <f>E4504*F4504*(1-G4504)</f>
        <v/>
      </c>
      <c r="I4504">
        <f>XLOOKUP(D4504,Products!$A$2:$A$15,Products!$B$2:$B$15,"Not found")</f>
        <v/>
      </c>
    </row>
    <row r="4505">
      <c r="A4505" t="n">
        <v>108824</v>
      </c>
      <c r="B4505" s="1" t="n">
        <v>46019</v>
      </c>
      <c r="C4505" t="inlineStr">
        <is>
          <t>S03</t>
        </is>
      </c>
      <c r="D4505" t="inlineStr">
        <is>
          <t>P302</t>
        </is>
      </c>
      <c r="E4505" t="n">
        <v>1</v>
      </c>
      <c r="F4505" t="n">
        <v>24</v>
      </c>
      <c r="G4505" t="n">
        <v>0</v>
      </c>
      <c r="H4505">
        <f>E4505*F4505*(1-G4505)</f>
        <v/>
      </c>
      <c r="I4505">
        <f>XLOOKUP(D4505,Products!$A$2:$A$15,Products!$B$2:$B$15,"Not found")</f>
        <v/>
      </c>
    </row>
    <row r="4506">
      <c r="A4506" t="n">
        <v>108825</v>
      </c>
      <c r="B4506" s="1" t="n">
        <v>46019</v>
      </c>
      <c r="C4506" t="inlineStr">
        <is>
          <t>S03</t>
        </is>
      </c>
      <c r="D4506" t="inlineStr">
        <is>
          <t>P102</t>
        </is>
      </c>
      <c r="E4506" t="n">
        <v>1</v>
      </c>
      <c r="F4506" t="n">
        <v>14.5</v>
      </c>
      <c r="G4506" t="n">
        <v>0</v>
      </c>
      <c r="H4506">
        <f>E4506*F4506*(1-G4506)</f>
        <v/>
      </c>
      <c r="I4506">
        <f>XLOOKUP(D4506,Products!$A$2:$A$15,Products!$B$2:$B$15,"Not found")</f>
        <v/>
      </c>
    </row>
    <row r="4507">
      <c r="A4507" t="n">
        <v>108826</v>
      </c>
      <c r="B4507" s="1" t="n">
        <v>46019</v>
      </c>
      <c r="C4507" t="inlineStr">
        <is>
          <t>S03</t>
        </is>
      </c>
      <c r="D4507" t="inlineStr">
        <is>
          <t>P303</t>
        </is>
      </c>
      <c r="E4507" t="n">
        <v>2</v>
      </c>
      <c r="F4507" t="n">
        <v>12</v>
      </c>
      <c r="G4507" t="n">
        <v>0.2</v>
      </c>
      <c r="H4507">
        <f>E4507*F4507*(1-G4507)</f>
        <v/>
      </c>
      <c r="I4507">
        <f>XLOOKUP(D4507,Products!$A$2:$A$15,Products!$B$2:$B$15,"Not found")</f>
        <v/>
      </c>
    </row>
    <row r="4508">
      <c r="A4508" t="n">
        <v>108827</v>
      </c>
      <c r="B4508" s="1" t="n">
        <v>46019</v>
      </c>
      <c r="C4508" t="inlineStr">
        <is>
          <t>S04</t>
        </is>
      </c>
      <c r="D4508" t="inlineStr">
        <is>
          <t>P403</t>
        </is>
      </c>
      <c r="E4508" t="n">
        <v>1</v>
      </c>
      <c r="F4508" t="n">
        <v>89</v>
      </c>
      <c r="G4508" t="n">
        <v>0.15</v>
      </c>
      <c r="H4508">
        <f>E4508*F4508*(1-G4508)</f>
        <v/>
      </c>
      <c r="I4508">
        <f>XLOOKUP(D4508,Products!$A$2:$A$15,Products!$B$2:$B$15,"Not found")</f>
        <v/>
      </c>
    </row>
    <row r="4509">
      <c r="A4509" t="n">
        <v>108828</v>
      </c>
      <c r="B4509" s="1" t="n">
        <v>46019</v>
      </c>
      <c r="C4509" t="inlineStr">
        <is>
          <t>S04</t>
        </is>
      </c>
      <c r="D4509" t="inlineStr">
        <is>
          <t>P101</t>
        </is>
      </c>
      <c r="E4509" t="n">
        <v>1</v>
      </c>
      <c r="F4509" t="n">
        <v>39</v>
      </c>
      <c r="G4509" t="n">
        <v>0</v>
      </c>
      <c r="H4509">
        <f>E4509*F4509*(1-G4509)</f>
        <v/>
      </c>
      <c r="I4509">
        <f>XLOOKUP(D4509,Products!$A$2:$A$15,Products!$B$2:$B$15,"Not found")</f>
        <v/>
      </c>
    </row>
    <row r="4510">
      <c r="A4510" t="n">
        <v>108829</v>
      </c>
      <c r="B4510" s="1" t="n">
        <v>46019</v>
      </c>
      <c r="C4510" t="inlineStr">
        <is>
          <t>S05</t>
        </is>
      </c>
      <c r="D4510" t="inlineStr">
        <is>
          <t>P403</t>
        </is>
      </c>
      <c r="E4510" t="n">
        <v>1</v>
      </c>
      <c r="F4510" t="n">
        <v>89</v>
      </c>
      <c r="G4510" t="n">
        <v>0.1</v>
      </c>
      <c r="H4510">
        <f>E4510*F4510*(1-G4510)</f>
        <v/>
      </c>
      <c r="I4510">
        <f>XLOOKUP(D4510,Products!$A$2:$A$15,Products!$B$2:$B$15,"Not found")</f>
        <v/>
      </c>
    </row>
    <row r="4511">
      <c r="A4511" t="n">
        <v>108830</v>
      </c>
      <c r="B4511" s="1" t="n">
        <v>46019</v>
      </c>
      <c r="C4511" t="inlineStr">
        <is>
          <t>S05</t>
        </is>
      </c>
      <c r="D4511" t="inlineStr">
        <is>
          <t>P102</t>
        </is>
      </c>
      <c r="E4511" t="n">
        <v>4</v>
      </c>
      <c r="F4511" t="n">
        <v>14.5</v>
      </c>
      <c r="G4511" t="n">
        <v>0.2</v>
      </c>
      <c r="H4511">
        <f>E4511*F4511*(1-G4511)</f>
        <v/>
      </c>
      <c r="I4511">
        <f>XLOOKUP(D4511,Products!$A$2:$A$15,Products!$B$2:$B$15,"Not found")</f>
        <v/>
      </c>
    </row>
    <row r="4512">
      <c r="A4512" t="n">
        <v>108831</v>
      </c>
      <c r="B4512" s="1" t="n">
        <v>46019</v>
      </c>
      <c r="C4512" t="inlineStr">
        <is>
          <t>S06</t>
        </is>
      </c>
      <c r="D4512" t="inlineStr">
        <is>
          <t>P303</t>
        </is>
      </c>
      <c r="E4512" t="n">
        <v>3</v>
      </c>
      <c r="F4512" t="n">
        <v>12</v>
      </c>
      <c r="G4512" t="n">
        <v>0</v>
      </c>
      <c r="H4512">
        <f>E4512*F4512*(1-G4512)</f>
        <v/>
      </c>
      <c r="I4512">
        <f>XLOOKUP(D4512,Products!$A$2:$A$15,Products!$B$2:$B$15,"Not found")</f>
        <v/>
      </c>
    </row>
    <row r="4513">
      <c r="A4513" t="n">
        <v>108832</v>
      </c>
      <c r="B4513" s="1" t="n">
        <v>46019</v>
      </c>
      <c r="C4513" t="inlineStr">
        <is>
          <t>S06</t>
        </is>
      </c>
      <c r="D4513" t="inlineStr">
        <is>
          <t>P303</t>
        </is>
      </c>
      <c r="E4513" t="n">
        <v>1</v>
      </c>
      <c r="F4513" t="n">
        <v>12</v>
      </c>
      <c r="G4513" t="n">
        <v>0.15</v>
      </c>
      <c r="H4513">
        <f>E4513*F4513*(1-G4513)</f>
        <v/>
      </c>
      <c r="I4513">
        <f>XLOOKUP(D4513,Products!$A$2:$A$15,Products!$B$2:$B$15,"Not found")</f>
        <v/>
      </c>
    </row>
    <row r="4514">
      <c r="A4514" t="n">
        <v>108833</v>
      </c>
      <c r="B4514" s="1" t="n">
        <v>46019</v>
      </c>
      <c r="C4514" t="inlineStr">
        <is>
          <t>S06</t>
        </is>
      </c>
      <c r="D4514" t="inlineStr">
        <is>
          <t>P303</t>
        </is>
      </c>
      <c r="E4514" t="n">
        <v>1</v>
      </c>
      <c r="F4514" t="n">
        <v>12</v>
      </c>
      <c r="G4514" t="n">
        <v>0</v>
      </c>
      <c r="H4514">
        <f>E4514*F4514*(1-G4514)</f>
        <v/>
      </c>
      <c r="I4514">
        <f>XLOOKUP(D4514,Products!$A$2:$A$15,Products!$B$2:$B$15,"Not found")</f>
        <v/>
      </c>
    </row>
    <row r="4515">
      <c r="A4515" t="n">
        <v>108834</v>
      </c>
      <c r="B4515" s="1" t="n">
        <v>46019</v>
      </c>
      <c r="C4515" t="inlineStr">
        <is>
          <t>S06</t>
        </is>
      </c>
      <c r="D4515" t="inlineStr">
        <is>
          <t>P102</t>
        </is>
      </c>
      <c r="E4515" t="n">
        <v>1</v>
      </c>
      <c r="F4515" t="n">
        <v>14.5</v>
      </c>
      <c r="G4515" t="n">
        <v>0.1</v>
      </c>
      <c r="H4515">
        <f>E4515*F4515*(1-G4515)</f>
        <v/>
      </c>
      <c r="I4515">
        <f>XLOOKUP(D4515,Products!$A$2:$A$15,Products!$B$2:$B$15,"Not found")</f>
        <v/>
      </c>
    </row>
    <row r="4516">
      <c r="A4516" t="n">
        <v>108835</v>
      </c>
      <c r="B4516" s="1" t="n">
        <v>46019</v>
      </c>
      <c r="C4516" t="inlineStr">
        <is>
          <t>S06</t>
        </is>
      </c>
      <c r="D4516" t="inlineStr">
        <is>
          <t>P103</t>
        </is>
      </c>
      <c r="E4516" t="n">
        <v>1</v>
      </c>
      <c r="F4516" t="n">
        <v>29</v>
      </c>
      <c r="G4516" t="n">
        <v>0.2</v>
      </c>
      <c r="H4516">
        <f>E4516*F4516*(1-G4516)</f>
        <v/>
      </c>
      <c r="I4516">
        <f>XLOOKUP(D4516,Products!$A$2:$A$15,Products!$B$2:$B$15,"Not found")</f>
        <v/>
      </c>
    </row>
    <row r="4517">
      <c r="A4517" t="n">
        <v>108836</v>
      </c>
      <c r="B4517" s="1" t="n">
        <v>46019</v>
      </c>
      <c r="C4517" t="inlineStr">
        <is>
          <t>S06</t>
        </is>
      </c>
      <c r="D4517" t="inlineStr">
        <is>
          <t>P101</t>
        </is>
      </c>
      <c r="E4517" t="n">
        <v>3</v>
      </c>
      <c r="F4517" t="n">
        <v>39</v>
      </c>
      <c r="G4517" t="n">
        <v>0</v>
      </c>
      <c r="H4517">
        <f>E4517*F4517*(1-G4517)</f>
        <v/>
      </c>
      <c r="I4517">
        <f>XLOOKUP(D4517,Products!$A$2:$A$15,Products!$B$2:$B$15,"Not found")</f>
        <v/>
      </c>
    </row>
    <row r="4518">
      <c r="A4518" t="n">
        <v>108837</v>
      </c>
      <c r="B4518" s="1" t="n">
        <v>46019</v>
      </c>
      <c r="C4518" t="inlineStr">
        <is>
          <t>S06</t>
        </is>
      </c>
      <c r="D4518" t="inlineStr">
        <is>
          <t>P101</t>
        </is>
      </c>
      <c r="E4518" t="n">
        <v>2</v>
      </c>
      <c r="F4518" t="n">
        <v>39</v>
      </c>
      <c r="G4518" t="n">
        <v>0</v>
      </c>
      <c r="H4518">
        <f>E4518*F4518*(1-G4518)</f>
        <v/>
      </c>
      <c r="I4518">
        <f>XLOOKUP(D4518,Products!$A$2:$A$15,Products!$B$2:$B$15,"Not found")</f>
        <v/>
      </c>
    </row>
    <row r="4519">
      <c r="A4519" t="n">
        <v>108838</v>
      </c>
      <c r="B4519" s="1" t="n">
        <v>46020</v>
      </c>
      <c r="C4519" t="inlineStr">
        <is>
          <t>S01</t>
        </is>
      </c>
      <c r="D4519" t="inlineStr">
        <is>
          <t>P104</t>
        </is>
      </c>
      <c r="E4519" t="n">
        <v>1</v>
      </c>
      <c r="F4519" t="n">
        <v>189</v>
      </c>
      <c r="G4519" t="n">
        <v>0</v>
      </c>
      <c r="H4519">
        <f>E4519*F4519*(1-G4519)</f>
        <v/>
      </c>
      <c r="I4519">
        <f>XLOOKUP(D4519,Products!$A$2:$A$15,Products!$B$2:$B$15,"Not found")</f>
        <v/>
      </c>
    </row>
    <row r="4520">
      <c r="A4520" t="n">
        <v>108839</v>
      </c>
      <c r="B4520" s="1" t="n">
        <v>46020</v>
      </c>
      <c r="C4520" t="inlineStr">
        <is>
          <t>S01</t>
        </is>
      </c>
      <c r="D4520" t="inlineStr">
        <is>
          <t>P101</t>
        </is>
      </c>
      <c r="E4520" t="n">
        <v>1</v>
      </c>
      <c r="F4520" t="n">
        <v>39</v>
      </c>
      <c r="G4520" t="n">
        <v>0.2</v>
      </c>
      <c r="H4520">
        <f>E4520*F4520*(1-G4520)</f>
        <v/>
      </c>
      <c r="I4520">
        <f>XLOOKUP(D4520,Products!$A$2:$A$15,Products!$B$2:$B$15,"Not found")</f>
        <v/>
      </c>
    </row>
    <row r="4521">
      <c r="A4521" t="n">
        <v>108840</v>
      </c>
      <c r="B4521" s="1" t="n">
        <v>46020</v>
      </c>
      <c r="C4521" t="inlineStr">
        <is>
          <t>S02</t>
        </is>
      </c>
      <c r="D4521" t="inlineStr">
        <is>
          <t>P102</t>
        </is>
      </c>
      <c r="E4521" t="n">
        <v>1</v>
      </c>
      <c r="F4521" t="n">
        <v>14.5</v>
      </c>
      <c r="G4521" t="n">
        <v>0.15</v>
      </c>
      <c r="H4521">
        <f>E4521*F4521*(1-G4521)</f>
        <v/>
      </c>
      <c r="I4521">
        <f>XLOOKUP(D4521,Products!$A$2:$A$15,Products!$B$2:$B$15,"Not found")</f>
        <v/>
      </c>
    </row>
    <row r="4522">
      <c r="A4522" t="n">
        <v>108841</v>
      </c>
      <c r="B4522" s="1" t="n">
        <v>46020</v>
      </c>
      <c r="C4522" t="inlineStr">
        <is>
          <t>S02</t>
        </is>
      </c>
      <c r="D4522" t="inlineStr">
        <is>
          <t>P102</t>
        </is>
      </c>
      <c r="E4522" t="n">
        <v>1</v>
      </c>
      <c r="F4522" t="n">
        <v>14.5</v>
      </c>
      <c r="G4522" t="n">
        <v>0</v>
      </c>
      <c r="H4522">
        <f>E4522*F4522*(1-G4522)</f>
        <v/>
      </c>
      <c r="I4522">
        <f>XLOOKUP(D4522,Products!$A$2:$A$15,Products!$B$2:$B$15,"Not found")</f>
        <v/>
      </c>
    </row>
    <row r="4523">
      <c r="A4523" t="n">
        <v>108842</v>
      </c>
      <c r="B4523" s="1" t="n">
        <v>46020</v>
      </c>
      <c r="C4523" t="inlineStr">
        <is>
          <t>S02</t>
        </is>
      </c>
      <c r="D4523" t="inlineStr">
        <is>
          <t>P101</t>
        </is>
      </c>
      <c r="E4523" t="n">
        <v>1</v>
      </c>
      <c r="F4523" t="n">
        <v>39</v>
      </c>
      <c r="G4523" t="n">
        <v>0</v>
      </c>
      <c r="H4523">
        <f>E4523*F4523*(1-G4523)</f>
        <v/>
      </c>
      <c r="I4523">
        <f>XLOOKUP(D4523,Products!$A$2:$A$15,Products!$B$2:$B$15,"Not found")</f>
        <v/>
      </c>
    </row>
    <row r="4524">
      <c r="A4524" t="n">
        <v>108843</v>
      </c>
      <c r="B4524" s="1" t="n">
        <v>46020</v>
      </c>
      <c r="C4524" t="inlineStr">
        <is>
          <t>S02</t>
        </is>
      </c>
      <c r="D4524" t="inlineStr">
        <is>
          <t>P303</t>
        </is>
      </c>
      <c r="E4524" t="n">
        <v>3</v>
      </c>
      <c r="F4524" t="n">
        <v>12</v>
      </c>
      <c r="G4524" t="n">
        <v>0</v>
      </c>
      <c r="H4524">
        <f>E4524*F4524*(1-G4524)</f>
        <v/>
      </c>
      <c r="I4524">
        <f>XLOOKUP(D4524,Products!$A$2:$A$15,Products!$B$2:$B$15,"Not found")</f>
        <v/>
      </c>
    </row>
    <row r="4525">
      <c r="A4525" t="n">
        <v>108844</v>
      </c>
      <c r="B4525" s="1" t="n">
        <v>46020</v>
      </c>
      <c r="C4525" t="inlineStr">
        <is>
          <t>S02</t>
        </is>
      </c>
      <c r="D4525" t="inlineStr">
        <is>
          <t>P202</t>
        </is>
      </c>
      <c r="E4525" t="n">
        <v>4</v>
      </c>
      <c r="F4525" t="n">
        <v>79</v>
      </c>
      <c r="G4525" t="n">
        <v>0.15</v>
      </c>
      <c r="H4525">
        <f>E4525*F4525*(1-G4525)</f>
        <v/>
      </c>
      <c r="I4525">
        <f>XLOOKUP(D4525,Products!$A$2:$A$15,Products!$B$2:$B$15,"Not found")</f>
        <v/>
      </c>
    </row>
    <row r="4526">
      <c r="A4526" t="n">
        <v>108845</v>
      </c>
      <c r="B4526" s="1" t="n">
        <v>46020</v>
      </c>
      <c r="C4526" t="inlineStr">
        <is>
          <t>S03</t>
        </is>
      </c>
      <c r="D4526" t="inlineStr">
        <is>
          <t>P301</t>
        </is>
      </c>
      <c r="E4526" t="n">
        <v>1</v>
      </c>
      <c r="F4526" t="n">
        <v>119</v>
      </c>
      <c r="G4526" t="n">
        <v>0.15</v>
      </c>
      <c r="H4526">
        <f>E4526*F4526*(1-G4526)</f>
        <v/>
      </c>
      <c r="I4526">
        <f>XLOOKUP(D4526,Products!$A$2:$A$15,Products!$B$2:$B$15,"Not found")</f>
        <v/>
      </c>
    </row>
    <row r="4527">
      <c r="A4527" t="n">
        <v>108846</v>
      </c>
      <c r="B4527" s="1" t="n">
        <v>46020</v>
      </c>
      <c r="C4527" t="inlineStr">
        <is>
          <t>S04</t>
        </is>
      </c>
      <c r="D4527" t="inlineStr">
        <is>
          <t>P101</t>
        </is>
      </c>
      <c r="E4527" t="n">
        <v>1</v>
      </c>
      <c r="F4527" t="n">
        <v>39</v>
      </c>
      <c r="G4527" t="n">
        <v>0.1</v>
      </c>
      <c r="H4527">
        <f>E4527*F4527*(1-G4527)</f>
        <v/>
      </c>
      <c r="I4527">
        <f>XLOOKUP(D4527,Products!$A$2:$A$15,Products!$B$2:$B$15,"Not found")</f>
        <v/>
      </c>
    </row>
    <row r="4528">
      <c r="A4528" t="n">
        <v>108847</v>
      </c>
      <c r="B4528" s="1" t="n">
        <v>46020</v>
      </c>
      <c r="C4528" t="inlineStr">
        <is>
          <t>S04</t>
        </is>
      </c>
      <c r="D4528" t="inlineStr">
        <is>
          <t>P101</t>
        </is>
      </c>
      <c r="E4528" t="n">
        <v>2</v>
      </c>
      <c r="F4528" t="n">
        <v>39</v>
      </c>
      <c r="G4528" t="n">
        <v>0</v>
      </c>
      <c r="H4528">
        <f>E4528*F4528*(1-G4528)</f>
        <v/>
      </c>
      <c r="I4528">
        <f>XLOOKUP(D4528,Products!$A$2:$A$15,Products!$B$2:$B$15,"Not found")</f>
        <v/>
      </c>
    </row>
    <row r="4529">
      <c r="A4529" t="n">
        <v>108848</v>
      </c>
      <c r="B4529" s="1" t="n">
        <v>46020</v>
      </c>
      <c r="C4529" t="inlineStr">
        <is>
          <t>S04</t>
        </is>
      </c>
      <c r="D4529" t="inlineStr">
        <is>
          <t>P101</t>
        </is>
      </c>
      <c r="E4529" t="n">
        <v>1</v>
      </c>
      <c r="F4529" t="n">
        <v>39</v>
      </c>
      <c r="G4529" t="n">
        <v>0</v>
      </c>
      <c r="H4529">
        <f>E4529*F4529*(1-G4529)</f>
        <v/>
      </c>
      <c r="I4529">
        <f>XLOOKUP(D4529,Products!$A$2:$A$15,Products!$B$2:$B$15,"Not found")</f>
        <v/>
      </c>
    </row>
    <row r="4530">
      <c r="A4530" t="n">
        <v>108849</v>
      </c>
      <c r="B4530" s="1" t="n">
        <v>46020</v>
      </c>
      <c r="C4530" t="inlineStr">
        <is>
          <t>S04</t>
        </is>
      </c>
      <c r="D4530" t="inlineStr">
        <is>
          <t>P102</t>
        </is>
      </c>
      <c r="E4530" t="n">
        <v>1</v>
      </c>
      <c r="F4530" t="n">
        <v>14.5</v>
      </c>
      <c r="G4530" t="n">
        <v>0</v>
      </c>
      <c r="H4530">
        <f>E4530*F4530*(1-G4530)</f>
        <v/>
      </c>
      <c r="I4530">
        <f>XLOOKUP(D4530,Products!$A$2:$A$15,Products!$B$2:$B$15,"Not found")</f>
        <v/>
      </c>
    </row>
    <row r="4531">
      <c r="A4531" t="n">
        <v>108850</v>
      </c>
      <c r="B4531" s="1" t="n">
        <v>46020</v>
      </c>
      <c r="C4531" t="inlineStr">
        <is>
          <t>S04</t>
        </is>
      </c>
      <c r="D4531" t="inlineStr">
        <is>
          <t>P301</t>
        </is>
      </c>
      <c r="E4531" t="n">
        <v>1</v>
      </c>
      <c r="F4531" t="n">
        <v>119</v>
      </c>
      <c r="G4531" t="n">
        <v>0.15</v>
      </c>
      <c r="H4531">
        <f>E4531*F4531*(1-G4531)</f>
        <v/>
      </c>
      <c r="I4531">
        <f>XLOOKUP(D4531,Products!$A$2:$A$15,Products!$B$2:$B$15,"Not found")</f>
        <v/>
      </c>
    </row>
    <row r="4532">
      <c r="A4532" t="n">
        <v>108851</v>
      </c>
      <c r="B4532" s="1" t="n">
        <v>46020</v>
      </c>
      <c r="C4532" t="inlineStr">
        <is>
          <t>S04</t>
        </is>
      </c>
      <c r="D4532" t="inlineStr">
        <is>
          <t>P101</t>
        </is>
      </c>
      <c r="E4532" t="n">
        <v>1</v>
      </c>
      <c r="F4532" t="n">
        <v>39</v>
      </c>
      <c r="G4532" t="n">
        <v>0</v>
      </c>
      <c r="H4532">
        <f>E4532*F4532*(1-G4532)</f>
        <v/>
      </c>
      <c r="I4532">
        <f>XLOOKUP(D4532,Products!$A$2:$A$15,Products!$B$2:$B$15,"Not found")</f>
        <v/>
      </c>
    </row>
    <row r="4533">
      <c r="A4533" t="n">
        <v>108852</v>
      </c>
      <c r="B4533" s="1" t="n">
        <v>46020</v>
      </c>
      <c r="C4533" t="inlineStr">
        <is>
          <t>S04</t>
        </is>
      </c>
      <c r="D4533" t="inlineStr">
        <is>
          <t>P101</t>
        </is>
      </c>
      <c r="E4533" t="n">
        <v>1</v>
      </c>
      <c r="F4533" t="n">
        <v>39</v>
      </c>
      <c r="G4533" t="n">
        <v>0</v>
      </c>
      <c r="H4533">
        <f>E4533*F4533*(1-G4533)</f>
        <v/>
      </c>
      <c r="I4533">
        <f>XLOOKUP(D4533,Products!$A$2:$A$15,Products!$B$2:$B$15,"Not found")</f>
        <v/>
      </c>
    </row>
    <row r="4534">
      <c r="A4534" t="n">
        <v>108853</v>
      </c>
      <c r="B4534" s="1" t="n">
        <v>46020</v>
      </c>
      <c r="C4534" t="inlineStr">
        <is>
          <t>S06</t>
        </is>
      </c>
      <c r="D4534" t="inlineStr">
        <is>
          <t>P102</t>
        </is>
      </c>
      <c r="E4534" t="n">
        <v>4</v>
      </c>
      <c r="F4534" t="n">
        <v>14.5</v>
      </c>
      <c r="G4534" t="n">
        <v>0</v>
      </c>
      <c r="H4534">
        <f>E4534*F4534*(1-G4534)</f>
        <v/>
      </c>
      <c r="I4534">
        <f>XLOOKUP(D4534,Products!$A$2:$A$15,Products!$B$2:$B$15,"Not found")</f>
        <v/>
      </c>
    </row>
    <row r="4535">
      <c r="A4535" t="n">
        <v>108854</v>
      </c>
      <c r="B4535" s="1" t="n">
        <v>46021</v>
      </c>
      <c r="C4535" t="inlineStr">
        <is>
          <t>S01</t>
        </is>
      </c>
      <c r="D4535" t="inlineStr">
        <is>
          <t>P302</t>
        </is>
      </c>
      <c r="E4535" t="n">
        <v>1</v>
      </c>
      <c r="F4535" t="n">
        <v>24</v>
      </c>
      <c r="G4535" t="n">
        <v>0</v>
      </c>
      <c r="H4535">
        <f>E4535*F4535*(1-G4535)</f>
        <v/>
      </c>
      <c r="I4535">
        <f>XLOOKUP(D4535,Products!$A$2:$A$15,Products!$B$2:$B$15,"Not found")</f>
        <v/>
      </c>
    </row>
    <row r="4536">
      <c r="A4536" t="n">
        <v>108855</v>
      </c>
      <c r="B4536" s="1" t="n">
        <v>46021</v>
      </c>
      <c r="C4536" t="inlineStr">
        <is>
          <t>S01</t>
        </is>
      </c>
      <c r="D4536" t="inlineStr">
        <is>
          <t>P302</t>
        </is>
      </c>
      <c r="E4536" t="n">
        <v>2</v>
      </c>
      <c r="F4536" t="n">
        <v>24</v>
      </c>
      <c r="G4536" t="n">
        <v>0</v>
      </c>
      <c r="H4536">
        <f>E4536*F4536*(1-G4536)</f>
        <v/>
      </c>
      <c r="I4536">
        <f>XLOOKUP(D4536,Products!$A$2:$A$15,Products!$B$2:$B$15,"Not found")</f>
        <v/>
      </c>
    </row>
    <row r="4537">
      <c r="A4537" t="n">
        <v>108856</v>
      </c>
      <c r="B4537" s="1" t="n">
        <v>46021</v>
      </c>
      <c r="C4537" t="inlineStr">
        <is>
          <t>S01</t>
        </is>
      </c>
      <c r="D4537" t="inlineStr">
        <is>
          <t>P402</t>
        </is>
      </c>
      <c r="E4537" t="n">
        <v>1</v>
      </c>
      <c r="F4537" t="n">
        <v>699</v>
      </c>
      <c r="G4537" t="n">
        <v>0</v>
      </c>
      <c r="H4537">
        <f>E4537*F4537*(1-G4537)</f>
        <v/>
      </c>
      <c r="I4537">
        <f>XLOOKUP(D4537,Products!$A$2:$A$15,Products!$B$2:$B$15,"Not found")</f>
        <v/>
      </c>
    </row>
    <row r="4538">
      <c r="A4538" t="n">
        <v>108857</v>
      </c>
      <c r="B4538" s="1" t="n">
        <v>46021</v>
      </c>
      <c r="C4538" t="inlineStr">
        <is>
          <t>S01</t>
        </is>
      </c>
      <c r="D4538" t="inlineStr">
        <is>
          <t>P303</t>
        </is>
      </c>
      <c r="E4538" t="n">
        <v>4</v>
      </c>
      <c r="F4538" t="n">
        <v>12</v>
      </c>
      <c r="G4538" t="n">
        <v>0</v>
      </c>
      <c r="H4538">
        <f>E4538*F4538*(1-G4538)</f>
        <v/>
      </c>
      <c r="I4538">
        <f>XLOOKUP(D4538,Products!$A$2:$A$15,Products!$B$2:$B$15,"Not found")</f>
        <v/>
      </c>
    </row>
    <row r="4539">
      <c r="A4539" t="n">
        <v>108858</v>
      </c>
      <c r="B4539" s="1" t="n">
        <v>46021</v>
      </c>
      <c r="C4539" t="inlineStr">
        <is>
          <t>S01</t>
        </is>
      </c>
      <c r="D4539" t="inlineStr">
        <is>
          <t>P202</t>
        </is>
      </c>
      <c r="E4539" t="n">
        <v>4</v>
      </c>
      <c r="F4539" t="n">
        <v>79</v>
      </c>
      <c r="G4539" t="n">
        <v>0.15</v>
      </c>
      <c r="H4539">
        <f>E4539*F4539*(1-G4539)</f>
        <v/>
      </c>
      <c r="I4539">
        <f>XLOOKUP(D4539,Products!$A$2:$A$15,Products!$B$2:$B$15,"Not found")</f>
        <v/>
      </c>
    </row>
    <row r="4540">
      <c r="A4540" t="n">
        <v>108859</v>
      </c>
      <c r="B4540" s="1" t="n">
        <v>46021</v>
      </c>
      <c r="C4540" t="inlineStr">
        <is>
          <t>S01</t>
        </is>
      </c>
      <c r="D4540" t="inlineStr">
        <is>
          <t>P303</t>
        </is>
      </c>
      <c r="E4540" t="n">
        <v>1</v>
      </c>
      <c r="F4540" t="n">
        <v>12</v>
      </c>
      <c r="G4540" t="n">
        <v>0.2</v>
      </c>
      <c r="H4540">
        <f>E4540*F4540*(1-G4540)</f>
        <v/>
      </c>
      <c r="I4540">
        <f>XLOOKUP(D4540,Products!$A$2:$A$15,Products!$B$2:$B$15,"Not found")</f>
        <v/>
      </c>
    </row>
    <row r="4541">
      <c r="A4541" t="n">
        <v>108860</v>
      </c>
      <c r="B4541" s="1" t="n">
        <v>46021</v>
      </c>
      <c r="C4541" t="inlineStr">
        <is>
          <t>S02</t>
        </is>
      </c>
      <c r="D4541" t="inlineStr">
        <is>
          <t>P101</t>
        </is>
      </c>
      <c r="E4541" t="n">
        <v>1</v>
      </c>
      <c r="F4541" t="n">
        <v>39</v>
      </c>
      <c r="G4541" t="n">
        <v>0.1</v>
      </c>
      <c r="H4541">
        <f>E4541*F4541*(1-G4541)</f>
        <v/>
      </c>
      <c r="I4541">
        <f>XLOOKUP(D4541,Products!$A$2:$A$15,Products!$B$2:$B$15,"Not found")</f>
        <v/>
      </c>
    </row>
    <row r="4542">
      <c r="A4542" t="n">
        <v>108861</v>
      </c>
      <c r="B4542" s="1" t="n">
        <v>46021</v>
      </c>
      <c r="C4542" t="inlineStr">
        <is>
          <t>S02</t>
        </is>
      </c>
      <c r="D4542" t="inlineStr">
        <is>
          <t>P302</t>
        </is>
      </c>
      <c r="E4542" t="n">
        <v>4</v>
      </c>
      <c r="F4542" t="n">
        <v>24</v>
      </c>
      <c r="G4542" t="n">
        <v>0.2</v>
      </c>
      <c r="H4542">
        <f>E4542*F4542*(1-G4542)</f>
        <v/>
      </c>
      <c r="I4542">
        <f>XLOOKUP(D4542,Products!$A$2:$A$15,Products!$B$2:$B$15,"Not found")</f>
        <v/>
      </c>
    </row>
    <row r="4543">
      <c r="A4543" t="n">
        <v>108862</v>
      </c>
      <c r="B4543" s="1" t="n">
        <v>46021</v>
      </c>
      <c r="C4543" t="inlineStr">
        <is>
          <t>S02</t>
        </is>
      </c>
      <c r="D4543" t="inlineStr">
        <is>
          <t>P202</t>
        </is>
      </c>
      <c r="E4543" t="n">
        <v>1</v>
      </c>
      <c r="F4543" t="n">
        <v>79</v>
      </c>
      <c r="G4543" t="n">
        <v>0</v>
      </c>
      <c r="H4543">
        <f>E4543*F4543*(1-G4543)</f>
        <v/>
      </c>
      <c r="I4543">
        <f>XLOOKUP(D4543,Products!$A$2:$A$15,Products!$B$2:$B$15,"Not found")</f>
        <v/>
      </c>
    </row>
    <row r="4544">
      <c r="A4544" t="n">
        <v>108863</v>
      </c>
      <c r="B4544" s="1" t="n">
        <v>46021</v>
      </c>
      <c r="C4544" t="inlineStr">
        <is>
          <t>S02</t>
        </is>
      </c>
      <c r="D4544" t="inlineStr">
        <is>
          <t>P203</t>
        </is>
      </c>
      <c r="E4544" t="n">
        <v>1</v>
      </c>
      <c r="F4544" t="n">
        <v>19.5</v>
      </c>
      <c r="G4544" t="n">
        <v>0.2</v>
      </c>
      <c r="H4544">
        <f>E4544*F4544*(1-G4544)</f>
        <v/>
      </c>
      <c r="I4544">
        <f>XLOOKUP(D4544,Products!$A$2:$A$15,Products!$B$2:$B$15,"Not found")</f>
        <v/>
      </c>
    </row>
    <row r="4545">
      <c r="A4545" t="n">
        <v>108864</v>
      </c>
      <c r="B4545" s="1" t="n">
        <v>46021</v>
      </c>
      <c r="C4545" t="inlineStr">
        <is>
          <t>S03</t>
        </is>
      </c>
      <c r="D4545" t="inlineStr">
        <is>
          <t>P203</t>
        </is>
      </c>
      <c r="E4545" t="n">
        <v>1</v>
      </c>
      <c r="F4545" t="n">
        <v>19.5</v>
      </c>
      <c r="G4545" t="n">
        <v>0.2</v>
      </c>
      <c r="H4545">
        <f>E4545*F4545*(1-G4545)</f>
        <v/>
      </c>
      <c r="I4545">
        <f>XLOOKUP(D4545,Products!$A$2:$A$15,Products!$B$2:$B$15,"Not found")</f>
        <v/>
      </c>
    </row>
    <row r="4546">
      <c r="A4546" t="n">
        <v>108865</v>
      </c>
      <c r="B4546" s="1" t="n">
        <v>46021</v>
      </c>
      <c r="C4546" t="inlineStr">
        <is>
          <t>S04</t>
        </is>
      </c>
      <c r="D4546" t="inlineStr">
        <is>
          <t>P102</t>
        </is>
      </c>
      <c r="E4546" t="n">
        <v>4</v>
      </c>
      <c r="F4546" t="n">
        <v>14.5</v>
      </c>
      <c r="G4546" t="n">
        <v>0.2</v>
      </c>
      <c r="H4546">
        <f>E4546*F4546*(1-G4546)</f>
        <v/>
      </c>
      <c r="I4546">
        <f>XLOOKUP(D4546,Products!$A$2:$A$15,Products!$B$2:$B$15,"Not found")</f>
        <v/>
      </c>
    </row>
    <row r="4547">
      <c r="A4547" t="n">
        <v>108866</v>
      </c>
      <c r="B4547" s="1" t="n">
        <v>46021</v>
      </c>
      <c r="C4547" t="inlineStr">
        <is>
          <t>S05</t>
        </is>
      </c>
      <c r="D4547" t="inlineStr">
        <is>
          <t>P202</t>
        </is>
      </c>
      <c r="E4547" t="n">
        <v>3</v>
      </c>
      <c r="F4547" t="n">
        <v>79</v>
      </c>
      <c r="G4547" t="n">
        <v>0</v>
      </c>
      <c r="H4547">
        <f>E4547*F4547*(1-G4547)</f>
        <v/>
      </c>
      <c r="I4547">
        <f>XLOOKUP(D4547,Products!$A$2:$A$15,Products!$B$2:$B$15,"Not found")</f>
        <v/>
      </c>
    </row>
    <row r="4548">
      <c r="A4548" t="n">
        <v>108867</v>
      </c>
      <c r="B4548" s="1" t="n">
        <v>46021</v>
      </c>
      <c r="C4548" t="inlineStr">
        <is>
          <t>S05</t>
        </is>
      </c>
      <c r="D4548" t="inlineStr">
        <is>
          <t>P301</t>
        </is>
      </c>
      <c r="E4548" t="n">
        <v>1</v>
      </c>
      <c r="F4548" t="n">
        <v>119</v>
      </c>
      <c r="G4548" t="n">
        <v>0</v>
      </c>
      <c r="H4548">
        <f>E4548*F4548*(1-G4548)</f>
        <v/>
      </c>
      <c r="I4548">
        <f>XLOOKUP(D4548,Products!$A$2:$A$15,Products!$B$2:$B$15,"Not found")</f>
        <v/>
      </c>
    </row>
    <row r="4549">
      <c r="A4549" t="n">
        <v>108868</v>
      </c>
      <c r="B4549" s="1" t="n">
        <v>46021</v>
      </c>
      <c r="C4549" t="inlineStr">
        <is>
          <t>S05</t>
        </is>
      </c>
      <c r="D4549" t="inlineStr">
        <is>
          <t>P102</t>
        </is>
      </c>
      <c r="E4549" t="n">
        <v>1</v>
      </c>
      <c r="F4549" t="n">
        <v>14.5</v>
      </c>
      <c r="G4549" t="n">
        <v>0</v>
      </c>
      <c r="H4549">
        <f>E4549*F4549*(1-G4549)</f>
        <v/>
      </c>
      <c r="I4549">
        <f>XLOOKUP(D4549,Products!$A$2:$A$15,Products!$B$2:$B$15,"Not found")</f>
        <v/>
      </c>
    </row>
    <row r="4550">
      <c r="A4550" t="n">
        <v>108869</v>
      </c>
      <c r="B4550" s="1" t="n">
        <v>46021</v>
      </c>
      <c r="C4550" t="inlineStr">
        <is>
          <t>S05</t>
        </is>
      </c>
      <c r="D4550" t="inlineStr">
        <is>
          <t>P101</t>
        </is>
      </c>
      <c r="E4550" t="n">
        <v>1</v>
      </c>
      <c r="F4550" t="n">
        <v>39</v>
      </c>
      <c r="G4550" t="n">
        <v>0</v>
      </c>
      <c r="H4550">
        <f>E4550*F4550*(1-G4550)</f>
        <v/>
      </c>
      <c r="I4550">
        <f>XLOOKUP(D4550,Products!$A$2:$A$15,Products!$B$2:$B$15,"Not found")</f>
        <v/>
      </c>
    </row>
    <row r="4551">
      <c r="A4551" t="n">
        <v>108870</v>
      </c>
      <c r="B4551" s="1" t="n">
        <v>46021</v>
      </c>
      <c r="C4551" t="inlineStr">
        <is>
          <t>S06</t>
        </is>
      </c>
      <c r="D4551" t="inlineStr">
        <is>
          <t>P101</t>
        </is>
      </c>
      <c r="E4551" t="n">
        <v>1</v>
      </c>
      <c r="F4551" t="n">
        <v>39</v>
      </c>
      <c r="G4551" t="n">
        <v>0</v>
      </c>
      <c r="H4551">
        <f>E4551*F4551*(1-G4551)</f>
        <v/>
      </c>
      <c r="I4551">
        <f>XLOOKUP(D4551,Products!$A$2:$A$15,Products!$B$2:$B$15,"Not found")</f>
        <v/>
      </c>
    </row>
    <row r="4552">
      <c r="A4552" t="n">
        <v>108871</v>
      </c>
      <c r="B4552" s="1" t="n">
        <v>46022</v>
      </c>
      <c r="C4552" t="inlineStr">
        <is>
          <t>S01</t>
        </is>
      </c>
      <c r="D4552" t="inlineStr">
        <is>
          <t>P101</t>
        </is>
      </c>
      <c r="E4552" t="n">
        <v>4</v>
      </c>
      <c r="F4552" t="n">
        <v>39</v>
      </c>
      <c r="G4552" t="n">
        <v>0.1</v>
      </c>
      <c r="H4552">
        <f>E4552*F4552*(1-G4552)</f>
        <v/>
      </c>
      <c r="I4552">
        <f>XLOOKUP(D4552,Products!$A$2:$A$15,Products!$B$2:$B$15,"Not found")</f>
        <v/>
      </c>
    </row>
    <row r="4553">
      <c r="A4553" t="n">
        <v>108872</v>
      </c>
      <c r="B4553" s="1" t="n">
        <v>46022</v>
      </c>
      <c r="C4553" t="inlineStr">
        <is>
          <t>S01</t>
        </is>
      </c>
      <c r="D4553" t="inlineStr">
        <is>
          <t>P303</t>
        </is>
      </c>
      <c r="E4553" t="n">
        <v>1</v>
      </c>
      <c r="F4553" t="n">
        <v>12</v>
      </c>
      <c r="G4553" t="n">
        <v>0.15</v>
      </c>
      <c r="H4553">
        <f>E4553*F4553*(1-G4553)</f>
        <v/>
      </c>
      <c r="I4553">
        <f>XLOOKUP(D4553,Products!$A$2:$A$15,Products!$B$2:$B$15,"Not found")</f>
        <v/>
      </c>
    </row>
    <row r="4554">
      <c r="A4554" t="n">
        <v>108873</v>
      </c>
      <c r="B4554" s="1" t="n">
        <v>46022</v>
      </c>
      <c r="C4554" t="inlineStr">
        <is>
          <t>S01</t>
        </is>
      </c>
      <c r="D4554" t="inlineStr">
        <is>
          <t>P303</t>
        </is>
      </c>
      <c r="E4554" t="n">
        <v>2</v>
      </c>
      <c r="F4554" t="n">
        <v>12</v>
      </c>
      <c r="G4554" t="n">
        <v>0.15</v>
      </c>
      <c r="H4554">
        <f>E4554*F4554*(1-G4554)</f>
        <v/>
      </c>
      <c r="I4554">
        <f>XLOOKUP(D4554,Products!$A$2:$A$15,Products!$B$2:$B$15,"Not found")</f>
        <v/>
      </c>
    </row>
    <row r="4555">
      <c r="A4555" t="n">
        <v>108874</v>
      </c>
      <c r="B4555" s="1" t="n">
        <v>46022</v>
      </c>
      <c r="C4555" t="inlineStr">
        <is>
          <t>S01</t>
        </is>
      </c>
      <c r="D4555" t="inlineStr">
        <is>
          <t>P201</t>
        </is>
      </c>
      <c r="E4555" t="n">
        <v>1</v>
      </c>
      <c r="F4555" t="n">
        <v>149</v>
      </c>
      <c r="G4555" t="n">
        <v>0</v>
      </c>
      <c r="H4555">
        <f>E4555*F4555*(1-G4555)</f>
        <v/>
      </c>
      <c r="I4555">
        <f>XLOOKUP(D4555,Products!$A$2:$A$15,Products!$B$2:$B$15,"Not found")</f>
        <v/>
      </c>
    </row>
    <row r="4556">
      <c r="A4556" t="n">
        <v>108875</v>
      </c>
      <c r="B4556" s="1" t="n">
        <v>46022</v>
      </c>
      <c r="C4556" t="inlineStr">
        <is>
          <t>S02</t>
        </is>
      </c>
      <c r="D4556" t="inlineStr">
        <is>
          <t>P202</t>
        </is>
      </c>
      <c r="E4556" t="n">
        <v>3</v>
      </c>
      <c r="F4556" t="n">
        <v>79</v>
      </c>
      <c r="G4556" t="n">
        <v>0.15</v>
      </c>
      <c r="H4556">
        <f>E4556*F4556*(1-G4556)</f>
        <v/>
      </c>
      <c r="I4556">
        <f>XLOOKUP(D4556,Products!$A$2:$A$15,Products!$B$2:$B$15,"Not found")</f>
        <v/>
      </c>
    </row>
    <row r="4557">
      <c r="A4557" t="n">
        <v>108876</v>
      </c>
      <c r="B4557" s="1" t="n">
        <v>46022</v>
      </c>
      <c r="C4557" t="inlineStr">
        <is>
          <t>S02</t>
        </is>
      </c>
      <c r="D4557" t="inlineStr">
        <is>
          <t>P101</t>
        </is>
      </c>
      <c r="E4557" t="n">
        <v>1</v>
      </c>
      <c r="F4557" t="n">
        <v>39</v>
      </c>
      <c r="G4557" t="n">
        <v>0.15</v>
      </c>
      <c r="H4557">
        <f>E4557*F4557*(1-G4557)</f>
        <v/>
      </c>
      <c r="I4557">
        <f>XLOOKUP(D4557,Products!$A$2:$A$15,Products!$B$2:$B$15,"Not found")</f>
        <v/>
      </c>
    </row>
    <row r="4558">
      <c r="A4558" t="n">
        <v>108877</v>
      </c>
      <c r="B4558" s="1" t="n">
        <v>46022</v>
      </c>
      <c r="C4558" t="inlineStr">
        <is>
          <t>S02</t>
        </is>
      </c>
      <c r="D4558" t="inlineStr">
        <is>
          <t>P102</t>
        </is>
      </c>
      <c r="E4558" t="n">
        <v>2</v>
      </c>
      <c r="F4558" t="n">
        <v>14.5</v>
      </c>
      <c r="G4558" t="n">
        <v>0.2</v>
      </c>
      <c r="H4558">
        <f>E4558*F4558*(1-G4558)</f>
        <v/>
      </c>
      <c r="I4558">
        <f>XLOOKUP(D4558,Products!$A$2:$A$15,Products!$B$2:$B$15,"Not found")</f>
        <v/>
      </c>
    </row>
    <row r="4559">
      <c r="A4559" t="n">
        <v>108878</v>
      </c>
      <c r="B4559" s="1" t="n">
        <v>46022</v>
      </c>
      <c r="C4559" t="inlineStr">
        <is>
          <t>S02</t>
        </is>
      </c>
      <c r="D4559" t="inlineStr">
        <is>
          <t>P203</t>
        </is>
      </c>
      <c r="E4559" t="n">
        <v>4</v>
      </c>
      <c r="F4559" t="n">
        <v>19.5</v>
      </c>
      <c r="G4559" t="n">
        <v>0</v>
      </c>
      <c r="H4559">
        <f>E4559*F4559*(1-G4559)</f>
        <v/>
      </c>
      <c r="I4559">
        <f>XLOOKUP(D4559,Products!$A$2:$A$15,Products!$B$2:$B$15,"Not found")</f>
        <v/>
      </c>
    </row>
    <row r="4560">
      <c r="A4560" t="n">
        <v>108879</v>
      </c>
      <c r="B4560" s="1" t="n">
        <v>46022</v>
      </c>
      <c r="C4560" t="inlineStr">
        <is>
          <t>S03</t>
        </is>
      </c>
      <c r="D4560" t="inlineStr">
        <is>
          <t>P203</t>
        </is>
      </c>
      <c r="E4560" t="n">
        <v>1</v>
      </c>
      <c r="F4560" t="n">
        <v>19.5</v>
      </c>
      <c r="G4560" t="n">
        <v>0.2</v>
      </c>
      <c r="H4560">
        <f>E4560*F4560*(1-G4560)</f>
        <v/>
      </c>
      <c r="I4560">
        <f>XLOOKUP(D4560,Products!$A$2:$A$15,Products!$B$2:$B$15,"Not found")</f>
        <v/>
      </c>
    </row>
    <row r="4561">
      <c r="A4561" t="n">
        <v>108880</v>
      </c>
      <c r="B4561" s="1" t="n">
        <v>46022</v>
      </c>
      <c r="C4561" t="inlineStr">
        <is>
          <t>S03</t>
        </is>
      </c>
      <c r="D4561" t="inlineStr">
        <is>
          <t>P301</t>
        </is>
      </c>
      <c r="E4561" t="n">
        <v>1</v>
      </c>
      <c r="F4561" t="n">
        <v>119</v>
      </c>
      <c r="G4561" t="n">
        <v>0</v>
      </c>
      <c r="H4561">
        <f>E4561*F4561*(1-G4561)</f>
        <v/>
      </c>
      <c r="I4561">
        <f>XLOOKUP(D4561,Products!$A$2:$A$15,Products!$B$2:$B$15,"Not found")</f>
        <v/>
      </c>
    </row>
    <row r="4562">
      <c r="A4562" t="n">
        <v>108881</v>
      </c>
      <c r="B4562" s="1" t="n">
        <v>46022</v>
      </c>
      <c r="C4562" t="inlineStr">
        <is>
          <t>S03</t>
        </is>
      </c>
      <c r="D4562" t="inlineStr">
        <is>
          <t>P102</t>
        </is>
      </c>
      <c r="E4562" t="n">
        <v>1</v>
      </c>
      <c r="F4562" t="n">
        <v>14.5</v>
      </c>
      <c r="G4562" t="n">
        <v>0.2</v>
      </c>
      <c r="H4562">
        <f>E4562*F4562*(1-G4562)</f>
        <v/>
      </c>
      <c r="I4562">
        <f>XLOOKUP(D4562,Products!$A$2:$A$15,Products!$B$2:$B$15,"Not found")</f>
        <v/>
      </c>
    </row>
    <row r="4563">
      <c r="A4563" t="n">
        <v>108882</v>
      </c>
      <c r="B4563" s="1" t="n">
        <v>46022</v>
      </c>
      <c r="C4563" t="inlineStr">
        <is>
          <t>S03</t>
        </is>
      </c>
      <c r="D4563" t="inlineStr">
        <is>
          <t>P102</t>
        </is>
      </c>
      <c r="E4563" t="n">
        <v>1</v>
      </c>
      <c r="F4563" t="n">
        <v>14.5</v>
      </c>
      <c r="G4563" t="n">
        <v>0</v>
      </c>
      <c r="H4563">
        <f>E4563*F4563*(1-G4563)</f>
        <v/>
      </c>
      <c r="I4563">
        <f>XLOOKUP(D4563,Products!$A$2:$A$15,Products!$B$2:$B$15,"Not found")</f>
        <v/>
      </c>
    </row>
    <row r="4564">
      <c r="A4564" t="n">
        <v>108883</v>
      </c>
      <c r="B4564" s="1" t="n">
        <v>46022</v>
      </c>
      <c r="C4564" t="inlineStr">
        <is>
          <t>S04</t>
        </is>
      </c>
      <c r="D4564" t="inlineStr">
        <is>
          <t>P203</t>
        </is>
      </c>
      <c r="E4564" t="n">
        <v>3</v>
      </c>
      <c r="F4564" t="n">
        <v>19.5</v>
      </c>
      <c r="G4564" t="n">
        <v>0.1</v>
      </c>
      <c r="H4564">
        <f>E4564*F4564*(1-G4564)</f>
        <v/>
      </c>
      <c r="I4564">
        <f>XLOOKUP(D4564,Products!$A$2:$A$15,Products!$B$2:$B$15,"Not found")</f>
        <v/>
      </c>
    </row>
    <row r="4565">
      <c r="A4565" t="n">
        <v>108884</v>
      </c>
      <c r="B4565" s="1" t="n">
        <v>46022</v>
      </c>
      <c r="C4565" t="inlineStr">
        <is>
          <t>S04</t>
        </is>
      </c>
      <c r="D4565" t="inlineStr">
        <is>
          <t>P203</t>
        </is>
      </c>
      <c r="E4565" t="n">
        <v>4</v>
      </c>
      <c r="F4565" t="n">
        <v>19.5</v>
      </c>
      <c r="G4565" t="n">
        <v>0.1</v>
      </c>
      <c r="H4565">
        <f>E4565*F4565*(1-G4565)</f>
        <v/>
      </c>
      <c r="I4565">
        <f>XLOOKUP(D4565,Products!$A$2:$A$15,Products!$B$2:$B$15,"Not found")</f>
        <v/>
      </c>
    </row>
    <row r="4566">
      <c r="A4566" t="n">
        <v>108885</v>
      </c>
      <c r="B4566" s="1" t="n">
        <v>46022</v>
      </c>
      <c r="C4566" t="inlineStr">
        <is>
          <t>S04</t>
        </is>
      </c>
      <c r="D4566" t="inlineStr">
        <is>
          <t>P301</t>
        </is>
      </c>
      <c r="E4566" t="n">
        <v>1</v>
      </c>
      <c r="F4566" t="n">
        <v>119</v>
      </c>
      <c r="G4566" t="n">
        <v>0</v>
      </c>
      <c r="H4566">
        <f>E4566*F4566*(1-G4566)</f>
        <v/>
      </c>
      <c r="I4566">
        <f>XLOOKUP(D4566,Products!$A$2:$A$15,Products!$B$2:$B$15,"Not found")</f>
        <v/>
      </c>
    </row>
    <row r="4567">
      <c r="A4567" t="n">
        <v>108886</v>
      </c>
      <c r="B4567" s="1" t="n">
        <v>46022</v>
      </c>
      <c r="C4567" t="inlineStr">
        <is>
          <t>S05</t>
        </is>
      </c>
      <c r="D4567" t="inlineStr">
        <is>
          <t>P102</t>
        </is>
      </c>
      <c r="E4567" t="n">
        <v>2</v>
      </c>
      <c r="F4567" t="n">
        <v>14.5</v>
      </c>
      <c r="G4567" t="n">
        <v>0.2</v>
      </c>
      <c r="H4567">
        <f>E4567*F4567*(1-G4567)</f>
        <v/>
      </c>
      <c r="I4567">
        <f>XLOOKUP(D4567,Products!$A$2:$A$15,Products!$B$2:$B$15,"Not found")</f>
        <v/>
      </c>
    </row>
    <row r="4568">
      <c r="A4568" t="n">
        <v>108887</v>
      </c>
      <c r="B4568" s="1" t="n">
        <v>46022</v>
      </c>
      <c r="C4568" t="inlineStr">
        <is>
          <t>S05</t>
        </is>
      </c>
      <c r="D4568" t="inlineStr">
        <is>
          <t>P301</t>
        </is>
      </c>
      <c r="E4568" t="n">
        <v>1</v>
      </c>
      <c r="F4568" t="n">
        <v>119</v>
      </c>
      <c r="G4568" t="n">
        <v>0.15</v>
      </c>
      <c r="H4568">
        <f>E4568*F4568*(1-G4568)</f>
        <v/>
      </c>
      <c r="I4568">
        <f>XLOOKUP(D4568,Products!$A$2:$A$15,Products!$B$2:$B$15,"Not found")</f>
        <v/>
      </c>
    </row>
    <row r="4569">
      <c r="A4569" t="n">
        <v>108888</v>
      </c>
      <c r="B4569" s="1" t="n">
        <v>46022</v>
      </c>
      <c r="C4569" t="inlineStr">
        <is>
          <t>S05</t>
        </is>
      </c>
      <c r="D4569" t="inlineStr">
        <is>
          <t>P102</t>
        </is>
      </c>
      <c r="E4569" t="n">
        <v>3</v>
      </c>
      <c r="F4569" t="n">
        <v>14.5</v>
      </c>
      <c r="G4569" t="n">
        <v>0.2</v>
      </c>
      <c r="H4569">
        <f>E4569*F4569*(1-G4569)</f>
        <v/>
      </c>
      <c r="I4569">
        <f>XLOOKUP(D4569,Products!$A$2:$A$15,Products!$B$2:$B$15,"Not found")</f>
        <v/>
      </c>
    </row>
    <row r="4570">
      <c r="A4570" t="n">
        <v>108889</v>
      </c>
      <c r="B4570" s="1" t="n">
        <v>46022</v>
      </c>
      <c r="C4570" t="inlineStr">
        <is>
          <t>S05</t>
        </is>
      </c>
      <c r="D4570" t="inlineStr">
        <is>
          <t>P103</t>
        </is>
      </c>
      <c r="E4570" t="n">
        <v>1</v>
      </c>
      <c r="F4570" t="n">
        <v>29</v>
      </c>
      <c r="G4570" t="n">
        <v>0.1</v>
      </c>
      <c r="H4570">
        <f>E4570*F4570*(1-G4570)</f>
        <v/>
      </c>
      <c r="I4570">
        <f>XLOOKUP(D4570,Products!$A$2:$A$15,Products!$B$2:$B$15,"Not found")</f>
        <v/>
      </c>
    </row>
    <row r="4571">
      <c r="A4571" t="n">
        <v>108890</v>
      </c>
      <c r="B4571" s="1" t="n">
        <v>46022</v>
      </c>
      <c r="C4571" t="inlineStr">
        <is>
          <t>S06</t>
        </is>
      </c>
      <c r="D4571" t="inlineStr">
        <is>
          <t>P202</t>
        </is>
      </c>
      <c r="E4571" t="n">
        <v>1</v>
      </c>
      <c r="F4571" t="n">
        <v>79</v>
      </c>
      <c r="G4571" t="n">
        <v>0.15</v>
      </c>
      <c r="H4571">
        <f>E4571*F4571*(1-G4571)</f>
        <v/>
      </c>
      <c r="I4571">
        <f>XLOOKUP(D4571,Products!$A$2:$A$15,Products!$B$2:$B$15,"Not found")</f>
        <v/>
      </c>
    </row>
    <row r="4572">
      <c r="A4572" t="n">
        <v>108891</v>
      </c>
      <c r="B4572" s="1" t="n">
        <v>46022</v>
      </c>
      <c r="C4572" t="inlineStr">
        <is>
          <t>S06</t>
        </is>
      </c>
      <c r="D4572" t="inlineStr">
        <is>
          <t>P204</t>
        </is>
      </c>
      <c r="E4572" t="n">
        <v>1</v>
      </c>
      <c r="F4572" t="n">
        <v>229</v>
      </c>
      <c r="G4572" t="n">
        <v>0</v>
      </c>
      <c r="H4572">
        <f>E4572*F4572*(1-G4572)</f>
        <v/>
      </c>
      <c r="I4572">
        <f>XLOOKUP(D4572,Products!$A$2:$A$15,Products!$B$2:$B$15,"Not found")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product_name</t>
        </is>
      </c>
      <c r="D1" t="inlineStr">
        <is>
          <t>list_price</t>
        </is>
      </c>
      <c r="E1" t="inlineStr">
        <is>
          <t>unit_cost</t>
        </is>
      </c>
    </row>
    <row r="2">
      <c r="A2" t="inlineStr">
        <is>
          <t>P101</t>
        </is>
      </c>
      <c r="B2" t="inlineStr">
        <is>
          <t>Garden</t>
        </is>
      </c>
      <c r="C2" t="inlineStr">
        <is>
          <t>Hose 20 m</t>
        </is>
      </c>
      <c r="D2" t="n">
        <v>39</v>
      </c>
      <c r="E2" t="n">
        <v>18.5</v>
      </c>
    </row>
    <row r="3">
      <c r="A3" t="inlineStr">
        <is>
          <t>P102</t>
        </is>
      </c>
      <c r="B3" t="inlineStr">
        <is>
          <t>Garden</t>
        </is>
      </c>
      <c r="C3" t="inlineStr">
        <is>
          <t>Potting mix 25 L</t>
        </is>
      </c>
      <c r="D3" t="n">
        <v>14.5</v>
      </c>
      <c r="E3" t="n">
        <v>6.2</v>
      </c>
    </row>
    <row r="4">
      <c r="A4" t="inlineStr">
        <is>
          <t>P103</t>
        </is>
      </c>
      <c r="B4" t="inlineStr">
        <is>
          <t>Garden</t>
        </is>
      </c>
      <c r="C4" t="inlineStr">
        <is>
          <t>Pruning shears</t>
        </is>
      </c>
      <c r="D4" t="n">
        <v>29</v>
      </c>
      <c r="E4" t="n">
        <v>11</v>
      </c>
    </row>
    <row r="5">
      <c r="A5" t="inlineStr">
        <is>
          <t>P104</t>
        </is>
      </c>
      <c r="B5" t="inlineStr">
        <is>
          <t>Garden</t>
        </is>
      </c>
      <c r="C5" t="inlineStr">
        <is>
          <t>Raised bed kit</t>
        </is>
      </c>
      <c r="D5" t="n">
        <v>189</v>
      </c>
      <c r="E5" t="n">
        <v>96</v>
      </c>
    </row>
    <row r="6">
      <c r="A6" t="inlineStr">
        <is>
          <t>P201</t>
        </is>
      </c>
      <c r="B6" t="inlineStr">
        <is>
          <t>Tools</t>
        </is>
      </c>
      <c r="C6" t="inlineStr">
        <is>
          <t>Cordless drill</t>
        </is>
      </c>
      <c r="D6" t="n">
        <v>149</v>
      </c>
      <c r="E6" t="n">
        <v>88</v>
      </c>
    </row>
    <row r="7">
      <c r="A7" t="inlineStr">
        <is>
          <t>P202</t>
        </is>
      </c>
      <c r="B7" t="inlineStr">
        <is>
          <t>Tools</t>
        </is>
      </c>
      <c r="C7" t="inlineStr">
        <is>
          <t>Socket set</t>
        </is>
      </c>
      <c r="D7" t="n">
        <v>79</v>
      </c>
      <c r="E7" t="n">
        <v>41</v>
      </c>
    </row>
    <row r="8">
      <c r="A8" t="inlineStr">
        <is>
          <t>P203</t>
        </is>
      </c>
      <c r="B8" t="inlineStr">
        <is>
          <t>Tools</t>
        </is>
      </c>
      <c r="C8" t="inlineStr">
        <is>
          <t>Tape measure 8 m</t>
        </is>
      </c>
      <c r="D8" t="n">
        <v>19.5</v>
      </c>
      <c r="E8" t="n">
        <v>7.4</v>
      </c>
    </row>
    <row r="9">
      <c r="A9" t="inlineStr">
        <is>
          <t>P204</t>
        </is>
      </c>
      <c r="B9" t="inlineStr">
        <is>
          <t>Tools</t>
        </is>
      </c>
      <c r="C9" t="inlineStr">
        <is>
          <t>Workbench</t>
        </is>
      </c>
      <c r="D9" t="n">
        <v>229</v>
      </c>
      <c r="E9" t="n">
        <v>131</v>
      </c>
    </row>
    <row r="10">
      <c r="A10" t="inlineStr">
        <is>
          <t>P301</t>
        </is>
      </c>
      <c r="B10" t="inlineStr">
        <is>
          <t>Paint</t>
        </is>
      </c>
      <c r="C10" t="inlineStr">
        <is>
          <t>Interior paint 10 L</t>
        </is>
      </c>
      <c r="D10" t="n">
        <v>119</v>
      </c>
      <c r="E10" t="n">
        <v>63</v>
      </c>
    </row>
    <row r="11">
      <c r="A11" t="inlineStr">
        <is>
          <t>P302</t>
        </is>
      </c>
      <c r="B11" t="inlineStr">
        <is>
          <t>Paint</t>
        </is>
      </c>
      <c r="C11" t="inlineStr">
        <is>
          <t>Roller kit</t>
        </is>
      </c>
      <c r="D11" t="n">
        <v>24</v>
      </c>
      <c r="E11" t="n">
        <v>9.800000000000001</v>
      </c>
    </row>
    <row r="12">
      <c r="A12" t="inlineStr">
        <is>
          <t>P303</t>
        </is>
      </c>
      <c r="B12" t="inlineStr">
        <is>
          <t>Paint</t>
        </is>
      </c>
      <c r="C12" t="inlineStr">
        <is>
          <t>Masking tape 3-pack</t>
        </is>
      </c>
      <c r="D12" t="n">
        <v>12</v>
      </c>
      <c r="E12" t="n">
        <v>4.1</v>
      </c>
    </row>
    <row r="13">
      <c r="A13" t="inlineStr">
        <is>
          <t>P401</t>
        </is>
      </c>
      <c r="B13" t="inlineStr">
        <is>
          <t>Outdoor</t>
        </is>
      </c>
      <c r="C13" t="inlineStr">
        <is>
          <t>Gas BBQ 4-burner</t>
        </is>
      </c>
      <c r="D13" t="n">
        <v>549</v>
      </c>
      <c r="E13" t="n">
        <v>352</v>
      </c>
    </row>
    <row r="14">
      <c r="A14" t="inlineStr">
        <is>
          <t>P402</t>
        </is>
      </c>
      <c r="B14" t="inlineStr">
        <is>
          <t>Outdoor</t>
        </is>
      </c>
      <c r="C14" t="inlineStr">
        <is>
          <t>Outdoor setting 5-pc</t>
        </is>
      </c>
      <c r="D14" t="n">
        <v>699</v>
      </c>
      <c r="E14" t="n">
        <v>421</v>
      </c>
    </row>
    <row r="15">
      <c r="A15" t="inlineStr">
        <is>
          <t>P403</t>
        </is>
      </c>
      <c r="B15" t="inlineStr">
        <is>
          <t>Outdoor</t>
        </is>
      </c>
      <c r="C15" t="inlineStr">
        <is>
          <t>Shade sail</t>
        </is>
      </c>
      <c r="D15" t="n">
        <v>89</v>
      </c>
      <c r="E15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state</t>
        </is>
      </c>
      <c r="D1" t="inlineStr">
        <is>
          <t>opened</t>
        </is>
      </c>
    </row>
    <row r="2">
      <c r="A2" t="inlineStr">
        <is>
          <t>S01</t>
        </is>
      </c>
      <c r="B2" t="inlineStr">
        <is>
          <t>Adelaide CBD</t>
        </is>
      </c>
      <c r="C2" t="inlineStr">
        <is>
          <t>SA</t>
        </is>
      </c>
      <c r="D2" s="1" t="n">
        <v>42064</v>
      </c>
    </row>
    <row r="3">
      <c r="A3" t="inlineStr">
        <is>
          <t>S02</t>
        </is>
      </c>
      <c r="B3" t="inlineStr">
        <is>
          <t>Marion</t>
        </is>
      </c>
      <c r="C3" t="inlineStr">
        <is>
          <t>SA</t>
        </is>
      </c>
      <c r="D3" s="1" t="n">
        <v>42961</v>
      </c>
    </row>
    <row r="4">
      <c r="A4" t="inlineStr">
        <is>
          <t>S03</t>
        </is>
      </c>
      <c r="B4" t="inlineStr">
        <is>
          <t>Glenelg</t>
        </is>
      </c>
      <c r="C4" t="inlineStr">
        <is>
          <t>SA</t>
        </is>
      </c>
      <c r="D4" s="1" t="n">
        <v>43771</v>
      </c>
    </row>
    <row r="5">
      <c r="A5" t="inlineStr">
        <is>
          <t>S04</t>
        </is>
      </c>
      <c r="B5" t="inlineStr">
        <is>
          <t>Ballarat</t>
        </is>
      </c>
      <c r="C5" t="inlineStr">
        <is>
          <t>VIC</t>
        </is>
      </c>
      <c r="D5" s="1" t="n">
        <v>42510</v>
      </c>
    </row>
    <row r="6">
      <c r="A6" t="inlineStr">
        <is>
          <t>S05</t>
        </is>
      </c>
      <c r="B6" t="inlineStr">
        <is>
          <t>Geelong</t>
        </is>
      </c>
      <c r="C6" t="inlineStr">
        <is>
          <t>VIC</t>
        </is>
      </c>
      <c r="D6" s="1" t="n">
        <v>44235</v>
      </c>
    </row>
    <row r="7">
      <c r="A7" t="inlineStr">
        <is>
          <t>S06</t>
        </is>
      </c>
      <c r="B7" t="inlineStr">
        <is>
          <t>Bendigo</t>
        </is>
      </c>
      <c r="C7" t="inlineStr">
        <is>
          <t>VIC</t>
        </is>
      </c>
      <c r="D7" s="1" t="n">
        <v>45173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store_id</t>
        </is>
      </c>
      <c r="B1" s="2" t="inlineStr">
        <is>
          <t>Garden</t>
        </is>
      </c>
      <c r="C1" s="2" t="inlineStr">
        <is>
          <t>Tools</t>
        </is>
      </c>
      <c r="D1" s="2" t="inlineStr">
        <is>
          <t>Paint</t>
        </is>
      </c>
      <c r="E1" s="2" t="inlineStr">
        <is>
          <t>Outdoor</t>
        </is>
      </c>
      <c r="F1" s="2" t="inlineStr">
        <is>
          <t>Orders 20%+ off</t>
        </is>
      </c>
    </row>
    <row r="2">
      <c r="A2" t="inlineStr">
        <is>
          <t>S01</t>
        </is>
      </c>
      <c r="B2">
        <f>SUMIFS(Sales!$H$2:$H$4572,Sales!$C$2:$C$4572,$A2,Sales!$I$2:$I$4572,B$1)</f>
        <v/>
      </c>
      <c r="C2">
        <f>SUMIFS(Sales!$H$2:$H$4572,Sales!$C$2:$C$4572,$A2,Sales!$I$2:$I$4572,C$1)</f>
        <v/>
      </c>
      <c r="D2">
        <f>SUMIFS(Sales!$H$2:$H$4572,Sales!$C$2:$C$4572,$A2,Sales!$I$2:$I$4572,D$1)</f>
        <v/>
      </c>
      <c r="E2">
        <f>SUMIFS(Sales!$H$2:$H$4572,Sales!$C$2:$C$4572,$A2,Sales!$I$2:$I$4572,E$1)</f>
        <v/>
      </c>
      <c r="F2">
        <f>COUNTIFS(Sales!$C$2:$C$4572,$A2,Sales!$G$2:$G$4572,"&gt;=0.2")</f>
        <v/>
      </c>
    </row>
    <row r="3">
      <c r="A3" t="inlineStr">
        <is>
          <t>S02</t>
        </is>
      </c>
      <c r="B3">
        <f>SUMIFS(Sales!$H$2:$H$4572,Sales!$C$2:$C$4572,$A3,Sales!$I$2:$I$4572,B$1)</f>
        <v/>
      </c>
      <c r="C3">
        <f>SUMIFS(Sales!$H$2:$H$4572,Sales!$C$2:$C$4572,$A3,Sales!$I$2:$I$4572,C$1)</f>
        <v/>
      </c>
      <c r="D3">
        <f>SUMIFS(Sales!$H$2:$H$4572,Sales!$C$2:$C$4572,$A3,Sales!$I$2:$I$4572,D$1)</f>
        <v/>
      </c>
      <c r="E3">
        <f>SUMIFS(Sales!$H$2:$H$4572,Sales!$C$2:$C$4572,$A3,Sales!$I$2:$I$4572,E$1)</f>
        <v/>
      </c>
      <c r="F3">
        <f>COUNTIFS(Sales!$C$2:$C$4572,$A3,Sales!$G$2:$G$4572,"&gt;=0.2")</f>
        <v/>
      </c>
    </row>
    <row r="4">
      <c r="A4" t="inlineStr">
        <is>
          <t>S03</t>
        </is>
      </c>
      <c r="B4">
        <f>SUMIFS(Sales!$H$2:$H$4572,Sales!$C$2:$C$4572,$A4,Sales!$I$2:$I$4572,B$1)</f>
        <v/>
      </c>
      <c r="C4">
        <f>SUMIFS(Sales!$H$2:$H$4572,Sales!$C$2:$C$4572,$A4,Sales!$I$2:$I$4572,C$1)</f>
        <v/>
      </c>
      <c r="D4">
        <f>SUMIFS(Sales!$H$2:$H$4572,Sales!$C$2:$C$4572,$A4,Sales!$I$2:$I$4572,D$1)</f>
        <v/>
      </c>
      <c r="E4">
        <f>SUMIFS(Sales!$H$2:$H$4572,Sales!$C$2:$C$4572,$A4,Sales!$I$2:$I$4572,E$1)</f>
        <v/>
      </c>
      <c r="F4">
        <f>COUNTIFS(Sales!$C$2:$C$4572,$A4,Sales!$G$2:$G$4572,"&gt;=0.2")</f>
        <v/>
      </c>
    </row>
    <row r="5">
      <c r="A5" t="inlineStr">
        <is>
          <t>S04</t>
        </is>
      </c>
      <c r="B5">
        <f>SUMIFS(Sales!$H$2:$H$4572,Sales!$C$2:$C$4572,$A5,Sales!$I$2:$I$4572,B$1)</f>
        <v/>
      </c>
      <c r="C5">
        <f>SUMIFS(Sales!$H$2:$H$4572,Sales!$C$2:$C$4572,$A5,Sales!$I$2:$I$4572,C$1)</f>
        <v/>
      </c>
      <c r="D5">
        <f>SUMIFS(Sales!$H$2:$H$4572,Sales!$C$2:$C$4572,$A5,Sales!$I$2:$I$4572,D$1)</f>
        <v/>
      </c>
      <c r="E5">
        <f>SUMIFS(Sales!$H$2:$H$4572,Sales!$C$2:$C$4572,$A5,Sales!$I$2:$I$4572,E$1)</f>
        <v/>
      </c>
      <c r="F5">
        <f>COUNTIFS(Sales!$C$2:$C$4572,$A5,Sales!$G$2:$G$4572,"&gt;=0.2")</f>
        <v/>
      </c>
    </row>
    <row r="6">
      <c r="A6" t="inlineStr">
        <is>
          <t>S05</t>
        </is>
      </c>
      <c r="B6">
        <f>SUMIFS(Sales!$H$2:$H$4572,Sales!$C$2:$C$4572,$A6,Sales!$I$2:$I$4572,B$1)</f>
        <v/>
      </c>
      <c r="C6">
        <f>SUMIFS(Sales!$H$2:$H$4572,Sales!$C$2:$C$4572,$A6,Sales!$I$2:$I$4572,C$1)</f>
        <v/>
      </c>
      <c r="D6">
        <f>SUMIFS(Sales!$H$2:$H$4572,Sales!$C$2:$C$4572,$A6,Sales!$I$2:$I$4572,D$1)</f>
        <v/>
      </c>
      <c r="E6">
        <f>SUMIFS(Sales!$H$2:$H$4572,Sales!$C$2:$C$4572,$A6,Sales!$I$2:$I$4572,E$1)</f>
        <v/>
      </c>
      <c r="F6">
        <f>COUNTIFS(Sales!$C$2:$C$4572,$A6,Sales!$G$2:$G$4572,"&gt;=0.2")</f>
        <v/>
      </c>
    </row>
    <row r="7">
      <c r="A7" t="inlineStr">
        <is>
          <t>S06</t>
        </is>
      </c>
      <c r="B7">
        <f>SUMIFS(Sales!$H$2:$H$4572,Sales!$C$2:$C$4572,$A7,Sales!$I$2:$I$4572,B$1)</f>
        <v/>
      </c>
      <c r="C7">
        <f>SUMIFS(Sales!$H$2:$H$4572,Sales!$C$2:$C$4572,$A7,Sales!$I$2:$I$4572,C$1)</f>
        <v/>
      </c>
      <c r="D7">
        <f>SUMIFS(Sales!$H$2:$H$4572,Sales!$C$2:$C$4572,$A7,Sales!$I$2:$I$4572,D$1)</f>
        <v/>
      </c>
      <c r="E7">
        <f>SUMIFS(Sales!$H$2:$H$4572,Sales!$C$2:$C$4572,$A7,Sales!$I$2:$I$4572,E$1)</f>
        <v/>
      </c>
      <c r="F7">
        <f>COUNTIFS(Sales!$C$2:$C$4572,$A7,Sales!$G$2:$G$4572,"&gt;=0.2")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2026-10-08T14:20:47Z</dcterms:created>
  <dcterms:modified xmlns:dcterms="http://purl.org/dc/terms/" xmlns:xsi="http://www.w3.org/2001/XMLSchema-instance" xsi:type="dcterms:W3CDTF">2026-10-08T14:20:47Z</dcterms:modified>
</cp:coreProperties>
</file>